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INTERNAL GORP\AUDIT\1 Januari\1 Januari\"/>
    </mc:Choice>
  </mc:AlternateContent>
  <xr:revisionPtr revIDLastSave="0" documentId="13_ncr:1_{56E7418F-FCD5-43C4-9FD4-24A8FA7BE216}" xr6:coauthVersionLast="47" xr6:coauthVersionMax="47" xr10:uidLastSave="{00000000-0000-0000-0000-000000000000}"/>
  <bookViews>
    <workbookView xWindow="-108" yWindow="-108" windowWidth="23256" windowHeight="12456" xr2:uid="{FAC45B5C-90F2-4416-A321-5BE427F92054}"/>
  </bookViews>
  <sheets>
    <sheet name="Gramedia Reguler" sheetId="2" r:id="rId1"/>
    <sheet name="GRAMEDI NON REGULER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1" hidden="1">'GRAMEDI NON REGULER'!$A$1:$Y$22</definedName>
    <definedName name="_xlnm._FilterDatabase" localSheetId="0" hidden="1">'Gramedia Reguler'!$A$1:$BQ$697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3" l="1"/>
  <c r="U2" i="3" s="1"/>
  <c r="E3" i="3"/>
  <c r="G3" i="3"/>
  <c r="T3" i="3"/>
  <c r="U3" i="3"/>
  <c r="V3" i="3"/>
  <c r="W3" i="3"/>
  <c r="X3" i="3"/>
  <c r="E4" i="3"/>
  <c r="G4" i="3"/>
  <c r="T4" i="3"/>
  <c r="X4" i="3" s="1"/>
  <c r="U4" i="3"/>
  <c r="V4" i="3" s="1"/>
  <c r="E5" i="3"/>
  <c r="G5" i="3"/>
  <c r="T5" i="3"/>
  <c r="U5" i="3"/>
  <c r="V5" i="3" s="1"/>
  <c r="X5" i="3"/>
  <c r="Y5" i="3"/>
  <c r="E6" i="3"/>
  <c r="G6" i="3"/>
  <c r="Y6" i="3" s="1"/>
  <c r="T6" i="3"/>
  <c r="X6" i="3" s="1"/>
  <c r="U6" i="3"/>
  <c r="W6" i="3" s="1"/>
  <c r="V6" i="3"/>
  <c r="E7" i="3"/>
  <c r="T7" i="3"/>
  <c r="U7" i="3"/>
  <c r="W7" i="3" s="1"/>
  <c r="V7" i="3"/>
  <c r="Y7" i="3"/>
  <c r="E8" i="3"/>
  <c r="G8" i="3"/>
  <c r="T8" i="3"/>
  <c r="X8" i="3" s="1"/>
  <c r="U8" i="3"/>
  <c r="V8" i="3"/>
  <c r="W8" i="3"/>
  <c r="T9" i="3"/>
  <c r="U9" i="3"/>
  <c r="V9" i="3"/>
  <c r="W9" i="3"/>
  <c r="X9" i="3"/>
  <c r="Y9" i="3"/>
  <c r="T10" i="3"/>
  <c r="U10" i="3"/>
  <c r="V10" i="3"/>
  <c r="W10" i="3"/>
  <c r="X10" i="3"/>
  <c r="T11" i="3"/>
  <c r="X11" i="3" s="1"/>
  <c r="U11" i="3"/>
  <c r="V11" i="3"/>
  <c r="W11" i="3"/>
  <c r="T12" i="3"/>
  <c r="U12" i="3"/>
  <c r="V12" i="3"/>
  <c r="W12" i="3"/>
  <c r="X12" i="3"/>
  <c r="Y12" i="3"/>
  <c r="T13" i="3"/>
  <c r="U13" i="3"/>
  <c r="V13" i="3"/>
  <c r="W13" i="3"/>
  <c r="X13" i="3"/>
  <c r="Y13" i="3"/>
  <c r="T14" i="3"/>
  <c r="X14" i="3" s="1"/>
  <c r="U14" i="3"/>
  <c r="W14" i="3" s="1"/>
  <c r="V14" i="3"/>
  <c r="Y14" i="3"/>
  <c r="T15" i="3"/>
  <c r="U15" i="3"/>
  <c r="V15" i="3"/>
  <c r="W15" i="3"/>
  <c r="X15" i="3"/>
  <c r="T16" i="3"/>
  <c r="U16" i="3"/>
  <c r="X16" i="3"/>
  <c r="T17" i="3"/>
  <c r="U17" i="3"/>
  <c r="V17" i="3"/>
  <c r="W17" i="3"/>
  <c r="X17" i="3"/>
  <c r="Y17" i="3"/>
  <c r="T18" i="3"/>
  <c r="U18" i="3"/>
  <c r="V18" i="3"/>
  <c r="W18" i="3"/>
  <c r="X18" i="3"/>
  <c r="T19" i="3"/>
  <c r="U19" i="3" s="1"/>
  <c r="T20" i="3"/>
  <c r="U20" i="3"/>
  <c r="V20" i="3"/>
  <c r="W20" i="3"/>
  <c r="X20" i="3"/>
  <c r="Y20" i="3"/>
  <c r="T21" i="3"/>
  <c r="U21" i="3"/>
  <c r="V21" i="3"/>
  <c r="W21" i="3"/>
  <c r="X21" i="3"/>
  <c r="Y21" i="3"/>
  <c r="M22" i="3"/>
  <c r="N22" i="3"/>
  <c r="O22" i="3"/>
  <c r="P22" i="3"/>
  <c r="Q22" i="3"/>
  <c r="R22" i="3"/>
  <c r="S2" i="2"/>
  <c r="AE2" i="2"/>
  <c r="AL2" i="2"/>
  <c r="AN2" i="2"/>
  <c r="AO2" i="2"/>
  <c r="AP2" i="2"/>
  <c r="AW2" i="2"/>
  <c r="BA2" i="2" s="1"/>
  <c r="AZ2" i="2"/>
  <c r="BB2" i="2"/>
  <c r="BE2" i="2"/>
  <c r="BF2" i="2" s="1"/>
  <c r="BG2" i="2"/>
  <c r="BH2" i="2"/>
  <c r="BL2" i="2"/>
  <c r="BM2" i="2"/>
  <c r="BN2" i="2"/>
  <c r="BO2" i="2"/>
  <c r="BQ2" i="2"/>
  <c r="S3" i="2"/>
  <c r="AE3" i="2"/>
  <c r="AL3" i="2"/>
  <c r="AN3" i="2"/>
  <c r="AO3" i="2"/>
  <c r="AM3" i="2" s="1"/>
  <c r="BP3" i="2" s="1"/>
  <c r="AP3" i="2"/>
  <c r="AW3" i="2"/>
  <c r="AZ3" i="2"/>
  <c r="BE3" i="2"/>
  <c r="BF3" i="2" s="1"/>
  <c r="BG3" i="2"/>
  <c r="BH3" i="2"/>
  <c r="BL3" i="2"/>
  <c r="BM3" i="2"/>
  <c r="BN3" i="2"/>
  <c r="BO3" i="2"/>
  <c r="BQ3" i="2"/>
  <c r="S4" i="2"/>
  <c r="AE4" i="2"/>
  <c r="AL4" i="2"/>
  <c r="AN4" i="2"/>
  <c r="AO4" i="2"/>
  <c r="AP4" i="2"/>
  <c r="AW4" i="2"/>
  <c r="AZ4" i="2"/>
  <c r="BE4" i="2"/>
  <c r="BF4" i="2" s="1"/>
  <c r="BG4" i="2"/>
  <c r="BH4" i="2"/>
  <c r="BL4" i="2"/>
  <c r="BM4" i="2"/>
  <c r="BN4" i="2"/>
  <c r="BO4" i="2"/>
  <c r="BQ4" i="2"/>
  <c r="S5" i="2"/>
  <c r="AE5" i="2"/>
  <c r="AL5" i="2"/>
  <c r="AN5" i="2"/>
  <c r="AO5" i="2"/>
  <c r="AM5" i="2" s="1"/>
  <c r="AP5" i="2"/>
  <c r="AW5" i="2"/>
  <c r="AZ5" i="2"/>
  <c r="BE5" i="2"/>
  <c r="BF5" i="2"/>
  <c r="BG5" i="2"/>
  <c r="BH5" i="2"/>
  <c r="BL5" i="2"/>
  <c r="BM5" i="2"/>
  <c r="BN5" i="2"/>
  <c r="BO5" i="2"/>
  <c r="BQ5" i="2"/>
  <c r="S6" i="2"/>
  <c r="AE6" i="2"/>
  <c r="AL6" i="2"/>
  <c r="AN6" i="2"/>
  <c r="AO6" i="2"/>
  <c r="AP6" i="2"/>
  <c r="AW6" i="2"/>
  <c r="AZ6" i="2"/>
  <c r="BE6" i="2"/>
  <c r="BF6" i="2" s="1"/>
  <c r="BG6" i="2"/>
  <c r="BH6" i="2"/>
  <c r="BL6" i="2"/>
  <c r="BM6" i="2"/>
  <c r="BN6" i="2"/>
  <c r="BO6" i="2"/>
  <c r="BQ6" i="2"/>
  <c r="S7" i="2"/>
  <c r="AE7" i="2"/>
  <c r="AL7" i="2"/>
  <c r="AN7" i="2"/>
  <c r="AO7" i="2"/>
  <c r="AP7" i="2"/>
  <c r="AW7" i="2"/>
  <c r="AZ7" i="2"/>
  <c r="BE7" i="2"/>
  <c r="BF7" i="2"/>
  <c r="BG7" i="2"/>
  <c r="BH7" i="2"/>
  <c r="BL7" i="2"/>
  <c r="BM7" i="2"/>
  <c r="BN7" i="2"/>
  <c r="BO7" i="2"/>
  <c r="BQ7" i="2"/>
  <c r="S8" i="2"/>
  <c r="AE8" i="2"/>
  <c r="AL8" i="2"/>
  <c r="AN8" i="2"/>
  <c r="AO8" i="2"/>
  <c r="AP8" i="2"/>
  <c r="AW8" i="2"/>
  <c r="AZ8" i="2"/>
  <c r="BE8" i="2"/>
  <c r="BF8" i="2" s="1"/>
  <c r="BG8" i="2"/>
  <c r="BH8" i="2"/>
  <c r="BL8" i="2"/>
  <c r="BM8" i="2"/>
  <c r="BN8" i="2"/>
  <c r="BO8" i="2"/>
  <c r="BQ8" i="2"/>
  <c r="S9" i="2"/>
  <c r="AE9" i="2"/>
  <c r="AL9" i="2"/>
  <c r="BA9" i="2" s="1"/>
  <c r="AN9" i="2"/>
  <c r="AM9" i="2" s="1"/>
  <c r="AO9" i="2"/>
  <c r="AP9" i="2"/>
  <c r="AW9" i="2"/>
  <c r="AZ9" i="2"/>
  <c r="BE9" i="2"/>
  <c r="BF9" i="2" s="1"/>
  <c r="BG9" i="2"/>
  <c r="BH9" i="2"/>
  <c r="BL9" i="2"/>
  <c r="BM9" i="2"/>
  <c r="BN9" i="2"/>
  <c r="BO9" i="2"/>
  <c r="BQ9" i="2"/>
  <c r="S10" i="2"/>
  <c r="AE10" i="2"/>
  <c r="AL10" i="2"/>
  <c r="AN10" i="2"/>
  <c r="AO10" i="2"/>
  <c r="AM10" i="2" s="1"/>
  <c r="AP10" i="2"/>
  <c r="AW10" i="2"/>
  <c r="AZ10" i="2"/>
  <c r="BE10" i="2"/>
  <c r="BF10" i="2" s="1"/>
  <c r="BG10" i="2"/>
  <c r="BH10" i="2"/>
  <c r="BL10" i="2"/>
  <c r="BM10" i="2"/>
  <c r="BN10" i="2"/>
  <c r="BO10" i="2"/>
  <c r="BQ10" i="2"/>
  <c r="S11" i="2"/>
  <c r="AE11" i="2"/>
  <c r="AL11" i="2"/>
  <c r="AN11" i="2"/>
  <c r="AO11" i="2"/>
  <c r="AM11" i="2" s="1"/>
  <c r="AP11" i="2"/>
  <c r="AW11" i="2"/>
  <c r="AZ11" i="2"/>
  <c r="BE11" i="2"/>
  <c r="BF11" i="2" s="1"/>
  <c r="BG11" i="2"/>
  <c r="BH11" i="2"/>
  <c r="BL11" i="2"/>
  <c r="BM11" i="2"/>
  <c r="BN11" i="2"/>
  <c r="BO11" i="2"/>
  <c r="BQ11" i="2"/>
  <c r="S12" i="2"/>
  <c r="AE12" i="2"/>
  <c r="AL12" i="2"/>
  <c r="AN12" i="2"/>
  <c r="AO12" i="2"/>
  <c r="AP12" i="2"/>
  <c r="AW12" i="2"/>
  <c r="AZ12" i="2"/>
  <c r="BE12" i="2"/>
  <c r="BF12" i="2"/>
  <c r="BG12" i="2"/>
  <c r="BH12" i="2"/>
  <c r="BL12" i="2"/>
  <c r="BM12" i="2"/>
  <c r="BN12" i="2"/>
  <c r="BO12" i="2"/>
  <c r="BQ12" i="2"/>
  <c r="S13" i="2"/>
  <c r="AE13" i="2"/>
  <c r="AL13" i="2"/>
  <c r="AN13" i="2"/>
  <c r="AO13" i="2"/>
  <c r="AP13" i="2"/>
  <c r="AW13" i="2"/>
  <c r="AZ13" i="2"/>
  <c r="BE13" i="2"/>
  <c r="BF13" i="2" s="1"/>
  <c r="BG13" i="2"/>
  <c r="BH13" i="2"/>
  <c r="BL13" i="2"/>
  <c r="BM13" i="2"/>
  <c r="BN13" i="2"/>
  <c r="BO13" i="2"/>
  <c r="BQ13" i="2"/>
  <c r="S14" i="2"/>
  <c r="AE14" i="2"/>
  <c r="AL14" i="2"/>
  <c r="AN14" i="2"/>
  <c r="AM14" i="2" s="1"/>
  <c r="AO14" i="2"/>
  <c r="AP14" i="2"/>
  <c r="AW14" i="2"/>
  <c r="AZ14" i="2"/>
  <c r="BE14" i="2"/>
  <c r="BF14" i="2" s="1"/>
  <c r="BG14" i="2"/>
  <c r="BH14" i="2"/>
  <c r="BL14" i="2"/>
  <c r="BM14" i="2"/>
  <c r="BN14" i="2"/>
  <c r="BO14" i="2"/>
  <c r="BQ14" i="2"/>
  <c r="S15" i="2"/>
  <c r="AE15" i="2"/>
  <c r="AL15" i="2"/>
  <c r="AN15" i="2"/>
  <c r="AM15" i="2" s="1"/>
  <c r="AO15" i="2"/>
  <c r="AP15" i="2"/>
  <c r="AW15" i="2"/>
  <c r="AZ15" i="2"/>
  <c r="BE15" i="2"/>
  <c r="BF15" i="2" s="1"/>
  <c r="BG15" i="2"/>
  <c r="BH15" i="2"/>
  <c r="BL15" i="2"/>
  <c r="BM15" i="2"/>
  <c r="BN15" i="2"/>
  <c r="BO15" i="2"/>
  <c r="BQ15" i="2"/>
  <c r="S16" i="2"/>
  <c r="AE16" i="2"/>
  <c r="AL16" i="2"/>
  <c r="AN16" i="2"/>
  <c r="AO16" i="2"/>
  <c r="AP16" i="2"/>
  <c r="AW16" i="2"/>
  <c r="AZ16" i="2"/>
  <c r="BE16" i="2"/>
  <c r="BF16" i="2"/>
  <c r="BG16" i="2"/>
  <c r="BH16" i="2"/>
  <c r="BL16" i="2"/>
  <c r="BM16" i="2"/>
  <c r="BN16" i="2"/>
  <c r="BO16" i="2"/>
  <c r="BQ16" i="2"/>
  <c r="S17" i="2"/>
  <c r="AE17" i="2"/>
  <c r="AL17" i="2"/>
  <c r="AN17" i="2"/>
  <c r="AO17" i="2"/>
  <c r="AP17" i="2"/>
  <c r="AW17" i="2"/>
  <c r="BB17" i="2" s="1"/>
  <c r="AZ17" i="2"/>
  <c r="BE17" i="2"/>
  <c r="BF17" i="2" s="1"/>
  <c r="BG17" i="2"/>
  <c r="BH17" i="2"/>
  <c r="BL17" i="2"/>
  <c r="BM17" i="2"/>
  <c r="BN17" i="2"/>
  <c r="BO17" i="2"/>
  <c r="BQ17" i="2"/>
  <c r="S18" i="2"/>
  <c r="AE18" i="2"/>
  <c r="AL18" i="2"/>
  <c r="AN18" i="2"/>
  <c r="AO18" i="2"/>
  <c r="AP18" i="2"/>
  <c r="AW18" i="2"/>
  <c r="BB18" i="2" s="1"/>
  <c r="AZ18" i="2"/>
  <c r="BE18" i="2"/>
  <c r="BF18" i="2" s="1"/>
  <c r="BG18" i="2"/>
  <c r="BH18" i="2"/>
  <c r="BL18" i="2"/>
  <c r="BM18" i="2"/>
  <c r="BN18" i="2"/>
  <c r="BO18" i="2"/>
  <c r="BQ18" i="2"/>
  <c r="S19" i="2"/>
  <c r="AE19" i="2"/>
  <c r="AL19" i="2"/>
  <c r="AN19" i="2"/>
  <c r="AM19" i="2" s="1"/>
  <c r="BP19" i="2" s="1"/>
  <c r="AO19" i="2"/>
  <c r="AP19" i="2"/>
  <c r="AW19" i="2"/>
  <c r="AZ19" i="2"/>
  <c r="BE19" i="2"/>
  <c r="BF19" i="2" s="1"/>
  <c r="BG19" i="2"/>
  <c r="BH19" i="2"/>
  <c r="BL19" i="2"/>
  <c r="BM19" i="2"/>
  <c r="BN19" i="2"/>
  <c r="BO19" i="2"/>
  <c r="BQ19" i="2"/>
  <c r="S20" i="2"/>
  <c r="AE20" i="2"/>
  <c r="AL20" i="2"/>
  <c r="AN20" i="2"/>
  <c r="AO20" i="2"/>
  <c r="AP20" i="2"/>
  <c r="AW20" i="2"/>
  <c r="AZ20" i="2"/>
  <c r="BE20" i="2"/>
  <c r="BF20" i="2" s="1"/>
  <c r="BG20" i="2"/>
  <c r="BH20" i="2"/>
  <c r="BL20" i="2"/>
  <c r="BM20" i="2"/>
  <c r="BN20" i="2"/>
  <c r="BO20" i="2"/>
  <c r="BQ20" i="2"/>
  <c r="S21" i="2"/>
  <c r="AE21" i="2"/>
  <c r="AL21" i="2"/>
  <c r="AN21" i="2"/>
  <c r="AM21" i="2" s="1"/>
  <c r="BP21" i="2" s="1"/>
  <c r="AO21" i="2"/>
  <c r="AP21" i="2"/>
  <c r="AW21" i="2"/>
  <c r="AZ21" i="2"/>
  <c r="BA21" i="2"/>
  <c r="BB21" i="2"/>
  <c r="BE21" i="2"/>
  <c r="BF21" i="2" s="1"/>
  <c r="BG21" i="2"/>
  <c r="BH21" i="2"/>
  <c r="BL21" i="2"/>
  <c r="BM21" i="2"/>
  <c r="BN21" i="2"/>
  <c r="BO21" i="2"/>
  <c r="BQ21" i="2"/>
  <c r="S22" i="2"/>
  <c r="AE22" i="2"/>
  <c r="AL22" i="2"/>
  <c r="AN22" i="2"/>
  <c r="AO22" i="2"/>
  <c r="AP22" i="2"/>
  <c r="AW22" i="2"/>
  <c r="AZ22" i="2"/>
  <c r="BE22" i="2"/>
  <c r="BF22" i="2" s="1"/>
  <c r="BG22" i="2"/>
  <c r="BH22" i="2"/>
  <c r="BL22" i="2"/>
  <c r="BM22" i="2"/>
  <c r="BN22" i="2"/>
  <c r="BO22" i="2"/>
  <c r="BQ22" i="2"/>
  <c r="S23" i="2"/>
  <c r="AE23" i="2"/>
  <c r="AL23" i="2"/>
  <c r="AN23" i="2"/>
  <c r="AO23" i="2"/>
  <c r="AP23" i="2"/>
  <c r="AW23" i="2"/>
  <c r="AZ23" i="2"/>
  <c r="BE23" i="2"/>
  <c r="BF23" i="2" s="1"/>
  <c r="BG23" i="2"/>
  <c r="BH23" i="2"/>
  <c r="BL23" i="2"/>
  <c r="BM23" i="2"/>
  <c r="BN23" i="2"/>
  <c r="BO23" i="2"/>
  <c r="BQ23" i="2"/>
  <c r="S24" i="2"/>
  <c r="AE24" i="2"/>
  <c r="AL24" i="2"/>
  <c r="AN24" i="2"/>
  <c r="AO24" i="2"/>
  <c r="AP24" i="2"/>
  <c r="AW24" i="2"/>
  <c r="AZ24" i="2"/>
  <c r="BE24" i="2"/>
  <c r="BF24" i="2" s="1"/>
  <c r="BG24" i="2"/>
  <c r="BH24" i="2"/>
  <c r="BL24" i="2"/>
  <c r="BM24" i="2"/>
  <c r="BN24" i="2"/>
  <c r="BO24" i="2"/>
  <c r="BQ24" i="2"/>
  <c r="S25" i="2"/>
  <c r="AE25" i="2"/>
  <c r="AL25" i="2"/>
  <c r="AM25" i="2"/>
  <c r="AN25" i="2"/>
  <c r="AO25" i="2"/>
  <c r="AP25" i="2"/>
  <c r="AW25" i="2"/>
  <c r="AZ25" i="2"/>
  <c r="BE25" i="2"/>
  <c r="BF25" i="2" s="1"/>
  <c r="BG25" i="2"/>
  <c r="BH25" i="2"/>
  <c r="BL25" i="2"/>
  <c r="BM25" i="2"/>
  <c r="BN25" i="2"/>
  <c r="BO25" i="2"/>
  <c r="BQ25" i="2"/>
  <c r="S26" i="2"/>
  <c r="AE26" i="2"/>
  <c r="AL26" i="2"/>
  <c r="AN26" i="2"/>
  <c r="AO26" i="2"/>
  <c r="AP26" i="2"/>
  <c r="AW26" i="2"/>
  <c r="AZ26" i="2"/>
  <c r="BE26" i="2"/>
  <c r="BF26" i="2" s="1"/>
  <c r="BG26" i="2"/>
  <c r="BH26" i="2"/>
  <c r="BL26" i="2"/>
  <c r="BM26" i="2"/>
  <c r="BN26" i="2"/>
  <c r="BO26" i="2"/>
  <c r="BQ26" i="2"/>
  <c r="S27" i="2"/>
  <c r="AE27" i="2"/>
  <c r="AL27" i="2"/>
  <c r="AN27" i="2"/>
  <c r="AO27" i="2"/>
  <c r="AM27" i="2" s="1"/>
  <c r="AP27" i="2"/>
  <c r="AW27" i="2"/>
  <c r="AZ27" i="2"/>
  <c r="BE27" i="2"/>
  <c r="BF27" i="2" s="1"/>
  <c r="BG27" i="2"/>
  <c r="BH27" i="2"/>
  <c r="BL27" i="2"/>
  <c r="BM27" i="2"/>
  <c r="BN27" i="2"/>
  <c r="BO27" i="2"/>
  <c r="BQ27" i="2"/>
  <c r="S28" i="2"/>
  <c r="AE28" i="2"/>
  <c r="AL28" i="2"/>
  <c r="AN28" i="2"/>
  <c r="AO28" i="2"/>
  <c r="AP28" i="2"/>
  <c r="AW28" i="2"/>
  <c r="AZ28" i="2"/>
  <c r="BE28" i="2"/>
  <c r="BF28" i="2" s="1"/>
  <c r="BG28" i="2"/>
  <c r="BH28" i="2"/>
  <c r="BL28" i="2"/>
  <c r="BM28" i="2"/>
  <c r="BN28" i="2"/>
  <c r="BO28" i="2"/>
  <c r="BQ28" i="2"/>
  <c r="S29" i="2"/>
  <c r="AE29" i="2"/>
  <c r="AL29" i="2"/>
  <c r="AN29" i="2"/>
  <c r="AO29" i="2"/>
  <c r="AP29" i="2"/>
  <c r="AW29" i="2"/>
  <c r="AZ29" i="2"/>
  <c r="BE29" i="2"/>
  <c r="BF29" i="2" s="1"/>
  <c r="BG29" i="2"/>
  <c r="BH29" i="2"/>
  <c r="BL29" i="2"/>
  <c r="BM29" i="2"/>
  <c r="BN29" i="2"/>
  <c r="BO29" i="2"/>
  <c r="BQ29" i="2"/>
  <c r="S30" i="2"/>
  <c r="AE30" i="2"/>
  <c r="AL30" i="2"/>
  <c r="AN30" i="2"/>
  <c r="AO30" i="2"/>
  <c r="AP30" i="2"/>
  <c r="AW30" i="2"/>
  <c r="AZ30" i="2"/>
  <c r="BE30" i="2"/>
  <c r="BF30" i="2" s="1"/>
  <c r="BG30" i="2"/>
  <c r="BH30" i="2"/>
  <c r="BL30" i="2"/>
  <c r="BM30" i="2"/>
  <c r="BN30" i="2"/>
  <c r="BO30" i="2"/>
  <c r="BQ30" i="2"/>
  <c r="S31" i="2"/>
  <c r="AE31" i="2"/>
  <c r="AL31" i="2"/>
  <c r="AN31" i="2"/>
  <c r="AO31" i="2"/>
  <c r="AM31" i="2" s="1"/>
  <c r="AP31" i="2"/>
  <c r="AW31" i="2"/>
  <c r="AZ31" i="2"/>
  <c r="BE31" i="2"/>
  <c r="BF31" i="2" s="1"/>
  <c r="BG31" i="2"/>
  <c r="BH31" i="2"/>
  <c r="BL31" i="2"/>
  <c r="BM31" i="2"/>
  <c r="BN31" i="2"/>
  <c r="BO31" i="2"/>
  <c r="BQ31" i="2"/>
  <c r="S32" i="2"/>
  <c r="AE32" i="2"/>
  <c r="AL32" i="2"/>
  <c r="AN32" i="2"/>
  <c r="AO32" i="2"/>
  <c r="AP32" i="2"/>
  <c r="AW32" i="2"/>
  <c r="AZ32" i="2"/>
  <c r="BE32" i="2"/>
  <c r="BF32" i="2" s="1"/>
  <c r="BG32" i="2"/>
  <c r="BH32" i="2"/>
  <c r="BL32" i="2"/>
  <c r="BM32" i="2"/>
  <c r="BN32" i="2"/>
  <c r="BO32" i="2"/>
  <c r="S33" i="2"/>
  <c r="AE33" i="2"/>
  <c r="AL33" i="2"/>
  <c r="AN33" i="2"/>
  <c r="AO33" i="2"/>
  <c r="AP33" i="2"/>
  <c r="AW33" i="2"/>
  <c r="AZ33" i="2"/>
  <c r="BE33" i="2"/>
  <c r="BF33" i="2" s="1"/>
  <c r="BG33" i="2"/>
  <c r="BH33" i="2"/>
  <c r="BL33" i="2"/>
  <c r="BM33" i="2"/>
  <c r="BN33" i="2"/>
  <c r="BO33" i="2"/>
  <c r="S34" i="2"/>
  <c r="AE34" i="2"/>
  <c r="AL34" i="2"/>
  <c r="AN34" i="2"/>
  <c r="AO34" i="2"/>
  <c r="AP34" i="2"/>
  <c r="AW34" i="2"/>
  <c r="AZ34" i="2"/>
  <c r="BE34" i="2"/>
  <c r="BF34" i="2" s="1"/>
  <c r="BG34" i="2"/>
  <c r="BH34" i="2"/>
  <c r="BL34" i="2"/>
  <c r="BM34" i="2"/>
  <c r="BN34" i="2"/>
  <c r="BO34" i="2"/>
  <c r="S35" i="2"/>
  <c r="AE35" i="2"/>
  <c r="AL35" i="2"/>
  <c r="AN35" i="2"/>
  <c r="AO35" i="2"/>
  <c r="AP35" i="2"/>
  <c r="AS35" i="2"/>
  <c r="AT35" i="2"/>
  <c r="AW35" i="2"/>
  <c r="AZ35" i="2"/>
  <c r="BE35" i="2"/>
  <c r="BF35" i="2"/>
  <c r="BG35" i="2"/>
  <c r="BH35" i="2"/>
  <c r="BL35" i="2"/>
  <c r="BM35" i="2"/>
  <c r="BO35" i="2"/>
  <c r="S36" i="2"/>
  <c r="AE36" i="2"/>
  <c r="AL36" i="2"/>
  <c r="AN36" i="2"/>
  <c r="AO36" i="2"/>
  <c r="AP36" i="2"/>
  <c r="AW36" i="2"/>
  <c r="AZ36" i="2"/>
  <c r="BE36" i="2"/>
  <c r="BF36" i="2" s="1"/>
  <c r="BG36" i="2"/>
  <c r="BH36" i="2"/>
  <c r="BL36" i="2"/>
  <c r="BM36" i="2"/>
  <c r="BN36" i="2"/>
  <c r="BO36" i="2"/>
  <c r="BQ36" i="2"/>
  <c r="S37" i="2"/>
  <c r="AE37" i="2"/>
  <c r="AL37" i="2"/>
  <c r="AN37" i="2"/>
  <c r="AO37" i="2"/>
  <c r="AP37" i="2"/>
  <c r="AW37" i="2"/>
  <c r="AZ37" i="2"/>
  <c r="BB37" i="2" s="1"/>
  <c r="BE37" i="2"/>
  <c r="BF37" i="2"/>
  <c r="BG37" i="2"/>
  <c r="BH37" i="2"/>
  <c r="BL37" i="2"/>
  <c r="BM37" i="2"/>
  <c r="BO37" i="2"/>
  <c r="BQ37" i="2"/>
  <c r="S38" i="2"/>
  <c r="AE38" i="2"/>
  <c r="AL38" i="2"/>
  <c r="AN38" i="2"/>
  <c r="AM38" i="2" s="1"/>
  <c r="AO38" i="2"/>
  <c r="AP38" i="2"/>
  <c r="AW38" i="2"/>
  <c r="AZ38" i="2"/>
  <c r="BE38" i="2"/>
  <c r="BF38" i="2" s="1"/>
  <c r="BG38" i="2"/>
  <c r="BH38" i="2"/>
  <c r="BL38" i="2"/>
  <c r="BM38" i="2"/>
  <c r="BN38" i="2"/>
  <c r="BO38" i="2"/>
  <c r="BQ38" i="2"/>
  <c r="S39" i="2"/>
  <c r="AE39" i="2"/>
  <c r="AL39" i="2"/>
  <c r="AN39" i="2"/>
  <c r="AO39" i="2"/>
  <c r="AP39" i="2"/>
  <c r="AW39" i="2"/>
  <c r="AZ39" i="2"/>
  <c r="BE39" i="2"/>
  <c r="BF39" i="2" s="1"/>
  <c r="BG39" i="2"/>
  <c r="BH39" i="2"/>
  <c r="BL39" i="2"/>
  <c r="BM39" i="2"/>
  <c r="BN39" i="2"/>
  <c r="BO39" i="2"/>
  <c r="S40" i="2"/>
  <c r="AE40" i="2"/>
  <c r="AL40" i="2"/>
  <c r="AN40" i="2"/>
  <c r="AM40" i="2" s="1"/>
  <c r="AO40" i="2"/>
  <c r="AP40" i="2"/>
  <c r="AQ40" i="2"/>
  <c r="AR40" i="2" s="1"/>
  <c r="AW40" i="2"/>
  <c r="AZ40" i="2"/>
  <c r="BE40" i="2"/>
  <c r="BF40" i="2" s="1"/>
  <c r="BG40" i="2"/>
  <c r="BH40" i="2"/>
  <c r="BL40" i="2"/>
  <c r="BM40" i="2"/>
  <c r="BN40" i="2"/>
  <c r="BO40" i="2"/>
  <c r="S41" i="2"/>
  <c r="AE41" i="2"/>
  <c r="AL41" i="2"/>
  <c r="BB41" i="2" s="1"/>
  <c r="AM41" i="2"/>
  <c r="AN41" i="2"/>
  <c r="AO41" i="2"/>
  <c r="AP41" i="2"/>
  <c r="AW41" i="2"/>
  <c r="AZ41" i="2"/>
  <c r="BE41" i="2"/>
  <c r="BF41" i="2" s="1"/>
  <c r="BG41" i="2"/>
  <c r="BH41" i="2"/>
  <c r="BL41" i="2"/>
  <c r="BM41" i="2"/>
  <c r="BN41" i="2"/>
  <c r="BO41" i="2"/>
  <c r="S42" i="2"/>
  <c r="AE42" i="2"/>
  <c r="AL42" i="2"/>
  <c r="AN42" i="2"/>
  <c r="AO42" i="2"/>
  <c r="AP42" i="2"/>
  <c r="AW42" i="2"/>
  <c r="AZ42" i="2"/>
  <c r="BE42" i="2"/>
  <c r="BF42" i="2" s="1"/>
  <c r="BG42" i="2"/>
  <c r="BH42" i="2"/>
  <c r="BL42" i="2"/>
  <c r="BM42" i="2"/>
  <c r="BN42" i="2"/>
  <c r="BO42" i="2"/>
  <c r="BQ42" i="2"/>
  <c r="S43" i="2"/>
  <c r="AE43" i="2"/>
  <c r="AL43" i="2"/>
  <c r="AN43" i="2"/>
  <c r="AO43" i="2"/>
  <c r="AP43" i="2"/>
  <c r="AW43" i="2"/>
  <c r="AZ43" i="2"/>
  <c r="BE43" i="2"/>
  <c r="BF43" i="2" s="1"/>
  <c r="BG43" i="2"/>
  <c r="BH43" i="2"/>
  <c r="BL43" i="2"/>
  <c r="BM43" i="2"/>
  <c r="BN43" i="2"/>
  <c r="BO43" i="2"/>
  <c r="BQ43" i="2"/>
  <c r="S44" i="2"/>
  <c r="AE44" i="2"/>
  <c r="AL44" i="2"/>
  <c r="AN44" i="2"/>
  <c r="AO44" i="2"/>
  <c r="AP44" i="2"/>
  <c r="AW44" i="2"/>
  <c r="AZ44" i="2"/>
  <c r="BE44" i="2"/>
  <c r="BF44" i="2" s="1"/>
  <c r="BG44" i="2"/>
  <c r="BH44" i="2"/>
  <c r="BL44" i="2"/>
  <c r="BM44" i="2"/>
  <c r="BN44" i="2"/>
  <c r="BO44" i="2"/>
  <c r="BQ44" i="2"/>
  <c r="S45" i="2"/>
  <c r="AE45" i="2"/>
  <c r="AL45" i="2"/>
  <c r="BA45" i="2" s="1"/>
  <c r="AM45" i="2"/>
  <c r="AN45" i="2"/>
  <c r="AO45" i="2"/>
  <c r="AP45" i="2"/>
  <c r="AW45" i="2"/>
  <c r="AZ45" i="2"/>
  <c r="BE45" i="2"/>
  <c r="BF45" i="2"/>
  <c r="BG45" i="2"/>
  <c r="BH45" i="2"/>
  <c r="BL45" i="2"/>
  <c r="BM45" i="2"/>
  <c r="BN45" i="2"/>
  <c r="BO45" i="2"/>
  <c r="BQ45" i="2"/>
  <c r="S46" i="2"/>
  <c r="AE46" i="2"/>
  <c r="AL46" i="2"/>
  <c r="AN46" i="2"/>
  <c r="AO46" i="2"/>
  <c r="AP46" i="2"/>
  <c r="AW46" i="2"/>
  <c r="AZ46" i="2"/>
  <c r="BE46" i="2"/>
  <c r="BF46" i="2" s="1"/>
  <c r="BG46" i="2"/>
  <c r="BH46" i="2"/>
  <c r="BL46" i="2"/>
  <c r="BM46" i="2"/>
  <c r="BN46" i="2"/>
  <c r="BO46" i="2"/>
  <c r="BQ46" i="2"/>
  <c r="S47" i="2"/>
  <c r="AE47" i="2"/>
  <c r="AL47" i="2"/>
  <c r="AN47" i="2"/>
  <c r="AO47" i="2"/>
  <c r="AP47" i="2"/>
  <c r="AW47" i="2"/>
  <c r="AZ47" i="2"/>
  <c r="BE47" i="2"/>
  <c r="BF47" i="2" s="1"/>
  <c r="BG47" i="2"/>
  <c r="BH47" i="2"/>
  <c r="BL47" i="2"/>
  <c r="BM47" i="2"/>
  <c r="BN47" i="2"/>
  <c r="BO47" i="2"/>
  <c r="BQ47" i="2"/>
  <c r="S48" i="2"/>
  <c r="AE48" i="2"/>
  <c r="AL48" i="2"/>
  <c r="AN48" i="2"/>
  <c r="AM48" i="2" s="1"/>
  <c r="AO48" i="2"/>
  <c r="AP48" i="2"/>
  <c r="AW48" i="2"/>
  <c r="AZ48" i="2"/>
  <c r="BE48" i="2"/>
  <c r="BF48" i="2" s="1"/>
  <c r="BG48" i="2"/>
  <c r="BH48" i="2"/>
  <c r="BL48" i="2"/>
  <c r="BM48" i="2"/>
  <c r="BN48" i="2"/>
  <c r="BO48" i="2"/>
  <c r="BQ48" i="2"/>
  <c r="S49" i="2"/>
  <c r="AE49" i="2"/>
  <c r="AL49" i="2"/>
  <c r="AN49" i="2"/>
  <c r="AO49" i="2"/>
  <c r="AP49" i="2"/>
  <c r="AW49" i="2"/>
  <c r="AZ49" i="2"/>
  <c r="BE49" i="2"/>
  <c r="BF49" i="2" s="1"/>
  <c r="BG49" i="2"/>
  <c r="BH49" i="2"/>
  <c r="BL49" i="2"/>
  <c r="BM49" i="2"/>
  <c r="BN49" i="2"/>
  <c r="BO49" i="2"/>
  <c r="BQ49" i="2"/>
  <c r="S50" i="2"/>
  <c r="AE50" i="2"/>
  <c r="AL50" i="2"/>
  <c r="AN50" i="2"/>
  <c r="AO50" i="2"/>
  <c r="AP50" i="2"/>
  <c r="AW50" i="2"/>
  <c r="AZ50" i="2"/>
  <c r="BE50" i="2"/>
  <c r="BF50" i="2" s="1"/>
  <c r="BG50" i="2"/>
  <c r="BH50" i="2"/>
  <c r="BL50" i="2"/>
  <c r="BM50" i="2"/>
  <c r="BN50" i="2"/>
  <c r="BO50" i="2"/>
  <c r="BQ50" i="2"/>
  <c r="S51" i="2"/>
  <c r="AE51" i="2"/>
  <c r="AL51" i="2"/>
  <c r="AN51" i="2"/>
  <c r="AM51" i="2" s="1"/>
  <c r="AO51" i="2"/>
  <c r="AP51" i="2"/>
  <c r="AW51" i="2"/>
  <c r="AZ51" i="2"/>
  <c r="BE51" i="2"/>
  <c r="BF51" i="2" s="1"/>
  <c r="BG51" i="2"/>
  <c r="BH51" i="2"/>
  <c r="BL51" i="2"/>
  <c r="BM51" i="2"/>
  <c r="BN51" i="2"/>
  <c r="BO51" i="2"/>
  <c r="BQ51" i="2"/>
  <c r="S52" i="2"/>
  <c r="AE52" i="2"/>
  <c r="AL52" i="2"/>
  <c r="AN52" i="2"/>
  <c r="AO52" i="2"/>
  <c r="AP52" i="2"/>
  <c r="AW52" i="2"/>
  <c r="AZ52" i="2"/>
  <c r="BE52" i="2"/>
  <c r="BF52" i="2"/>
  <c r="BG52" i="2"/>
  <c r="BH52" i="2"/>
  <c r="BL52" i="2"/>
  <c r="BM52" i="2"/>
  <c r="BN52" i="2"/>
  <c r="BO52" i="2"/>
  <c r="BQ52" i="2"/>
  <c r="S53" i="2"/>
  <c r="AE53" i="2"/>
  <c r="AL53" i="2"/>
  <c r="AN53" i="2"/>
  <c r="AO53" i="2"/>
  <c r="AP53" i="2"/>
  <c r="AW53" i="2"/>
  <c r="AZ53" i="2"/>
  <c r="BE53" i="2"/>
  <c r="BF53" i="2"/>
  <c r="BG53" i="2"/>
  <c r="BH53" i="2"/>
  <c r="BL53" i="2"/>
  <c r="BM53" i="2"/>
  <c r="BN53" i="2"/>
  <c r="BO53" i="2"/>
  <c r="BQ53" i="2"/>
  <c r="S54" i="2"/>
  <c r="AE54" i="2"/>
  <c r="AL54" i="2"/>
  <c r="AN54" i="2"/>
  <c r="AM54" i="2" s="1"/>
  <c r="AO54" i="2"/>
  <c r="AP54" i="2"/>
  <c r="AW54" i="2"/>
  <c r="AZ54" i="2"/>
  <c r="BB54" i="2" s="1"/>
  <c r="BA54" i="2"/>
  <c r="BE54" i="2"/>
  <c r="BF54" i="2"/>
  <c r="BG54" i="2"/>
  <c r="BH54" i="2"/>
  <c r="BL54" i="2"/>
  <c r="BM54" i="2"/>
  <c r="BN54" i="2"/>
  <c r="BO54" i="2"/>
  <c r="BQ54" i="2"/>
  <c r="S55" i="2"/>
  <c r="AE55" i="2"/>
  <c r="AL55" i="2"/>
  <c r="AN55" i="2"/>
  <c r="AO55" i="2"/>
  <c r="AP55" i="2"/>
  <c r="AW55" i="2"/>
  <c r="AZ55" i="2"/>
  <c r="BA55" i="2"/>
  <c r="BE55" i="2"/>
  <c r="BF55" i="2" s="1"/>
  <c r="BG55" i="2"/>
  <c r="BH55" i="2"/>
  <c r="BL55" i="2"/>
  <c r="BM55" i="2"/>
  <c r="BN55" i="2"/>
  <c r="BO55" i="2"/>
  <c r="BQ55" i="2"/>
  <c r="S56" i="2"/>
  <c r="AE56" i="2"/>
  <c r="AL56" i="2"/>
  <c r="AN56" i="2"/>
  <c r="AO56" i="2"/>
  <c r="AP56" i="2"/>
  <c r="AW56" i="2"/>
  <c r="BA56" i="2" s="1"/>
  <c r="AZ56" i="2"/>
  <c r="BE56" i="2"/>
  <c r="BF56" i="2" s="1"/>
  <c r="BG56" i="2"/>
  <c r="BH56" i="2"/>
  <c r="BL56" i="2"/>
  <c r="BM56" i="2"/>
  <c r="BN56" i="2"/>
  <c r="BO56" i="2"/>
  <c r="BQ56" i="2"/>
  <c r="S57" i="2"/>
  <c r="AE57" i="2"/>
  <c r="AL57" i="2"/>
  <c r="AN57" i="2"/>
  <c r="AO57" i="2"/>
  <c r="AP57" i="2"/>
  <c r="AW57" i="2"/>
  <c r="AZ57" i="2"/>
  <c r="BA57" i="2"/>
  <c r="BE57" i="2"/>
  <c r="BF57" i="2" s="1"/>
  <c r="BG57" i="2"/>
  <c r="BH57" i="2"/>
  <c r="BL57" i="2"/>
  <c r="BM57" i="2"/>
  <c r="BN57" i="2"/>
  <c r="BO57" i="2"/>
  <c r="BQ57" i="2"/>
  <c r="S58" i="2"/>
  <c r="AE58" i="2"/>
  <c r="AL58" i="2"/>
  <c r="AN58" i="2"/>
  <c r="AO58" i="2"/>
  <c r="AP58" i="2"/>
  <c r="AW58" i="2"/>
  <c r="BA58" i="2" s="1"/>
  <c r="AZ58" i="2"/>
  <c r="BE58" i="2"/>
  <c r="BF58" i="2" s="1"/>
  <c r="BG58" i="2"/>
  <c r="BH58" i="2"/>
  <c r="BL58" i="2"/>
  <c r="BM58" i="2"/>
  <c r="BN58" i="2"/>
  <c r="BO58" i="2"/>
  <c r="BQ58" i="2"/>
  <c r="S59" i="2"/>
  <c r="AE59" i="2"/>
  <c r="AL59" i="2"/>
  <c r="AN59" i="2"/>
  <c r="AO59" i="2"/>
  <c r="AP59" i="2"/>
  <c r="AW59" i="2"/>
  <c r="AZ59" i="2"/>
  <c r="BE59" i="2"/>
  <c r="BF59" i="2" s="1"/>
  <c r="BG59" i="2"/>
  <c r="BH59" i="2"/>
  <c r="BL59" i="2"/>
  <c r="BM59" i="2"/>
  <c r="BN59" i="2"/>
  <c r="BO59" i="2"/>
  <c r="BQ59" i="2"/>
  <c r="S60" i="2"/>
  <c r="AE60" i="2"/>
  <c r="AL60" i="2"/>
  <c r="AN60" i="2"/>
  <c r="AO60" i="2"/>
  <c r="AP60" i="2"/>
  <c r="AW60" i="2"/>
  <c r="AZ60" i="2"/>
  <c r="BE60" i="2"/>
  <c r="BF60" i="2" s="1"/>
  <c r="BG60" i="2"/>
  <c r="BH60" i="2"/>
  <c r="BL60" i="2"/>
  <c r="BM60" i="2"/>
  <c r="BN60" i="2"/>
  <c r="BO60" i="2"/>
  <c r="BQ60" i="2"/>
  <c r="S61" i="2"/>
  <c r="AE61" i="2"/>
  <c r="AL61" i="2"/>
  <c r="AN61" i="2"/>
  <c r="AO61" i="2"/>
  <c r="AM61" i="2" s="1"/>
  <c r="AP61" i="2"/>
  <c r="AW61" i="2"/>
  <c r="AZ61" i="2"/>
  <c r="BE61" i="2"/>
  <c r="BF61" i="2" s="1"/>
  <c r="BG61" i="2"/>
  <c r="BH61" i="2"/>
  <c r="BL61" i="2"/>
  <c r="BM61" i="2"/>
  <c r="BN61" i="2"/>
  <c r="BO61" i="2"/>
  <c r="BQ61" i="2"/>
  <c r="S62" i="2"/>
  <c r="AE62" i="2"/>
  <c r="AL62" i="2"/>
  <c r="AN62" i="2"/>
  <c r="AM62" i="2" s="1"/>
  <c r="BP62" i="2" s="1"/>
  <c r="AO62" i="2"/>
  <c r="AP62" i="2"/>
  <c r="AW62" i="2"/>
  <c r="AZ62" i="2"/>
  <c r="BE62" i="2"/>
  <c r="BF62" i="2" s="1"/>
  <c r="BG62" i="2"/>
  <c r="BH62" i="2"/>
  <c r="BL62" i="2"/>
  <c r="BM62" i="2"/>
  <c r="BN62" i="2"/>
  <c r="BO62" i="2"/>
  <c r="BQ62" i="2"/>
  <c r="S63" i="2"/>
  <c r="AE63" i="2"/>
  <c r="AL63" i="2"/>
  <c r="BA63" i="2" s="1"/>
  <c r="AN63" i="2"/>
  <c r="AO63" i="2"/>
  <c r="AP63" i="2"/>
  <c r="AW63" i="2"/>
  <c r="AZ63" i="2"/>
  <c r="BE63" i="2"/>
  <c r="BF63" i="2" s="1"/>
  <c r="BG63" i="2"/>
  <c r="BH63" i="2"/>
  <c r="BL63" i="2"/>
  <c r="BM63" i="2"/>
  <c r="BN63" i="2"/>
  <c r="BO63" i="2"/>
  <c r="BQ63" i="2"/>
  <c r="S64" i="2"/>
  <c r="AE64" i="2"/>
  <c r="AL64" i="2"/>
  <c r="AN64" i="2"/>
  <c r="AO64" i="2"/>
  <c r="AP64" i="2"/>
  <c r="AW64" i="2"/>
  <c r="AZ64" i="2"/>
  <c r="BE64" i="2"/>
  <c r="BF64" i="2" s="1"/>
  <c r="BG64" i="2"/>
  <c r="BH64" i="2"/>
  <c r="BL64" i="2"/>
  <c r="BM64" i="2"/>
  <c r="BN64" i="2"/>
  <c r="BO64" i="2"/>
  <c r="BQ64" i="2"/>
  <c r="S65" i="2"/>
  <c r="AE65" i="2"/>
  <c r="AL65" i="2"/>
  <c r="AN65" i="2"/>
  <c r="AM65" i="2" s="1"/>
  <c r="BP65" i="2" s="1"/>
  <c r="AO65" i="2"/>
  <c r="AP65" i="2"/>
  <c r="AW65" i="2"/>
  <c r="AZ65" i="2"/>
  <c r="BE65" i="2"/>
  <c r="BF65" i="2" s="1"/>
  <c r="BG65" i="2"/>
  <c r="BH65" i="2"/>
  <c r="BL65" i="2"/>
  <c r="BM65" i="2"/>
  <c r="BN65" i="2"/>
  <c r="BO65" i="2"/>
  <c r="BQ65" i="2"/>
  <c r="S66" i="2"/>
  <c r="AE66" i="2"/>
  <c r="AL66" i="2"/>
  <c r="AN66" i="2"/>
  <c r="AO66" i="2"/>
  <c r="AP66" i="2"/>
  <c r="AW66" i="2"/>
  <c r="AZ66" i="2"/>
  <c r="BE66" i="2"/>
  <c r="BF66" i="2" s="1"/>
  <c r="BG66" i="2"/>
  <c r="BH66" i="2"/>
  <c r="BL66" i="2"/>
  <c r="BM66" i="2"/>
  <c r="BN66" i="2"/>
  <c r="BO66" i="2"/>
  <c r="BQ66" i="2"/>
  <c r="S67" i="2"/>
  <c r="AE67" i="2"/>
  <c r="AL67" i="2"/>
  <c r="AN67" i="2"/>
  <c r="AO67" i="2"/>
  <c r="AM67" i="2" s="1"/>
  <c r="AP67" i="2"/>
  <c r="AW67" i="2"/>
  <c r="AZ67" i="2"/>
  <c r="BE67" i="2"/>
  <c r="BF67" i="2" s="1"/>
  <c r="BG67" i="2"/>
  <c r="BH67" i="2"/>
  <c r="BL67" i="2"/>
  <c r="BM67" i="2"/>
  <c r="BN67" i="2"/>
  <c r="BO67" i="2"/>
  <c r="BQ67" i="2"/>
  <c r="S68" i="2"/>
  <c r="AE68" i="2"/>
  <c r="AL68" i="2"/>
  <c r="AN68" i="2"/>
  <c r="AO68" i="2"/>
  <c r="AP68" i="2"/>
  <c r="AW68" i="2"/>
  <c r="AZ68" i="2"/>
  <c r="BE68" i="2"/>
  <c r="BF68" i="2" s="1"/>
  <c r="BG68" i="2"/>
  <c r="BH68" i="2"/>
  <c r="BL68" i="2"/>
  <c r="BM68" i="2"/>
  <c r="BN68" i="2"/>
  <c r="BO68" i="2"/>
  <c r="S69" i="2"/>
  <c r="AE69" i="2"/>
  <c r="AL69" i="2"/>
  <c r="AN69" i="2"/>
  <c r="AO69" i="2"/>
  <c r="AP69" i="2"/>
  <c r="AW69" i="2"/>
  <c r="AZ69" i="2"/>
  <c r="BE69" i="2"/>
  <c r="BF69" i="2" s="1"/>
  <c r="BG69" i="2"/>
  <c r="BH69" i="2"/>
  <c r="BL69" i="2"/>
  <c r="BM69" i="2"/>
  <c r="BN69" i="2"/>
  <c r="BO69" i="2"/>
  <c r="BQ69" i="2"/>
  <c r="S70" i="2"/>
  <c r="AE70" i="2"/>
  <c r="AL70" i="2"/>
  <c r="AN70" i="2"/>
  <c r="AM70" i="2" s="1"/>
  <c r="AO70" i="2"/>
  <c r="AP70" i="2"/>
  <c r="AW70" i="2"/>
  <c r="AZ70" i="2"/>
  <c r="BE70" i="2"/>
  <c r="BF70" i="2" s="1"/>
  <c r="BG70" i="2"/>
  <c r="BH70" i="2"/>
  <c r="BL70" i="2"/>
  <c r="BM70" i="2"/>
  <c r="BN70" i="2"/>
  <c r="BO70" i="2"/>
  <c r="BQ70" i="2"/>
  <c r="S71" i="2"/>
  <c r="AE71" i="2"/>
  <c r="AL71" i="2"/>
  <c r="AN71" i="2"/>
  <c r="AO71" i="2"/>
  <c r="AP71" i="2"/>
  <c r="AW71" i="2"/>
  <c r="AZ71" i="2"/>
  <c r="BE71" i="2"/>
  <c r="BF71" i="2" s="1"/>
  <c r="BG71" i="2"/>
  <c r="BH71" i="2"/>
  <c r="BL71" i="2"/>
  <c r="BM71" i="2"/>
  <c r="BN71" i="2"/>
  <c r="BO71" i="2"/>
  <c r="BQ71" i="2"/>
  <c r="S72" i="2"/>
  <c r="AE72" i="2"/>
  <c r="AL72" i="2"/>
  <c r="AN72" i="2"/>
  <c r="AO72" i="2"/>
  <c r="AP72" i="2"/>
  <c r="AW72" i="2"/>
  <c r="AZ72" i="2"/>
  <c r="BE72" i="2"/>
  <c r="BF72" i="2"/>
  <c r="BG72" i="2"/>
  <c r="BH72" i="2"/>
  <c r="BL72" i="2"/>
  <c r="BM72" i="2"/>
  <c r="BN72" i="2"/>
  <c r="BO72" i="2"/>
  <c r="BQ72" i="2"/>
  <c r="S73" i="2"/>
  <c r="AE73" i="2"/>
  <c r="AL73" i="2"/>
  <c r="AN73" i="2"/>
  <c r="AO73" i="2"/>
  <c r="AP73" i="2"/>
  <c r="AW73" i="2"/>
  <c r="AZ73" i="2"/>
  <c r="BE73" i="2"/>
  <c r="BF73" i="2"/>
  <c r="BG73" i="2"/>
  <c r="BH73" i="2"/>
  <c r="BL73" i="2"/>
  <c r="BM73" i="2"/>
  <c r="BN73" i="2"/>
  <c r="BO73" i="2"/>
  <c r="BQ73" i="2"/>
  <c r="S74" i="2"/>
  <c r="AE74" i="2"/>
  <c r="AL74" i="2"/>
  <c r="BA74" i="2" s="1"/>
  <c r="AN74" i="2"/>
  <c r="AO74" i="2"/>
  <c r="AP74" i="2"/>
  <c r="AW74" i="2"/>
  <c r="AZ74" i="2"/>
  <c r="BE74" i="2"/>
  <c r="BF74" i="2" s="1"/>
  <c r="BG74" i="2"/>
  <c r="BH74" i="2"/>
  <c r="BL74" i="2"/>
  <c r="BM74" i="2"/>
  <c r="BN74" i="2"/>
  <c r="BO74" i="2"/>
  <c r="BQ74" i="2"/>
  <c r="S75" i="2"/>
  <c r="AE75" i="2"/>
  <c r="AL75" i="2"/>
  <c r="AN75" i="2"/>
  <c r="AO75" i="2"/>
  <c r="AP75" i="2"/>
  <c r="AW75" i="2"/>
  <c r="AZ75" i="2"/>
  <c r="BE75" i="2"/>
  <c r="BF75" i="2" s="1"/>
  <c r="BG75" i="2"/>
  <c r="BH75" i="2"/>
  <c r="BL75" i="2"/>
  <c r="BM75" i="2"/>
  <c r="BN75" i="2"/>
  <c r="BO75" i="2"/>
  <c r="BQ75" i="2"/>
  <c r="S76" i="2"/>
  <c r="AE76" i="2"/>
  <c r="AL76" i="2"/>
  <c r="AN76" i="2"/>
  <c r="AO76" i="2"/>
  <c r="AP76" i="2"/>
  <c r="AW76" i="2"/>
  <c r="AZ76" i="2"/>
  <c r="BE76" i="2"/>
  <c r="BF76" i="2" s="1"/>
  <c r="BG76" i="2"/>
  <c r="BH76" i="2"/>
  <c r="BL76" i="2"/>
  <c r="BM76" i="2"/>
  <c r="BN76" i="2"/>
  <c r="BO76" i="2"/>
  <c r="BQ76" i="2"/>
  <c r="S77" i="2"/>
  <c r="AE77" i="2"/>
  <c r="AL77" i="2"/>
  <c r="AN77" i="2"/>
  <c r="AM77" i="2" s="1"/>
  <c r="BP77" i="2" s="1"/>
  <c r="AO77" i="2"/>
  <c r="AP77" i="2"/>
  <c r="AW77" i="2"/>
  <c r="AZ77" i="2"/>
  <c r="BA77" i="2"/>
  <c r="BE77" i="2"/>
  <c r="BF77" i="2" s="1"/>
  <c r="BG77" i="2"/>
  <c r="BH77" i="2"/>
  <c r="BL77" i="2"/>
  <c r="BM77" i="2"/>
  <c r="BN77" i="2"/>
  <c r="BO77" i="2"/>
  <c r="BQ77" i="2"/>
  <c r="S78" i="2"/>
  <c r="AE78" i="2"/>
  <c r="AL78" i="2"/>
  <c r="AN78" i="2"/>
  <c r="AO78" i="2"/>
  <c r="AP78" i="2"/>
  <c r="AW78" i="2"/>
  <c r="AZ78" i="2"/>
  <c r="BE78" i="2"/>
  <c r="BF78" i="2" s="1"/>
  <c r="BG78" i="2"/>
  <c r="BH78" i="2"/>
  <c r="BL78" i="2"/>
  <c r="BM78" i="2"/>
  <c r="BN78" i="2"/>
  <c r="BO78" i="2"/>
  <c r="BQ78" i="2"/>
  <c r="S79" i="2"/>
  <c r="AE79" i="2"/>
  <c r="AL79" i="2"/>
  <c r="AN79" i="2"/>
  <c r="AO79" i="2"/>
  <c r="AM79" i="2" s="1"/>
  <c r="AP79" i="2"/>
  <c r="AW79" i="2"/>
  <c r="AZ79" i="2"/>
  <c r="BE79" i="2"/>
  <c r="BF79" i="2"/>
  <c r="BG79" i="2"/>
  <c r="BH79" i="2"/>
  <c r="BL79" i="2"/>
  <c r="BM79" i="2"/>
  <c r="BN79" i="2"/>
  <c r="BO79" i="2"/>
  <c r="BQ79" i="2"/>
  <c r="S80" i="2"/>
  <c r="AE80" i="2"/>
  <c r="AL80" i="2"/>
  <c r="AN80" i="2"/>
  <c r="AM80" i="2" s="1"/>
  <c r="AO80" i="2"/>
  <c r="AP80" i="2"/>
  <c r="AW80" i="2"/>
  <c r="AZ80" i="2"/>
  <c r="BE80" i="2"/>
  <c r="BF80" i="2" s="1"/>
  <c r="BG80" i="2"/>
  <c r="BH80" i="2"/>
  <c r="BL80" i="2"/>
  <c r="BM80" i="2"/>
  <c r="BN80" i="2"/>
  <c r="BO80" i="2"/>
  <c r="BQ80" i="2"/>
  <c r="S81" i="2"/>
  <c r="AE81" i="2"/>
  <c r="AL81" i="2"/>
  <c r="AN81" i="2"/>
  <c r="AO81" i="2"/>
  <c r="AP81" i="2"/>
  <c r="AW81" i="2"/>
  <c r="AZ81" i="2"/>
  <c r="BE81" i="2"/>
  <c r="BF81" i="2" s="1"/>
  <c r="BG81" i="2"/>
  <c r="BH81" i="2"/>
  <c r="BL81" i="2"/>
  <c r="BM81" i="2"/>
  <c r="BN81" i="2"/>
  <c r="BO81" i="2"/>
  <c r="BQ81" i="2"/>
  <c r="S82" i="2"/>
  <c r="AE82" i="2"/>
  <c r="AL82" i="2"/>
  <c r="AN82" i="2"/>
  <c r="AO82" i="2"/>
  <c r="AP82" i="2"/>
  <c r="AW82" i="2"/>
  <c r="AZ82" i="2"/>
  <c r="BE82" i="2"/>
  <c r="BF82" i="2"/>
  <c r="BG82" i="2"/>
  <c r="BH82" i="2"/>
  <c r="BL82" i="2"/>
  <c r="BM82" i="2"/>
  <c r="BN82" i="2"/>
  <c r="BO82" i="2"/>
  <c r="BQ82" i="2"/>
  <c r="S83" i="2"/>
  <c r="AE83" i="2"/>
  <c r="AL83" i="2"/>
  <c r="AN83" i="2"/>
  <c r="AO83" i="2"/>
  <c r="AP83" i="2"/>
  <c r="AW83" i="2"/>
  <c r="AZ83" i="2"/>
  <c r="BE83" i="2"/>
  <c r="BF83" i="2" s="1"/>
  <c r="BG83" i="2"/>
  <c r="BH83" i="2"/>
  <c r="BL83" i="2"/>
  <c r="BM83" i="2"/>
  <c r="BN83" i="2"/>
  <c r="BO83" i="2"/>
  <c r="S84" i="2"/>
  <c r="AE84" i="2"/>
  <c r="AL84" i="2"/>
  <c r="AN84" i="2"/>
  <c r="AO84" i="2"/>
  <c r="AP84" i="2"/>
  <c r="AW84" i="2"/>
  <c r="AZ84" i="2"/>
  <c r="BE84" i="2"/>
  <c r="BF84" i="2" s="1"/>
  <c r="BG84" i="2"/>
  <c r="BH84" i="2"/>
  <c r="BL84" i="2"/>
  <c r="BM84" i="2"/>
  <c r="BN84" i="2"/>
  <c r="BO84" i="2"/>
  <c r="BQ84" i="2"/>
  <c r="S85" i="2"/>
  <c r="AE85" i="2"/>
  <c r="AL85" i="2"/>
  <c r="AN85" i="2"/>
  <c r="AO85" i="2"/>
  <c r="AP85" i="2"/>
  <c r="AW85" i="2"/>
  <c r="AZ85" i="2"/>
  <c r="BE85" i="2"/>
  <c r="BF85" i="2"/>
  <c r="BG85" i="2"/>
  <c r="BH85" i="2"/>
  <c r="BL85" i="2"/>
  <c r="BM85" i="2"/>
  <c r="BN85" i="2"/>
  <c r="BO85" i="2"/>
  <c r="BQ85" i="2"/>
  <c r="S86" i="2"/>
  <c r="AE86" i="2"/>
  <c r="AL86" i="2"/>
  <c r="AN86" i="2"/>
  <c r="AO86" i="2"/>
  <c r="AP86" i="2"/>
  <c r="AW86" i="2"/>
  <c r="AZ86" i="2"/>
  <c r="BE86" i="2"/>
  <c r="BF86" i="2" s="1"/>
  <c r="BG86" i="2"/>
  <c r="BH86" i="2"/>
  <c r="BL86" i="2"/>
  <c r="BM86" i="2"/>
  <c r="BN86" i="2"/>
  <c r="BO86" i="2"/>
  <c r="S87" i="2"/>
  <c r="AE87" i="2"/>
  <c r="AL87" i="2"/>
  <c r="AN87" i="2"/>
  <c r="AM87" i="2" s="1"/>
  <c r="BP87" i="2" s="1"/>
  <c r="AO87" i="2"/>
  <c r="AP87" i="2"/>
  <c r="AW87" i="2"/>
  <c r="AZ87" i="2"/>
  <c r="BE87" i="2"/>
  <c r="BF87" i="2" s="1"/>
  <c r="BG87" i="2"/>
  <c r="BH87" i="2"/>
  <c r="BL87" i="2"/>
  <c r="BM87" i="2"/>
  <c r="BN87" i="2"/>
  <c r="BO87" i="2"/>
  <c r="BQ87" i="2"/>
  <c r="S88" i="2"/>
  <c r="AE88" i="2"/>
  <c r="AL88" i="2"/>
  <c r="AN88" i="2"/>
  <c r="AM88" i="2" s="1"/>
  <c r="AO88" i="2"/>
  <c r="AP88" i="2"/>
  <c r="AW88" i="2"/>
  <c r="AZ88" i="2"/>
  <c r="BE88" i="2"/>
  <c r="BF88" i="2" s="1"/>
  <c r="BG88" i="2"/>
  <c r="BH88" i="2"/>
  <c r="BL88" i="2"/>
  <c r="BM88" i="2"/>
  <c r="BN88" i="2"/>
  <c r="BO88" i="2"/>
  <c r="BQ88" i="2"/>
  <c r="S89" i="2"/>
  <c r="AE89" i="2"/>
  <c r="AL89" i="2"/>
  <c r="AN89" i="2"/>
  <c r="AO89" i="2"/>
  <c r="AP89" i="2"/>
  <c r="AW89" i="2"/>
  <c r="AZ89" i="2"/>
  <c r="BE89" i="2"/>
  <c r="BF89" i="2"/>
  <c r="BG89" i="2"/>
  <c r="BH89" i="2"/>
  <c r="BL89" i="2"/>
  <c r="BM89" i="2"/>
  <c r="BN89" i="2"/>
  <c r="BO89" i="2"/>
  <c r="BQ89" i="2"/>
  <c r="S90" i="2"/>
  <c r="AE90" i="2"/>
  <c r="AL90" i="2"/>
  <c r="AN90" i="2"/>
  <c r="AO90" i="2"/>
  <c r="AM90" i="2" s="1"/>
  <c r="AP90" i="2"/>
  <c r="AW90" i="2"/>
  <c r="AZ90" i="2"/>
  <c r="BE90" i="2"/>
  <c r="BF90" i="2"/>
  <c r="BG90" i="2"/>
  <c r="BH90" i="2"/>
  <c r="BL90" i="2"/>
  <c r="BM90" i="2"/>
  <c r="BQ90" i="2"/>
  <c r="S91" i="2"/>
  <c r="AE91" i="2"/>
  <c r="AL91" i="2"/>
  <c r="AN91" i="2"/>
  <c r="AO91" i="2"/>
  <c r="AP91" i="2"/>
  <c r="AW91" i="2"/>
  <c r="AZ91" i="2"/>
  <c r="BB91" i="2" s="1"/>
  <c r="BE91" i="2"/>
  <c r="BF91" i="2" s="1"/>
  <c r="BG91" i="2"/>
  <c r="BH91" i="2"/>
  <c r="BL91" i="2"/>
  <c r="BM91" i="2"/>
  <c r="BN91" i="2"/>
  <c r="BO91" i="2"/>
  <c r="BQ91" i="2"/>
  <c r="S92" i="2"/>
  <c r="AE92" i="2"/>
  <c r="AL92" i="2"/>
  <c r="AN92" i="2"/>
  <c r="AO92" i="2"/>
  <c r="AP92" i="2"/>
  <c r="AW92" i="2"/>
  <c r="AZ92" i="2"/>
  <c r="BE92" i="2"/>
  <c r="BF92" i="2" s="1"/>
  <c r="BG92" i="2"/>
  <c r="BH92" i="2"/>
  <c r="BL92" i="2"/>
  <c r="BM92" i="2"/>
  <c r="BN92" i="2"/>
  <c r="BO92" i="2"/>
  <c r="BQ92" i="2"/>
  <c r="S93" i="2"/>
  <c r="AE93" i="2"/>
  <c r="AL93" i="2"/>
  <c r="AN93" i="2"/>
  <c r="AO93" i="2"/>
  <c r="AP93" i="2"/>
  <c r="AW93" i="2"/>
  <c r="AZ93" i="2"/>
  <c r="BE93" i="2"/>
  <c r="BF93" i="2"/>
  <c r="BG93" i="2"/>
  <c r="BH93" i="2"/>
  <c r="BL93" i="2"/>
  <c r="BM93" i="2"/>
  <c r="BN93" i="2"/>
  <c r="BO93" i="2"/>
  <c r="BQ93" i="2"/>
  <c r="S94" i="2"/>
  <c r="AE94" i="2"/>
  <c r="AL94" i="2"/>
  <c r="AN94" i="2"/>
  <c r="AO94" i="2"/>
  <c r="AP94" i="2"/>
  <c r="AW94" i="2"/>
  <c r="AZ94" i="2"/>
  <c r="BE94" i="2"/>
  <c r="BF94" i="2" s="1"/>
  <c r="BG94" i="2"/>
  <c r="BH94" i="2"/>
  <c r="BL94" i="2"/>
  <c r="BM94" i="2"/>
  <c r="BN94" i="2"/>
  <c r="BO94" i="2"/>
  <c r="BQ94" i="2"/>
  <c r="S95" i="2"/>
  <c r="AE95" i="2"/>
  <c r="AL95" i="2"/>
  <c r="AN95" i="2"/>
  <c r="AO95" i="2"/>
  <c r="AP95" i="2"/>
  <c r="AW95" i="2"/>
  <c r="AZ95" i="2"/>
  <c r="BE95" i="2"/>
  <c r="BF95" i="2"/>
  <c r="BG95" i="2"/>
  <c r="BH95" i="2"/>
  <c r="BL95" i="2"/>
  <c r="BM95" i="2"/>
  <c r="BN95" i="2"/>
  <c r="BO95" i="2"/>
  <c r="BQ95" i="2"/>
  <c r="S96" i="2"/>
  <c r="AE96" i="2"/>
  <c r="AL96" i="2"/>
  <c r="BA96" i="2" s="1"/>
  <c r="AN96" i="2"/>
  <c r="AM96" i="2" s="1"/>
  <c r="AO96" i="2"/>
  <c r="AP96" i="2"/>
  <c r="AW96" i="2"/>
  <c r="AZ96" i="2"/>
  <c r="BE96" i="2"/>
  <c r="BF96" i="2"/>
  <c r="BG96" i="2"/>
  <c r="BH96" i="2"/>
  <c r="BL96" i="2"/>
  <c r="BM96" i="2"/>
  <c r="BN96" i="2"/>
  <c r="BO96" i="2"/>
  <c r="BQ96" i="2"/>
  <c r="S97" i="2"/>
  <c r="AE97" i="2"/>
  <c r="AL97" i="2"/>
  <c r="AN97" i="2"/>
  <c r="AO97" i="2"/>
  <c r="AM97" i="2" s="1"/>
  <c r="AP97" i="2"/>
  <c r="AW97" i="2"/>
  <c r="AZ97" i="2"/>
  <c r="BE97" i="2"/>
  <c r="BF97" i="2" s="1"/>
  <c r="BG97" i="2"/>
  <c r="BH97" i="2"/>
  <c r="BL97" i="2"/>
  <c r="BM97" i="2"/>
  <c r="BN97" i="2"/>
  <c r="BO97" i="2"/>
  <c r="BQ97" i="2"/>
  <c r="S98" i="2"/>
  <c r="AE98" i="2"/>
  <c r="AL98" i="2"/>
  <c r="AN98" i="2"/>
  <c r="AO98" i="2"/>
  <c r="AP98" i="2"/>
  <c r="AW98" i="2"/>
  <c r="AZ98" i="2"/>
  <c r="BE98" i="2"/>
  <c r="BF98" i="2" s="1"/>
  <c r="BG98" i="2"/>
  <c r="BH98" i="2"/>
  <c r="BL98" i="2"/>
  <c r="BM98" i="2"/>
  <c r="BN98" i="2"/>
  <c r="BO98" i="2"/>
  <c r="BQ98" i="2"/>
  <c r="S99" i="2"/>
  <c r="AE99" i="2"/>
  <c r="AL99" i="2"/>
  <c r="AN99" i="2"/>
  <c r="AO99" i="2"/>
  <c r="AP99" i="2"/>
  <c r="AW99" i="2"/>
  <c r="AZ99" i="2"/>
  <c r="BE99" i="2"/>
  <c r="BF99" i="2" s="1"/>
  <c r="BG99" i="2"/>
  <c r="BH99" i="2"/>
  <c r="BL99" i="2"/>
  <c r="BM99" i="2"/>
  <c r="BN99" i="2"/>
  <c r="BO99" i="2"/>
  <c r="BQ99" i="2"/>
  <c r="S100" i="2"/>
  <c r="AE100" i="2"/>
  <c r="AL100" i="2"/>
  <c r="AN100" i="2"/>
  <c r="AO100" i="2"/>
  <c r="AP100" i="2"/>
  <c r="AW100" i="2"/>
  <c r="BA100" i="2" s="1"/>
  <c r="AZ100" i="2"/>
  <c r="BE100" i="2"/>
  <c r="BF100" i="2" s="1"/>
  <c r="BG100" i="2"/>
  <c r="BH100" i="2"/>
  <c r="BL100" i="2"/>
  <c r="BM100" i="2"/>
  <c r="BN100" i="2"/>
  <c r="BO100" i="2"/>
  <c r="BQ100" i="2"/>
  <c r="S101" i="2"/>
  <c r="AE101" i="2"/>
  <c r="AL101" i="2"/>
  <c r="AN101" i="2"/>
  <c r="AO101" i="2"/>
  <c r="AP101" i="2"/>
  <c r="AW101" i="2"/>
  <c r="AZ101" i="2"/>
  <c r="BE101" i="2"/>
  <c r="BF101" i="2"/>
  <c r="BG101" i="2"/>
  <c r="BH101" i="2"/>
  <c r="BL101" i="2"/>
  <c r="BM101" i="2"/>
  <c r="BN101" i="2"/>
  <c r="BO101" i="2"/>
  <c r="BQ101" i="2"/>
  <c r="S102" i="2"/>
  <c r="AE102" i="2"/>
  <c r="AL102" i="2"/>
  <c r="AN102" i="2"/>
  <c r="AM102" i="2" s="1"/>
  <c r="AO102" i="2"/>
  <c r="AP102" i="2"/>
  <c r="AW102" i="2"/>
  <c r="AZ102" i="2"/>
  <c r="BA102" i="2"/>
  <c r="BE102" i="2"/>
  <c r="BF102" i="2" s="1"/>
  <c r="BG102" i="2"/>
  <c r="BH102" i="2"/>
  <c r="BL102" i="2"/>
  <c r="BM102" i="2"/>
  <c r="BN102" i="2"/>
  <c r="BO102" i="2"/>
  <c r="BQ102" i="2"/>
  <c r="S103" i="2"/>
  <c r="AE103" i="2"/>
  <c r="AL103" i="2"/>
  <c r="AN103" i="2"/>
  <c r="AO103" i="2"/>
  <c r="AP103" i="2"/>
  <c r="AW103" i="2"/>
  <c r="AZ103" i="2"/>
  <c r="BE103" i="2"/>
  <c r="BF103" i="2" s="1"/>
  <c r="BG103" i="2"/>
  <c r="BH103" i="2"/>
  <c r="BL103" i="2"/>
  <c r="BM103" i="2"/>
  <c r="BN103" i="2"/>
  <c r="BO103" i="2"/>
  <c r="BQ103" i="2"/>
  <c r="S104" i="2"/>
  <c r="AE104" i="2"/>
  <c r="AL104" i="2"/>
  <c r="AN104" i="2"/>
  <c r="AO104" i="2"/>
  <c r="AP104" i="2"/>
  <c r="AW104" i="2"/>
  <c r="AZ104" i="2"/>
  <c r="BE104" i="2"/>
  <c r="BF104" i="2"/>
  <c r="BG104" i="2"/>
  <c r="BH104" i="2"/>
  <c r="BL104" i="2"/>
  <c r="BM104" i="2"/>
  <c r="BN104" i="2"/>
  <c r="BO104" i="2"/>
  <c r="BQ104" i="2"/>
  <c r="S105" i="2"/>
  <c r="AE105" i="2"/>
  <c r="AL105" i="2"/>
  <c r="AM105" i="2"/>
  <c r="BP105" i="2" s="1"/>
  <c r="AN105" i="2"/>
  <c r="AO105" i="2"/>
  <c r="AP105" i="2"/>
  <c r="AW105" i="2"/>
  <c r="AZ105" i="2"/>
  <c r="BE105" i="2"/>
  <c r="BF105" i="2" s="1"/>
  <c r="BG105" i="2"/>
  <c r="BH105" i="2"/>
  <c r="BL105" i="2"/>
  <c r="BM105" i="2"/>
  <c r="BN105" i="2"/>
  <c r="BO105" i="2"/>
  <c r="BQ105" i="2"/>
  <c r="S106" i="2"/>
  <c r="AE106" i="2"/>
  <c r="AL106" i="2"/>
  <c r="AN106" i="2"/>
  <c r="AO106" i="2"/>
  <c r="AP106" i="2"/>
  <c r="AW106" i="2"/>
  <c r="AZ106" i="2"/>
  <c r="BE106" i="2"/>
  <c r="BF106" i="2" s="1"/>
  <c r="BG106" i="2"/>
  <c r="BH106" i="2"/>
  <c r="BL106" i="2"/>
  <c r="BM106" i="2"/>
  <c r="BN106" i="2"/>
  <c r="BO106" i="2"/>
  <c r="BQ106" i="2"/>
  <c r="S107" i="2"/>
  <c r="AE107" i="2"/>
  <c r="AL107" i="2"/>
  <c r="AN107" i="2"/>
  <c r="AO107" i="2"/>
  <c r="AP107" i="2"/>
  <c r="AW107" i="2"/>
  <c r="AZ107" i="2"/>
  <c r="BE107" i="2"/>
  <c r="BF107" i="2" s="1"/>
  <c r="BG107" i="2"/>
  <c r="BH107" i="2"/>
  <c r="BL107" i="2"/>
  <c r="BM107" i="2"/>
  <c r="BN107" i="2"/>
  <c r="BO107" i="2"/>
  <c r="BQ107" i="2"/>
  <c r="S108" i="2"/>
  <c r="AE108" i="2"/>
  <c r="AL108" i="2"/>
  <c r="AN108" i="2"/>
  <c r="AO108" i="2"/>
  <c r="AM108" i="2" s="1"/>
  <c r="AP108" i="2"/>
  <c r="AW108" i="2"/>
  <c r="AZ108" i="2"/>
  <c r="BE108" i="2"/>
  <c r="BF108" i="2" s="1"/>
  <c r="BG108" i="2"/>
  <c r="BH108" i="2"/>
  <c r="BL108" i="2"/>
  <c r="BM108" i="2"/>
  <c r="BN108" i="2"/>
  <c r="BO108" i="2"/>
  <c r="BQ108" i="2"/>
  <c r="S109" i="2"/>
  <c r="AE109" i="2"/>
  <c r="AL109" i="2"/>
  <c r="AN109" i="2"/>
  <c r="AO109" i="2"/>
  <c r="AP109" i="2"/>
  <c r="AW109" i="2"/>
  <c r="AZ109" i="2"/>
  <c r="BE109" i="2"/>
  <c r="BF109" i="2" s="1"/>
  <c r="BG109" i="2"/>
  <c r="BH109" i="2"/>
  <c r="BL109" i="2"/>
  <c r="BM109" i="2"/>
  <c r="BN109" i="2"/>
  <c r="BO109" i="2"/>
  <c r="BQ109" i="2"/>
  <c r="S110" i="2"/>
  <c r="AE110" i="2"/>
  <c r="AL110" i="2"/>
  <c r="AN110" i="2"/>
  <c r="AO110" i="2"/>
  <c r="AP110" i="2"/>
  <c r="AW110" i="2"/>
  <c r="AZ110" i="2"/>
  <c r="BE110" i="2"/>
  <c r="BF110" i="2" s="1"/>
  <c r="BG110" i="2"/>
  <c r="BH110" i="2"/>
  <c r="BL110" i="2"/>
  <c r="BM110" i="2"/>
  <c r="BN110" i="2"/>
  <c r="BO110" i="2"/>
  <c r="BQ110" i="2"/>
  <c r="S111" i="2"/>
  <c r="AE111" i="2"/>
  <c r="AL111" i="2"/>
  <c r="BB111" i="2" s="1"/>
  <c r="AN111" i="2"/>
  <c r="AO111" i="2"/>
  <c r="AP111" i="2"/>
  <c r="AW111" i="2"/>
  <c r="AZ111" i="2"/>
  <c r="BE111" i="2"/>
  <c r="BF111" i="2"/>
  <c r="BG111" i="2"/>
  <c r="BH111" i="2"/>
  <c r="BL111" i="2"/>
  <c r="BM111" i="2"/>
  <c r="BN111" i="2"/>
  <c r="BO111" i="2"/>
  <c r="BQ111" i="2"/>
  <c r="S112" i="2"/>
  <c r="AE112" i="2"/>
  <c r="AL112" i="2"/>
  <c r="AN112" i="2"/>
  <c r="AO112" i="2"/>
  <c r="AP112" i="2"/>
  <c r="AW112" i="2"/>
  <c r="AZ112" i="2"/>
  <c r="BE112" i="2"/>
  <c r="BF112" i="2" s="1"/>
  <c r="BG112" i="2"/>
  <c r="BH112" i="2"/>
  <c r="BL112" i="2"/>
  <c r="BM112" i="2"/>
  <c r="BN112" i="2"/>
  <c r="BO112" i="2"/>
  <c r="BQ112" i="2"/>
  <c r="S113" i="2"/>
  <c r="AE113" i="2"/>
  <c r="AL113" i="2"/>
  <c r="AN113" i="2"/>
  <c r="AO113" i="2"/>
  <c r="AP113" i="2"/>
  <c r="AW113" i="2"/>
  <c r="AZ113" i="2"/>
  <c r="BE113" i="2"/>
  <c r="BF113" i="2" s="1"/>
  <c r="BG113" i="2"/>
  <c r="BH113" i="2"/>
  <c r="BL113" i="2"/>
  <c r="BM113" i="2"/>
  <c r="BN113" i="2"/>
  <c r="BO113" i="2"/>
  <c r="BQ113" i="2"/>
  <c r="S114" i="2"/>
  <c r="AE114" i="2"/>
  <c r="AL114" i="2"/>
  <c r="AN114" i="2"/>
  <c r="AM114" i="2" s="1"/>
  <c r="BP114" i="2" s="1"/>
  <c r="AO114" i="2"/>
  <c r="AP114" i="2"/>
  <c r="AW114" i="2"/>
  <c r="AZ114" i="2"/>
  <c r="BB114" i="2" s="1"/>
  <c r="BE114" i="2"/>
  <c r="BF114" i="2" s="1"/>
  <c r="BG114" i="2"/>
  <c r="BH114" i="2"/>
  <c r="BL114" i="2"/>
  <c r="BM114" i="2"/>
  <c r="BN114" i="2"/>
  <c r="BO114" i="2"/>
  <c r="BQ114" i="2"/>
  <c r="S115" i="2"/>
  <c r="AE115" i="2"/>
  <c r="AL115" i="2"/>
  <c r="AN115" i="2"/>
  <c r="AO115" i="2"/>
  <c r="AP115" i="2"/>
  <c r="AW115" i="2"/>
  <c r="AZ115" i="2"/>
  <c r="BE115" i="2"/>
  <c r="BF115" i="2" s="1"/>
  <c r="BG115" i="2"/>
  <c r="BH115" i="2"/>
  <c r="BL115" i="2"/>
  <c r="BM115" i="2"/>
  <c r="BN115" i="2"/>
  <c r="BO115" i="2"/>
  <c r="BQ115" i="2"/>
  <c r="S116" i="2"/>
  <c r="AE116" i="2"/>
  <c r="AL116" i="2"/>
  <c r="AN116" i="2"/>
  <c r="AO116" i="2"/>
  <c r="AP116" i="2"/>
  <c r="AW116" i="2"/>
  <c r="AZ116" i="2"/>
  <c r="BE116" i="2"/>
  <c r="BF116" i="2" s="1"/>
  <c r="BG116" i="2"/>
  <c r="BH116" i="2"/>
  <c r="BL116" i="2"/>
  <c r="BM116" i="2"/>
  <c r="BN116" i="2"/>
  <c r="BO116" i="2"/>
  <c r="BQ116" i="2"/>
  <c r="S117" i="2"/>
  <c r="AE117" i="2"/>
  <c r="AL117" i="2"/>
  <c r="AN117" i="2"/>
  <c r="AO117" i="2"/>
  <c r="AP117" i="2"/>
  <c r="AW117" i="2"/>
  <c r="AZ117" i="2"/>
  <c r="BE117" i="2"/>
  <c r="BF117" i="2" s="1"/>
  <c r="BG117" i="2"/>
  <c r="BH117" i="2"/>
  <c r="BL117" i="2"/>
  <c r="BM117" i="2"/>
  <c r="BN117" i="2"/>
  <c r="BO117" i="2"/>
  <c r="BQ117" i="2"/>
  <c r="S118" i="2"/>
  <c r="AE118" i="2"/>
  <c r="AL118" i="2"/>
  <c r="AN118" i="2"/>
  <c r="AO118" i="2"/>
  <c r="AP118" i="2"/>
  <c r="AW118" i="2"/>
  <c r="AZ118" i="2"/>
  <c r="BE118" i="2"/>
  <c r="BF118" i="2"/>
  <c r="BG118" i="2"/>
  <c r="BH118" i="2"/>
  <c r="BL118" i="2"/>
  <c r="BM118" i="2"/>
  <c r="BN118" i="2"/>
  <c r="BO118" i="2"/>
  <c r="BQ118" i="2"/>
  <c r="S119" i="2"/>
  <c r="AE119" i="2"/>
  <c r="AL119" i="2"/>
  <c r="AN119" i="2"/>
  <c r="AO119" i="2"/>
  <c r="AP119" i="2"/>
  <c r="AW119" i="2"/>
  <c r="AZ119" i="2"/>
  <c r="BE119" i="2"/>
  <c r="BF119" i="2" s="1"/>
  <c r="BG119" i="2"/>
  <c r="BH119" i="2"/>
  <c r="BL119" i="2"/>
  <c r="BM119" i="2"/>
  <c r="BN119" i="2"/>
  <c r="BO119" i="2"/>
  <c r="BQ119" i="2"/>
  <c r="S120" i="2"/>
  <c r="AE120" i="2"/>
  <c r="AL120" i="2"/>
  <c r="AN120" i="2"/>
  <c r="AO120" i="2"/>
  <c r="AM120" i="2" s="1"/>
  <c r="AP120" i="2"/>
  <c r="AW120" i="2"/>
  <c r="AZ120" i="2"/>
  <c r="BE120" i="2"/>
  <c r="BF120" i="2" s="1"/>
  <c r="BG120" i="2"/>
  <c r="BH120" i="2"/>
  <c r="BL120" i="2"/>
  <c r="BM120" i="2"/>
  <c r="BN120" i="2"/>
  <c r="BO120" i="2"/>
  <c r="BQ120" i="2"/>
  <c r="S121" i="2"/>
  <c r="AE121" i="2"/>
  <c r="AL121" i="2"/>
  <c r="AN121" i="2"/>
  <c r="AO121" i="2"/>
  <c r="AP121" i="2"/>
  <c r="AW121" i="2"/>
  <c r="AZ121" i="2"/>
  <c r="BE121" i="2"/>
  <c r="BF121" i="2" s="1"/>
  <c r="BG121" i="2"/>
  <c r="BH121" i="2"/>
  <c r="BL121" i="2"/>
  <c r="BM121" i="2"/>
  <c r="BN121" i="2"/>
  <c r="BO121" i="2"/>
  <c r="BQ121" i="2"/>
  <c r="S122" i="2"/>
  <c r="AE122" i="2"/>
  <c r="AL122" i="2"/>
  <c r="AN122" i="2"/>
  <c r="AO122" i="2"/>
  <c r="AP122" i="2"/>
  <c r="AW122" i="2"/>
  <c r="AZ122" i="2"/>
  <c r="BE122" i="2"/>
  <c r="BF122" i="2"/>
  <c r="BG122" i="2"/>
  <c r="BH122" i="2"/>
  <c r="BL122" i="2"/>
  <c r="BM122" i="2"/>
  <c r="BN122" i="2"/>
  <c r="BO122" i="2"/>
  <c r="BQ122" i="2"/>
  <c r="S123" i="2"/>
  <c r="AE123" i="2"/>
  <c r="AL123" i="2"/>
  <c r="AN123" i="2"/>
  <c r="AO123" i="2"/>
  <c r="AP123" i="2"/>
  <c r="AW123" i="2"/>
  <c r="AZ123" i="2"/>
  <c r="BE123" i="2"/>
  <c r="BF123" i="2"/>
  <c r="BG123" i="2"/>
  <c r="BH123" i="2"/>
  <c r="BL123" i="2"/>
  <c r="BM123" i="2"/>
  <c r="BN123" i="2"/>
  <c r="BO123" i="2"/>
  <c r="BQ123" i="2"/>
  <c r="S124" i="2"/>
  <c r="AE124" i="2"/>
  <c r="AL124" i="2"/>
  <c r="AN124" i="2"/>
  <c r="AM124" i="2" s="1"/>
  <c r="AO124" i="2"/>
  <c r="AP124" i="2"/>
  <c r="AW124" i="2"/>
  <c r="BA124" i="2" s="1"/>
  <c r="AZ124" i="2"/>
  <c r="BE124" i="2"/>
  <c r="BF124" i="2"/>
  <c r="BG124" i="2"/>
  <c r="BH124" i="2"/>
  <c r="BL124" i="2"/>
  <c r="BM124" i="2"/>
  <c r="BN124" i="2"/>
  <c r="BO124" i="2"/>
  <c r="BQ124" i="2"/>
  <c r="S125" i="2"/>
  <c r="AE125" i="2"/>
  <c r="AL125" i="2"/>
  <c r="BA125" i="2" s="1"/>
  <c r="AN125" i="2"/>
  <c r="AO125" i="2"/>
  <c r="AP125" i="2"/>
  <c r="AW125" i="2"/>
  <c r="AZ125" i="2"/>
  <c r="BE125" i="2"/>
  <c r="BF125" i="2" s="1"/>
  <c r="BG125" i="2"/>
  <c r="BH125" i="2"/>
  <c r="BL125" i="2"/>
  <c r="BM125" i="2"/>
  <c r="BN125" i="2"/>
  <c r="BO125" i="2"/>
  <c r="BQ125" i="2"/>
  <c r="S126" i="2"/>
  <c r="AL126" i="2"/>
  <c r="AQ126" i="2" s="1"/>
  <c r="AR126" i="2" s="1"/>
  <c r="AN126" i="2"/>
  <c r="AO126" i="2"/>
  <c r="AM126" i="2" s="1"/>
  <c r="AP126" i="2"/>
  <c r="AW126" i="2"/>
  <c r="AZ126" i="2"/>
  <c r="BE126" i="2"/>
  <c r="BF126" i="2" s="1"/>
  <c r="BG126" i="2"/>
  <c r="BH126" i="2"/>
  <c r="BL126" i="2"/>
  <c r="BM126" i="2"/>
  <c r="BN126" i="2"/>
  <c r="BO126" i="2"/>
  <c r="BQ126" i="2"/>
  <c r="S127" i="2"/>
  <c r="AL127" i="2"/>
  <c r="AN127" i="2"/>
  <c r="AO127" i="2"/>
  <c r="AP127" i="2"/>
  <c r="AW127" i="2"/>
  <c r="AZ127" i="2"/>
  <c r="BB127" i="2" s="1"/>
  <c r="BE127" i="2"/>
  <c r="BF127" i="2" s="1"/>
  <c r="BG127" i="2"/>
  <c r="BH127" i="2"/>
  <c r="BL127" i="2"/>
  <c r="BM127" i="2"/>
  <c r="BN127" i="2"/>
  <c r="BO127" i="2"/>
  <c r="BQ127" i="2"/>
  <c r="S128" i="2"/>
  <c r="AE128" i="2"/>
  <c r="AL128" i="2"/>
  <c r="AN128" i="2"/>
  <c r="AM128" i="2" s="1"/>
  <c r="AO128" i="2"/>
  <c r="AP128" i="2"/>
  <c r="AW128" i="2"/>
  <c r="AZ128" i="2"/>
  <c r="BE128" i="2"/>
  <c r="BF128" i="2" s="1"/>
  <c r="BG128" i="2"/>
  <c r="BH128" i="2"/>
  <c r="BL128" i="2"/>
  <c r="BM128" i="2"/>
  <c r="BN128" i="2"/>
  <c r="BO128" i="2"/>
  <c r="BQ128" i="2"/>
  <c r="S129" i="2"/>
  <c r="AE129" i="2"/>
  <c r="AL129" i="2"/>
  <c r="AN129" i="2"/>
  <c r="AO129" i="2"/>
  <c r="AP129" i="2"/>
  <c r="AW129" i="2"/>
  <c r="AZ129" i="2"/>
  <c r="BE129" i="2"/>
  <c r="BF129" i="2" s="1"/>
  <c r="BG129" i="2"/>
  <c r="BH129" i="2"/>
  <c r="BL129" i="2"/>
  <c r="BM129" i="2"/>
  <c r="BN129" i="2"/>
  <c r="BO129" i="2"/>
  <c r="BQ129" i="2"/>
  <c r="S130" i="2"/>
  <c r="AE130" i="2"/>
  <c r="AL130" i="2"/>
  <c r="BA130" i="2" s="1"/>
  <c r="AN130" i="2"/>
  <c r="AO130" i="2"/>
  <c r="AP130" i="2"/>
  <c r="AW130" i="2"/>
  <c r="AZ130" i="2"/>
  <c r="BE130" i="2"/>
  <c r="BF130" i="2" s="1"/>
  <c r="BG130" i="2"/>
  <c r="BH130" i="2"/>
  <c r="BL130" i="2"/>
  <c r="BM130" i="2"/>
  <c r="BN130" i="2"/>
  <c r="BO130" i="2"/>
  <c r="BQ130" i="2"/>
  <c r="S131" i="2"/>
  <c r="AE131" i="2"/>
  <c r="AL131" i="2"/>
  <c r="BA131" i="2" s="1"/>
  <c r="AN131" i="2"/>
  <c r="AO131" i="2"/>
  <c r="AP131" i="2"/>
  <c r="AW131" i="2"/>
  <c r="AZ131" i="2"/>
  <c r="BE131" i="2"/>
  <c r="BF131" i="2" s="1"/>
  <c r="BG131" i="2"/>
  <c r="BH131" i="2"/>
  <c r="BL131" i="2"/>
  <c r="BM131" i="2"/>
  <c r="BN131" i="2"/>
  <c r="BO131" i="2"/>
  <c r="BQ131" i="2"/>
  <c r="S132" i="2"/>
  <c r="AE132" i="2"/>
  <c r="AL132" i="2"/>
  <c r="AN132" i="2"/>
  <c r="AO132" i="2"/>
  <c r="AP132" i="2"/>
  <c r="AW132" i="2"/>
  <c r="AZ132" i="2"/>
  <c r="BE132" i="2"/>
  <c r="BF132" i="2" s="1"/>
  <c r="BG132" i="2"/>
  <c r="BH132" i="2"/>
  <c r="BL132" i="2"/>
  <c r="BM132" i="2"/>
  <c r="BN132" i="2"/>
  <c r="BO132" i="2"/>
  <c r="BQ132" i="2"/>
  <c r="S133" i="2"/>
  <c r="AE133" i="2"/>
  <c r="AL133" i="2"/>
  <c r="AN133" i="2"/>
  <c r="AM133" i="2" s="1"/>
  <c r="AO133" i="2"/>
  <c r="AP133" i="2"/>
  <c r="AW133" i="2"/>
  <c r="AZ133" i="2"/>
  <c r="BE133" i="2"/>
  <c r="BF133" i="2"/>
  <c r="BG133" i="2"/>
  <c r="BH133" i="2"/>
  <c r="BL133" i="2"/>
  <c r="BM133" i="2"/>
  <c r="BN133" i="2"/>
  <c r="BO133" i="2"/>
  <c r="BQ133" i="2"/>
  <c r="S134" i="2"/>
  <c r="AE134" i="2"/>
  <c r="AL134" i="2"/>
  <c r="AM134" i="2"/>
  <c r="BP134" i="2" s="1"/>
  <c r="AN134" i="2"/>
  <c r="AO134" i="2"/>
  <c r="AP134" i="2"/>
  <c r="AW134" i="2"/>
  <c r="AZ134" i="2"/>
  <c r="BE134" i="2"/>
  <c r="BF134" i="2" s="1"/>
  <c r="BG134" i="2"/>
  <c r="BH134" i="2"/>
  <c r="BL134" i="2"/>
  <c r="BM134" i="2"/>
  <c r="BN134" i="2"/>
  <c r="BO134" i="2"/>
  <c r="BQ134" i="2"/>
  <c r="S135" i="2"/>
  <c r="AE135" i="2"/>
  <c r="AL135" i="2"/>
  <c r="AN135" i="2"/>
  <c r="AO135" i="2"/>
  <c r="AP135" i="2"/>
  <c r="AW135" i="2"/>
  <c r="AZ135" i="2"/>
  <c r="BE135" i="2"/>
  <c r="BF135" i="2"/>
  <c r="BG135" i="2"/>
  <c r="BH135" i="2"/>
  <c r="BL135" i="2"/>
  <c r="BM135" i="2"/>
  <c r="BN135" i="2"/>
  <c r="BO135" i="2"/>
  <c r="BQ135" i="2"/>
  <c r="S136" i="2"/>
  <c r="AE136" i="2"/>
  <c r="AL136" i="2"/>
  <c r="AN136" i="2"/>
  <c r="AM136" i="2" s="1"/>
  <c r="AO136" i="2"/>
  <c r="AP136" i="2"/>
  <c r="AW136" i="2"/>
  <c r="AZ136" i="2"/>
  <c r="BE136" i="2"/>
  <c r="BF136" i="2" s="1"/>
  <c r="BG136" i="2"/>
  <c r="BH136" i="2"/>
  <c r="BL136" i="2"/>
  <c r="BM136" i="2"/>
  <c r="BN136" i="2"/>
  <c r="BO136" i="2"/>
  <c r="BQ136" i="2"/>
  <c r="S137" i="2"/>
  <c r="AE137" i="2"/>
  <c r="AL137" i="2"/>
  <c r="AN137" i="2"/>
  <c r="AM137" i="2" s="1"/>
  <c r="AO137" i="2"/>
  <c r="AP137" i="2"/>
  <c r="AW137" i="2"/>
  <c r="AZ137" i="2"/>
  <c r="BE137" i="2"/>
  <c r="BF137" i="2" s="1"/>
  <c r="BG137" i="2"/>
  <c r="BH137" i="2"/>
  <c r="BL137" i="2"/>
  <c r="BM137" i="2"/>
  <c r="BN137" i="2"/>
  <c r="BO137" i="2"/>
  <c r="BQ137" i="2"/>
  <c r="S138" i="2"/>
  <c r="AE138" i="2"/>
  <c r="AL138" i="2"/>
  <c r="AN138" i="2"/>
  <c r="AO138" i="2"/>
  <c r="AP138" i="2"/>
  <c r="AW138" i="2"/>
  <c r="AZ138" i="2"/>
  <c r="BE138" i="2"/>
  <c r="BF138" i="2" s="1"/>
  <c r="BG138" i="2"/>
  <c r="BH138" i="2"/>
  <c r="BL138" i="2"/>
  <c r="BM138" i="2"/>
  <c r="BN138" i="2"/>
  <c r="BO138" i="2"/>
  <c r="BQ138" i="2"/>
  <c r="S139" i="2"/>
  <c r="AE139" i="2"/>
  <c r="AL139" i="2"/>
  <c r="AN139" i="2"/>
  <c r="AO139" i="2"/>
  <c r="AP139" i="2"/>
  <c r="AW139" i="2"/>
  <c r="AZ139" i="2"/>
  <c r="BE139" i="2"/>
  <c r="BF139" i="2"/>
  <c r="BG139" i="2"/>
  <c r="BH139" i="2"/>
  <c r="BL139" i="2"/>
  <c r="BM139" i="2"/>
  <c r="BN139" i="2"/>
  <c r="BO139" i="2"/>
  <c r="BQ139" i="2"/>
  <c r="S140" i="2"/>
  <c r="AE140" i="2"/>
  <c r="AL140" i="2"/>
  <c r="AN140" i="2"/>
  <c r="AM140" i="2" s="1"/>
  <c r="AO140" i="2"/>
  <c r="AP140" i="2"/>
  <c r="AW140" i="2"/>
  <c r="AZ140" i="2"/>
  <c r="BE140" i="2"/>
  <c r="BF140" i="2" s="1"/>
  <c r="BG140" i="2"/>
  <c r="BH140" i="2"/>
  <c r="BL140" i="2"/>
  <c r="BM140" i="2"/>
  <c r="BN140" i="2"/>
  <c r="BO140" i="2"/>
  <c r="BQ140" i="2"/>
  <c r="S141" i="2"/>
  <c r="AE141" i="2"/>
  <c r="AL141" i="2"/>
  <c r="AN141" i="2"/>
  <c r="AM141" i="2" s="1"/>
  <c r="AO141" i="2"/>
  <c r="AP141" i="2"/>
  <c r="AW141" i="2"/>
  <c r="AZ141" i="2"/>
  <c r="BE141" i="2"/>
  <c r="BF141" i="2" s="1"/>
  <c r="BG141" i="2"/>
  <c r="BH141" i="2"/>
  <c r="BL141" i="2"/>
  <c r="BM141" i="2"/>
  <c r="BN141" i="2"/>
  <c r="BO141" i="2"/>
  <c r="BQ141" i="2"/>
  <c r="S142" i="2"/>
  <c r="AE142" i="2"/>
  <c r="AL142" i="2"/>
  <c r="AN142" i="2"/>
  <c r="AO142" i="2"/>
  <c r="AP142" i="2"/>
  <c r="AW142" i="2"/>
  <c r="AZ142" i="2"/>
  <c r="BE142" i="2"/>
  <c r="BF142" i="2" s="1"/>
  <c r="BG142" i="2"/>
  <c r="BH142" i="2"/>
  <c r="BL142" i="2"/>
  <c r="BM142" i="2"/>
  <c r="BN142" i="2"/>
  <c r="BO142" i="2"/>
  <c r="BQ142" i="2"/>
  <c r="S143" i="2"/>
  <c r="AE143" i="2"/>
  <c r="AL143" i="2"/>
  <c r="AN143" i="2"/>
  <c r="AO143" i="2"/>
  <c r="AP143" i="2"/>
  <c r="AW143" i="2"/>
  <c r="BA143" i="2" s="1"/>
  <c r="AZ143" i="2"/>
  <c r="BB143" i="2" s="1"/>
  <c r="BE143" i="2"/>
  <c r="BF143" i="2"/>
  <c r="BG143" i="2"/>
  <c r="BH143" i="2"/>
  <c r="BL143" i="2"/>
  <c r="BM143" i="2"/>
  <c r="BO143" i="2"/>
  <c r="BQ143" i="2"/>
  <c r="S144" i="2"/>
  <c r="AE144" i="2"/>
  <c r="AL144" i="2"/>
  <c r="AN144" i="2"/>
  <c r="AO144" i="2"/>
  <c r="AP144" i="2"/>
  <c r="AW144" i="2"/>
  <c r="AZ144" i="2"/>
  <c r="BE144" i="2"/>
  <c r="BF144" i="2" s="1"/>
  <c r="BG144" i="2"/>
  <c r="BH144" i="2"/>
  <c r="BL144" i="2"/>
  <c r="BM144" i="2"/>
  <c r="BN144" i="2"/>
  <c r="BO144" i="2"/>
  <c r="BQ144" i="2"/>
  <c r="S145" i="2"/>
  <c r="AE145" i="2"/>
  <c r="AL145" i="2"/>
  <c r="AN145" i="2"/>
  <c r="AO145" i="2"/>
  <c r="AP145" i="2"/>
  <c r="AW145" i="2"/>
  <c r="AZ145" i="2"/>
  <c r="BE145" i="2"/>
  <c r="BF145" i="2"/>
  <c r="BG145" i="2"/>
  <c r="BH145" i="2"/>
  <c r="BL145" i="2"/>
  <c r="BM145" i="2"/>
  <c r="BN145" i="2"/>
  <c r="BO145" i="2"/>
  <c r="BQ145" i="2"/>
  <c r="S146" i="2"/>
  <c r="AE146" i="2"/>
  <c r="AL146" i="2"/>
  <c r="AN146" i="2"/>
  <c r="AO146" i="2"/>
  <c r="AP146" i="2"/>
  <c r="AW146" i="2"/>
  <c r="AZ146" i="2"/>
  <c r="BE146" i="2"/>
  <c r="BF146" i="2" s="1"/>
  <c r="BG146" i="2"/>
  <c r="BH146" i="2"/>
  <c r="BL146" i="2"/>
  <c r="BM146" i="2"/>
  <c r="BN146" i="2"/>
  <c r="BO146" i="2"/>
  <c r="BQ146" i="2"/>
  <c r="S147" i="2"/>
  <c r="AE147" i="2"/>
  <c r="AL147" i="2"/>
  <c r="AN147" i="2"/>
  <c r="AO147" i="2"/>
  <c r="AM147" i="2" s="1"/>
  <c r="AP147" i="2"/>
  <c r="AW147" i="2"/>
  <c r="AZ147" i="2"/>
  <c r="BA147" i="2"/>
  <c r="BE147" i="2"/>
  <c r="BF147" i="2" s="1"/>
  <c r="BG147" i="2"/>
  <c r="BH147" i="2"/>
  <c r="BL147" i="2"/>
  <c r="BM147" i="2"/>
  <c r="BN147" i="2"/>
  <c r="BO147" i="2"/>
  <c r="BQ147" i="2"/>
  <c r="S148" i="2"/>
  <c r="AE148" i="2"/>
  <c r="AL148" i="2"/>
  <c r="AN148" i="2"/>
  <c r="AO148" i="2"/>
  <c r="AP148" i="2"/>
  <c r="AW148" i="2"/>
  <c r="AZ148" i="2"/>
  <c r="BE148" i="2"/>
  <c r="BF148" i="2" s="1"/>
  <c r="BG148" i="2"/>
  <c r="BH148" i="2"/>
  <c r="BL148" i="2"/>
  <c r="BM148" i="2"/>
  <c r="BN148" i="2"/>
  <c r="BO148" i="2"/>
  <c r="BQ148" i="2"/>
  <c r="S149" i="2"/>
  <c r="AE149" i="2"/>
  <c r="AL149" i="2"/>
  <c r="BA149" i="2" s="1"/>
  <c r="AN149" i="2"/>
  <c r="AO149" i="2"/>
  <c r="AP149" i="2"/>
  <c r="AW149" i="2"/>
  <c r="AZ149" i="2"/>
  <c r="BE149" i="2"/>
  <c r="BF149" i="2" s="1"/>
  <c r="BG149" i="2"/>
  <c r="BH149" i="2"/>
  <c r="BL149" i="2"/>
  <c r="BM149" i="2"/>
  <c r="BN149" i="2"/>
  <c r="BO149" i="2"/>
  <c r="BQ149" i="2"/>
  <c r="S150" i="2"/>
  <c r="AE150" i="2"/>
  <c r="AL150" i="2"/>
  <c r="AM150" i="2"/>
  <c r="BP150" i="2" s="1"/>
  <c r="AN150" i="2"/>
  <c r="AO150" i="2"/>
  <c r="AP150" i="2"/>
  <c r="AW150" i="2"/>
  <c r="AZ150" i="2"/>
  <c r="BE150" i="2"/>
  <c r="BF150" i="2"/>
  <c r="BG150" i="2"/>
  <c r="BH150" i="2"/>
  <c r="BL150" i="2"/>
  <c r="BM150" i="2"/>
  <c r="BN150" i="2"/>
  <c r="BO150" i="2"/>
  <c r="BQ150" i="2"/>
  <c r="S151" i="2"/>
  <c r="AE151" i="2"/>
  <c r="AL151" i="2"/>
  <c r="AN151" i="2"/>
  <c r="AO151" i="2"/>
  <c r="AP151" i="2"/>
  <c r="AW151" i="2"/>
  <c r="AZ151" i="2"/>
  <c r="BB151" i="2" s="1"/>
  <c r="BA151" i="2"/>
  <c r="BE151" i="2"/>
  <c r="BF151" i="2" s="1"/>
  <c r="BG151" i="2"/>
  <c r="BH151" i="2"/>
  <c r="BL151" i="2"/>
  <c r="BM151" i="2"/>
  <c r="BN151" i="2"/>
  <c r="BO151" i="2"/>
  <c r="BQ151" i="2"/>
  <c r="S152" i="2"/>
  <c r="AE152" i="2"/>
  <c r="AL152" i="2"/>
  <c r="AN152" i="2"/>
  <c r="AO152" i="2"/>
  <c r="AP152" i="2"/>
  <c r="AW152" i="2"/>
  <c r="AZ152" i="2"/>
  <c r="BE152" i="2"/>
  <c r="BF152" i="2"/>
  <c r="BG152" i="2"/>
  <c r="BH152" i="2"/>
  <c r="BL152" i="2"/>
  <c r="BM152" i="2"/>
  <c r="BN152" i="2"/>
  <c r="BO152" i="2"/>
  <c r="BQ152" i="2"/>
  <c r="S153" i="2"/>
  <c r="AE153" i="2"/>
  <c r="AL153" i="2"/>
  <c r="BA153" i="2" s="1"/>
  <c r="AN153" i="2"/>
  <c r="AO153" i="2"/>
  <c r="AP153" i="2"/>
  <c r="AW153" i="2"/>
  <c r="AZ153" i="2"/>
  <c r="BE153" i="2"/>
  <c r="BF153" i="2" s="1"/>
  <c r="BG153" i="2"/>
  <c r="BH153" i="2"/>
  <c r="BL153" i="2"/>
  <c r="BM153" i="2"/>
  <c r="BN153" i="2"/>
  <c r="BO153" i="2"/>
  <c r="BQ153" i="2"/>
  <c r="S154" i="2"/>
  <c r="AE154" i="2"/>
  <c r="AL154" i="2"/>
  <c r="AN154" i="2"/>
  <c r="AO154" i="2"/>
  <c r="AP154" i="2"/>
  <c r="AW154" i="2"/>
  <c r="AZ154" i="2"/>
  <c r="BE154" i="2"/>
  <c r="BF154" i="2" s="1"/>
  <c r="BG154" i="2"/>
  <c r="BH154" i="2"/>
  <c r="BL154" i="2"/>
  <c r="BM154" i="2"/>
  <c r="BN154" i="2"/>
  <c r="BO154" i="2"/>
  <c r="BQ154" i="2"/>
  <c r="S155" i="2"/>
  <c r="AE155" i="2"/>
  <c r="AL155" i="2"/>
  <c r="BA155" i="2" s="1"/>
  <c r="AN155" i="2"/>
  <c r="AO155" i="2"/>
  <c r="AP155" i="2"/>
  <c r="AW155" i="2"/>
  <c r="AZ155" i="2"/>
  <c r="BE155" i="2"/>
  <c r="BF155" i="2" s="1"/>
  <c r="BG155" i="2"/>
  <c r="BH155" i="2"/>
  <c r="BL155" i="2"/>
  <c r="BM155" i="2"/>
  <c r="BN155" i="2"/>
  <c r="BO155" i="2"/>
  <c r="BQ155" i="2"/>
  <c r="S156" i="2"/>
  <c r="AE156" i="2"/>
  <c r="AL156" i="2"/>
  <c r="AN156" i="2"/>
  <c r="AM156" i="2" s="1"/>
  <c r="AO156" i="2"/>
  <c r="AP156" i="2"/>
  <c r="AW156" i="2"/>
  <c r="AZ156" i="2"/>
  <c r="BE156" i="2"/>
  <c r="BF156" i="2" s="1"/>
  <c r="BG156" i="2"/>
  <c r="BH156" i="2"/>
  <c r="BL156" i="2"/>
  <c r="BM156" i="2"/>
  <c r="BN156" i="2"/>
  <c r="BO156" i="2"/>
  <c r="BQ156" i="2"/>
  <c r="S157" i="2"/>
  <c r="AE157" i="2"/>
  <c r="AL157" i="2"/>
  <c r="AN157" i="2"/>
  <c r="AO157" i="2"/>
  <c r="AP157" i="2"/>
  <c r="AW157" i="2"/>
  <c r="AZ157" i="2"/>
  <c r="BE157" i="2"/>
  <c r="BF157" i="2" s="1"/>
  <c r="BG157" i="2"/>
  <c r="BH157" i="2"/>
  <c r="BL157" i="2"/>
  <c r="BM157" i="2"/>
  <c r="BN157" i="2"/>
  <c r="BO157" i="2"/>
  <c r="BQ157" i="2"/>
  <c r="S158" i="2"/>
  <c r="AE158" i="2"/>
  <c r="AL158" i="2"/>
  <c r="BA158" i="2" s="1"/>
  <c r="AN158" i="2"/>
  <c r="AO158" i="2"/>
  <c r="AP158" i="2"/>
  <c r="AW158" i="2"/>
  <c r="AZ158" i="2"/>
  <c r="BE158" i="2"/>
  <c r="BF158" i="2" s="1"/>
  <c r="BG158" i="2"/>
  <c r="BH158" i="2"/>
  <c r="BL158" i="2"/>
  <c r="BM158" i="2"/>
  <c r="BN158" i="2"/>
  <c r="BO158" i="2"/>
  <c r="BQ158" i="2"/>
  <c r="S159" i="2"/>
  <c r="AE159" i="2"/>
  <c r="AL159" i="2"/>
  <c r="AN159" i="2"/>
  <c r="AO159" i="2"/>
  <c r="AP159" i="2"/>
  <c r="AW159" i="2"/>
  <c r="AZ159" i="2"/>
  <c r="BE159" i="2"/>
  <c r="BF159" i="2" s="1"/>
  <c r="BG159" i="2"/>
  <c r="BH159" i="2"/>
  <c r="BL159" i="2"/>
  <c r="BM159" i="2"/>
  <c r="BN159" i="2"/>
  <c r="BO159" i="2"/>
  <c r="BQ159" i="2"/>
  <c r="S160" i="2"/>
  <c r="AE160" i="2"/>
  <c r="AL160" i="2"/>
  <c r="AN160" i="2"/>
  <c r="AO160" i="2"/>
  <c r="AP160" i="2"/>
  <c r="AW160" i="2"/>
  <c r="AZ160" i="2"/>
  <c r="BE160" i="2"/>
  <c r="BF160" i="2" s="1"/>
  <c r="BG160" i="2"/>
  <c r="BH160" i="2"/>
  <c r="BL160" i="2"/>
  <c r="BM160" i="2"/>
  <c r="BN160" i="2"/>
  <c r="BO160" i="2"/>
  <c r="BQ160" i="2"/>
  <c r="S161" i="2"/>
  <c r="AE161" i="2"/>
  <c r="AL161" i="2"/>
  <c r="AN161" i="2"/>
  <c r="AO161" i="2"/>
  <c r="AM161" i="2" s="1"/>
  <c r="AP161" i="2"/>
  <c r="AW161" i="2"/>
  <c r="AZ161" i="2"/>
  <c r="BE161" i="2"/>
  <c r="BF161" i="2"/>
  <c r="BG161" i="2"/>
  <c r="BH161" i="2"/>
  <c r="BL161" i="2"/>
  <c r="BM161" i="2"/>
  <c r="BN161" i="2"/>
  <c r="BO161" i="2"/>
  <c r="BQ161" i="2"/>
  <c r="S162" i="2"/>
  <c r="AE162" i="2"/>
  <c r="AL162" i="2"/>
  <c r="AN162" i="2"/>
  <c r="AM162" i="2" s="1"/>
  <c r="BP162" i="2" s="1"/>
  <c r="AO162" i="2"/>
  <c r="AP162" i="2"/>
  <c r="AW162" i="2"/>
  <c r="AZ162" i="2"/>
  <c r="BE162" i="2"/>
  <c r="BF162" i="2" s="1"/>
  <c r="BG162" i="2"/>
  <c r="BH162" i="2"/>
  <c r="BL162" i="2"/>
  <c r="BM162" i="2"/>
  <c r="BN162" i="2"/>
  <c r="BO162" i="2"/>
  <c r="BQ162" i="2"/>
  <c r="S163" i="2"/>
  <c r="AE163" i="2"/>
  <c r="AL163" i="2"/>
  <c r="AN163" i="2"/>
  <c r="AM163" i="2" s="1"/>
  <c r="AO163" i="2"/>
  <c r="AP163" i="2"/>
  <c r="AW163" i="2"/>
  <c r="AZ163" i="2"/>
  <c r="BE163" i="2"/>
  <c r="BF163" i="2" s="1"/>
  <c r="BG163" i="2"/>
  <c r="BH163" i="2"/>
  <c r="BL163" i="2"/>
  <c r="BM163" i="2"/>
  <c r="BN163" i="2"/>
  <c r="BO163" i="2"/>
  <c r="BQ163" i="2"/>
  <c r="S164" i="2"/>
  <c r="AE164" i="2"/>
  <c r="AL164" i="2"/>
  <c r="AN164" i="2"/>
  <c r="AO164" i="2"/>
  <c r="AP164" i="2"/>
  <c r="AW164" i="2"/>
  <c r="AZ164" i="2"/>
  <c r="BE164" i="2"/>
  <c r="BF164" i="2" s="1"/>
  <c r="BG164" i="2"/>
  <c r="BH164" i="2"/>
  <c r="BL164" i="2"/>
  <c r="BM164" i="2"/>
  <c r="BN164" i="2"/>
  <c r="BO164" i="2"/>
  <c r="BQ164" i="2"/>
  <c r="S165" i="2"/>
  <c r="AE165" i="2"/>
  <c r="AL165" i="2"/>
  <c r="AN165" i="2"/>
  <c r="AM165" i="2" s="1"/>
  <c r="BP165" i="2" s="1"/>
  <c r="AO165" i="2"/>
  <c r="AP165" i="2"/>
  <c r="AW165" i="2"/>
  <c r="AZ165" i="2"/>
  <c r="BE165" i="2"/>
  <c r="BF165" i="2"/>
  <c r="BG165" i="2"/>
  <c r="BH165" i="2"/>
  <c r="BL165" i="2"/>
  <c r="BM165" i="2"/>
  <c r="BQ165" i="2"/>
  <c r="S166" i="2"/>
  <c r="AE166" i="2"/>
  <c r="AL166" i="2"/>
  <c r="AN166" i="2"/>
  <c r="AO166" i="2"/>
  <c r="AP166" i="2"/>
  <c r="AW166" i="2"/>
  <c r="AZ166" i="2"/>
  <c r="BE166" i="2"/>
  <c r="BF166" i="2" s="1"/>
  <c r="BG166" i="2"/>
  <c r="BH166" i="2"/>
  <c r="BL166" i="2"/>
  <c r="BM166" i="2"/>
  <c r="BN166" i="2"/>
  <c r="BO166" i="2"/>
  <c r="BQ166" i="2"/>
  <c r="S167" i="2"/>
  <c r="AE167" i="2"/>
  <c r="AL167" i="2"/>
  <c r="AN167" i="2"/>
  <c r="AO167" i="2"/>
  <c r="AM167" i="2" s="1"/>
  <c r="AP167" i="2"/>
  <c r="AW167" i="2"/>
  <c r="AZ167" i="2"/>
  <c r="BE167" i="2"/>
  <c r="BF167" i="2" s="1"/>
  <c r="BG167" i="2"/>
  <c r="BH167" i="2"/>
  <c r="BL167" i="2"/>
  <c r="BM167" i="2"/>
  <c r="BN167" i="2"/>
  <c r="BO167" i="2"/>
  <c r="BQ167" i="2"/>
  <c r="S168" i="2"/>
  <c r="AE168" i="2"/>
  <c r="AL168" i="2"/>
  <c r="AN168" i="2"/>
  <c r="AO168" i="2"/>
  <c r="AP168" i="2"/>
  <c r="AW168" i="2"/>
  <c r="AZ168" i="2"/>
  <c r="BE168" i="2"/>
  <c r="BF168" i="2" s="1"/>
  <c r="BG168" i="2"/>
  <c r="BH168" i="2"/>
  <c r="BL168" i="2"/>
  <c r="BM168" i="2"/>
  <c r="BN168" i="2"/>
  <c r="BO168" i="2"/>
  <c r="BQ168" i="2"/>
  <c r="S169" i="2"/>
  <c r="AE169" i="2"/>
  <c r="AL169" i="2"/>
  <c r="AN169" i="2"/>
  <c r="AO169" i="2"/>
  <c r="AP169" i="2"/>
  <c r="AW169" i="2"/>
  <c r="AZ169" i="2"/>
  <c r="BE169" i="2"/>
  <c r="BF169" i="2" s="1"/>
  <c r="BG169" i="2"/>
  <c r="BH169" i="2"/>
  <c r="BL169" i="2"/>
  <c r="BM169" i="2"/>
  <c r="BN169" i="2"/>
  <c r="BO169" i="2"/>
  <c r="BQ169" i="2"/>
  <c r="S170" i="2"/>
  <c r="AE170" i="2"/>
  <c r="AL170" i="2"/>
  <c r="AN170" i="2"/>
  <c r="AO170" i="2"/>
  <c r="AP170" i="2"/>
  <c r="AW170" i="2"/>
  <c r="AZ170" i="2"/>
  <c r="BE170" i="2"/>
  <c r="BF170" i="2" s="1"/>
  <c r="BG170" i="2"/>
  <c r="BH170" i="2"/>
  <c r="BL170" i="2"/>
  <c r="BM170" i="2"/>
  <c r="BN170" i="2"/>
  <c r="BO170" i="2"/>
  <c r="BQ170" i="2"/>
  <c r="S171" i="2"/>
  <c r="AE171" i="2"/>
  <c r="AL171" i="2"/>
  <c r="AN171" i="2"/>
  <c r="AO171" i="2"/>
  <c r="AP171" i="2"/>
  <c r="AW171" i="2"/>
  <c r="AZ171" i="2"/>
  <c r="BE171" i="2"/>
  <c r="BF171" i="2"/>
  <c r="BG171" i="2"/>
  <c r="BH171" i="2"/>
  <c r="BL171" i="2"/>
  <c r="BM171" i="2"/>
  <c r="BN171" i="2"/>
  <c r="BO171" i="2"/>
  <c r="BQ171" i="2"/>
  <c r="S172" i="2"/>
  <c r="AE172" i="2"/>
  <c r="AL172" i="2"/>
  <c r="AN172" i="2"/>
  <c r="AO172" i="2"/>
  <c r="AM172" i="2" s="1"/>
  <c r="AP172" i="2"/>
  <c r="AW172" i="2"/>
  <c r="AZ172" i="2"/>
  <c r="BE172" i="2"/>
  <c r="BF172" i="2" s="1"/>
  <c r="BG172" i="2"/>
  <c r="BH172" i="2"/>
  <c r="BL172" i="2"/>
  <c r="BM172" i="2"/>
  <c r="BN172" i="2"/>
  <c r="BO172" i="2"/>
  <c r="BQ172" i="2"/>
  <c r="S173" i="2"/>
  <c r="AE173" i="2"/>
  <c r="AL173" i="2"/>
  <c r="AN173" i="2"/>
  <c r="AO173" i="2"/>
  <c r="AP173" i="2"/>
  <c r="AW173" i="2"/>
  <c r="AZ173" i="2"/>
  <c r="BE173" i="2"/>
  <c r="BF173" i="2" s="1"/>
  <c r="BG173" i="2"/>
  <c r="BH173" i="2"/>
  <c r="BL173" i="2"/>
  <c r="BM173" i="2"/>
  <c r="BN173" i="2"/>
  <c r="BO173" i="2"/>
  <c r="BQ173" i="2"/>
  <c r="S174" i="2"/>
  <c r="AE174" i="2"/>
  <c r="AL174" i="2"/>
  <c r="AN174" i="2"/>
  <c r="AO174" i="2"/>
  <c r="AP174" i="2"/>
  <c r="AW174" i="2"/>
  <c r="AZ174" i="2"/>
  <c r="BE174" i="2"/>
  <c r="BF174" i="2" s="1"/>
  <c r="BG174" i="2"/>
  <c r="BH174" i="2"/>
  <c r="BL174" i="2"/>
  <c r="BM174" i="2"/>
  <c r="BN174" i="2"/>
  <c r="BO174" i="2"/>
  <c r="BQ174" i="2"/>
  <c r="S175" i="2"/>
  <c r="AE175" i="2"/>
  <c r="AL175" i="2"/>
  <c r="AN175" i="2"/>
  <c r="AO175" i="2"/>
  <c r="AP175" i="2"/>
  <c r="AW175" i="2"/>
  <c r="AZ175" i="2"/>
  <c r="BE175" i="2"/>
  <c r="BF175" i="2" s="1"/>
  <c r="BG175" i="2"/>
  <c r="BH175" i="2"/>
  <c r="BL175" i="2"/>
  <c r="BM175" i="2"/>
  <c r="BN175" i="2"/>
  <c r="BO175" i="2"/>
  <c r="BQ175" i="2"/>
  <c r="S176" i="2"/>
  <c r="AE176" i="2"/>
  <c r="AL176" i="2"/>
  <c r="AN176" i="2"/>
  <c r="AM176" i="2" s="1"/>
  <c r="AO176" i="2"/>
  <c r="AP176" i="2"/>
  <c r="AW176" i="2"/>
  <c r="AZ176" i="2"/>
  <c r="BE176" i="2"/>
  <c r="BF176" i="2" s="1"/>
  <c r="BG176" i="2"/>
  <c r="BH176" i="2"/>
  <c r="BL176" i="2"/>
  <c r="BM176" i="2"/>
  <c r="BN176" i="2"/>
  <c r="BO176" i="2"/>
  <c r="BQ176" i="2"/>
  <c r="S177" i="2"/>
  <c r="AE177" i="2"/>
  <c r="AL177" i="2"/>
  <c r="AN177" i="2"/>
  <c r="AO177" i="2"/>
  <c r="AP177" i="2"/>
  <c r="AW177" i="2"/>
  <c r="AZ177" i="2"/>
  <c r="BE177" i="2"/>
  <c r="BF177" i="2" s="1"/>
  <c r="BG177" i="2"/>
  <c r="BH177" i="2"/>
  <c r="BL177" i="2"/>
  <c r="BM177" i="2"/>
  <c r="BN177" i="2"/>
  <c r="BO177" i="2"/>
  <c r="BQ177" i="2"/>
  <c r="S178" i="2"/>
  <c r="AE178" i="2"/>
  <c r="AL178" i="2"/>
  <c r="AN178" i="2"/>
  <c r="AO178" i="2"/>
  <c r="AP178" i="2"/>
  <c r="AW178" i="2"/>
  <c r="AZ178" i="2"/>
  <c r="BE178" i="2"/>
  <c r="BF178" i="2" s="1"/>
  <c r="BG178" i="2"/>
  <c r="BH178" i="2"/>
  <c r="BL178" i="2"/>
  <c r="BM178" i="2"/>
  <c r="BN178" i="2"/>
  <c r="BO178" i="2"/>
  <c r="BQ178" i="2"/>
  <c r="S179" i="2"/>
  <c r="AE179" i="2"/>
  <c r="AL179" i="2"/>
  <c r="BA179" i="2" s="1"/>
  <c r="AN179" i="2"/>
  <c r="AM179" i="2" s="1"/>
  <c r="AO179" i="2"/>
  <c r="AP179" i="2"/>
  <c r="AW179" i="2"/>
  <c r="AZ179" i="2"/>
  <c r="BE179" i="2"/>
  <c r="BF179" i="2" s="1"/>
  <c r="BG179" i="2"/>
  <c r="BH179" i="2"/>
  <c r="BL179" i="2"/>
  <c r="BM179" i="2"/>
  <c r="BN179" i="2"/>
  <c r="BO179" i="2"/>
  <c r="BQ179" i="2"/>
  <c r="S180" i="2"/>
  <c r="AE180" i="2"/>
  <c r="AL180" i="2"/>
  <c r="AM180" i="2"/>
  <c r="BP180" i="2" s="1"/>
  <c r="AN180" i="2"/>
  <c r="AO180" i="2"/>
  <c r="AP180" i="2"/>
  <c r="AW180" i="2"/>
  <c r="AZ180" i="2"/>
  <c r="BE180" i="2"/>
  <c r="BF180" i="2" s="1"/>
  <c r="BG180" i="2"/>
  <c r="BH180" i="2"/>
  <c r="BL180" i="2"/>
  <c r="BM180" i="2"/>
  <c r="BN180" i="2"/>
  <c r="BO180" i="2"/>
  <c r="BQ180" i="2"/>
  <c r="S181" i="2"/>
  <c r="AE181" i="2"/>
  <c r="AL181" i="2"/>
  <c r="AN181" i="2"/>
  <c r="AO181" i="2"/>
  <c r="AP181" i="2"/>
  <c r="AW181" i="2"/>
  <c r="AZ181" i="2"/>
  <c r="BE181" i="2"/>
  <c r="BF181" i="2" s="1"/>
  <c r="BG181" i="2"/>
  <c r="BH181" i="2"/>
  <c r="BL181" i="2"/>
  <c r="BM181" i="2"/>
  <c r="BN181" i="2"/>
  <c r="BO181" i="2"/>
  <c r="BQ181" i="2"/>
  <c r="S182" i="2"/>
  <c r="AE182" i="2"/>
  <c r="AL182" i="2"/>
  <c r="AN182" i="2"/>
  <c r="AO182" i="2"/>
  <c r="AP182" i="2"/>
  <c r="AW182" i="2"/>
  <c r="AZ182" i="2"/>
  <c r="BE182" i="2"/>
  <c r="BF182" i="2" s="1"/>
  <c r="BG182" i="2"/>
  <c r="BH182" i="2"/>
  <c r="BL182" i="2"/>
  <c r="BM182" i="2"/>
  <c r="BN182" i="2"/>
  <c r="BO182" i="2"/>
  <c r="BQ182" i="2"/>
  <c r="S183" i="2"/>
  <c r="AE183" i="2"/>
  <c r="AL183" i="2"/>
  <c r="AN183" i="2"/>
  <c r="AO183" i="2"/>
  <c r="AP183" i="2"/>
  <c r="AW183" i="2"/>
  <c r="AZ183" i="2"/>
  <c r="BE183" i="2"/>
  <c r="BF183" i="2" s="1"/>
  <c r="BG183" i="2"/>
  <c r="BH183" i="2"/>
  <c r="BL183" i="2"/>
  <c r="BM183" i="2"/>
  <c r="BN183" i="2"/>
  <c r="BO183" i="2"/>
  <c r="BQ183" i="2"/>
  <c r="S184" i="2"/>
  <c r="AE184" i="2"/>
  <c r="AL184" i="2"/>
  <c r="AN184" i="2"/>
  <c r="AM184" i="2" s="1"/>
  <c r="AO184" i="2"/>
  <c r="AP184" i="2"/>
  <c r="AW184" i="2"/>
  <c r="AZ184" i="2"/>
  <c r="BE184" i="2"/>
  <c r="BF184" i="2" s="1"/>
  <c r="BG184" i="2"/>
  <c r="BH184" i="2"/>
  <c r="BL184" i="2"/>
  <c r="BM184" i="2"/>
  <c r="BN184" i="2"/>
  <c r="BO184" i="2"/>
  <c r="BQ184" i="2"/>
  <c r="S185" i="2"/>
  <c r="AE185" i="2"/>
  <c r="AL185" i="2"/>
  <c r="AN185" i="2"/>
  <c r="AM185" i="2" s="1"/>
  <c r="AO185" i="2"/>
  <c r="AP185" i="2"/>
  <c r="AW185" i="2"/>
  <c r="BA185" i="2" s="1"/>
  <c r="AZ185" i="2"/>
  <c r="BE185" i="2"/>
  <c r="BF185" i="2" s="1"/>
  <c r="BG185" i="2"/>
  <c r="BH185" i="2"/>
  <c r="BL185" i="2"/>
  <c r="BM185" i="2"/>
  <c r="BN185" i="2"/>
  <c r="BO185" i="2"/>
  <c r="BQ185" i="2"/>
  <c r="S186" i="2"/>
  <c r="AE186" i="2"/>
  <c r="AL186" i="2"/>
  <c r="AN186" i="2"/>
  <c r="AO186" i="2"/>
  <c r="AP186" i="2"/>
  <c r="AW186" i="2"/>
  <c r="AZ186" i="2"/>
  <c r="BE186" i="2"/>
  <c r="BF186" i="2" s="1"/>
  <c r="BG186" i="2"/>
  <c r="BH186" i="2"/>
  <c r="BL186" i="2"/>
  <c r="BM186" i="2"/>
  <c r="BN186" i="2"/>
  <c r="BO186" i="2"/>
  <c r="BQ186" i="2"/>
  <c r="S187" i="2"/>
  <c r="AE187" i="2"/>
  <c r="AL187" i="2"/>
  <c r="AN187" i="2"/>
  <c r="AO187" i="2"/>
  <c r="AP187" i="2"/>
  <c r="AW187" i="2"/>
  <c r="AZ187" i="2"/>
  <c r="BE187" i="2"/>
  <c r="BF187" i="2"/>
  <c r="BG187" i="2"/>
  <c r="BH187" i="2"/>
  <c r="BL187" i="2"/>
  <c r="BM187" i="2"/>
  <c r="BN187" i="2"/>
  <c r="BO187" i="2"/>
  <c r="BQ187" i="2"/>
  <c r="S188" i="2"/>
  <c r="AE188" i="2"/>
  <c r="AL188" i="2"/>
  <c r="BA188" i="2" s="1"/>
  <c r="AN188" i="2"/>
  <c r="AM188" i="2" s="1"/>
  <c r="AO188" i="2"/>
  <c r="AP188" i="2"/>
  <c r="AW188" i="2"/>
  <c r="AZ188" i="2"/>
  <c r="BE188" i="2"/>
  <c r="BF188" i="2"/>
  <c r="BG188" i="2"/>
  <c r="BH188" i="2"/>
  <c r="BL188" i="2"/>
  <c r="BM188" i="2"/>
  <c r="BO188" i="2"/>
  <c r="BQ188" i="2"/>
  <c r="S189" i="2"/>
  <c r="AE189" i="2"/>
  <c r="AL189" i="2"/>
  <c r="AN189" i="2"/>
  <c r="AO189" i="2"/>
  <c r="AP189" i="2"/>
  <c r="AW189" i="2"/>
  <c r="AZ189" i="2"/>
  <c r="BE189" i="2"/>
  <c r="BF189" i="2" s="1"/>
  <c r="BG189" i="2"/>
  <c r="BH189" i="2"/>
  <c r="BL189" i="2"/>
  <c r="BM189" i="2"/>
  <c r="BN189" i="2"/>
  <c r="BO189" i="2"/>
  <c r="BQ189" i="2"/>
  <c r="S190" i="2"/>
  <c r="AE190" i="2"/>
  <c r="AL190" i="2"/>
  <c r="AN190" i="2"/>
  <c r="AO190" i="2"/>
  <c r="AP190" i="2"/>
  <c r="AW190" i="2"/>
  <c r="AZ190" i="2"/>
  <c r="BE190" i="2"/>
  <c r="BF190" i="2" s="1"/>
  <c r="BG190" i="2"/>
  <c r="BH190" i="2"/>
  <c r="BL190" i="2"/>
  <c r="BM190" i="2"/>
  <c r="BN190" i="2"/>
  <c r="BO190" i="2"/>
  <c r="BQ190" i="2"/>
  <c r="S191" i="2"/>
  <c r="AE191" i="2"/>
  <c r="AL191" i="2"/>
  <c r="AN191" i="2"/>
  <c r="AO191" i="2"/>
  <c r="AP191" i="2"/>
  <c r="AW191" i="2"/>
  <c r="AZ191" i="2"/>
  <c r="BE191" i="2"/>
  <c r="BF191" i="2" s="1"/>
  <c r="BG191" i="2"/>
  <c r="BH191" i="2"/>
  <c r="BL191" i="2"/>
  <c r="BM191" i="2"/>
  <c r="BN191" i="2"/>
  <c r="BO191" i="2"/>
  <c r="BQ191" i="2"/>
  <c r="S192" i="2"/>
  <c r="AE192" i="2"/>
  <c r="AL192" i="2"/>
  <c r="AN192" i="2"/>
  <c r="AO192" i="2"/>
  <c r="AP192" i="2"/>
  <c r="AW192" i="2"/>
  <c r="AZ192" i="2"/>
  <c r="BE192" i="2"/>
  <c r="BF192" i="2" s="1"/>
  <c r="BG192" i="2"/>
  <c r="BH192" i="2"/>
  <c r="BL192" i="2"/>
  <c r="BM192" i="2"/>
  <c r="BN192" i="2"/>
  <c r="BO192" i="2"/>
  <c r="BQ192" i="2"/>
  <c r="S193" i="2"/>
  <c r="AE193" i="2"/>
  <c r="AL193" i="2"/>
  <c r="AN193" i="2"/>
  <c r="AO193" i="2"/>
  <c r="AP193" i="2"/>
  <c r="AW193" i="2"/>
  <c r="AZ193" i="2"/>
  <c r="BE193" i="2"/>
  <c r="BF193" i="2" s="1"/>
  <c r="BG193" i="2"/>
  <c r="BH193" i="2"/>
  <c r="BL193" i="2"/>
  <c r="BM193" i="2"/>
  <c r="BN193" i="2"/>
  <c r="BO193" i="2"/>
  <c r="BQ193" i="2"/>
  <c r="S194" i="2"/>
  <c r="AE194" i="2"/>
  <c r="AL194" i="2"/>
  <c r="AN194" i="2"/>
  <c r="AM194" i="2" s="1"/>
  <c r="AO194" i="2"/>
  <c r="AP194" i="2"/>
  <c r="AW194" i="2"/>
  <c r="AZ194" i="2"/>
  <c r="BE194" i="2"/>
  <c r="BF194" i="2" s="1"/>
  <c r="BG194" i="2"/>
  <c r="BH194" i="2"/>
  <c r="BL194" i="2"/>
  <c r="BM194" i="2"/>
  <c r="BN194" i="2"/>
  <c r="BO194" i="2"/>
  <c r="BQ194" i="2"/>
  <c r="S195" i="2"/>
  <c r="AE195" i="2"/>
  <c r="AL195" i="2"/>
  <c r="AN195" i="2"/>
  <c r="AO195" i="2"/>
  <c r="AP195" i="2"/>
  <c r="AW195" i="2"/>
  <c r="AZ195" i="2"/>
  <c r="BE195" i="2"/>
  <c r="BF195" i="2" s="1"/>
  <c r="BG195" i="2"/>
  <c r="BH195" i="2"/>
  <c r="BL195" i="2"/>
  <c r="BM195" i="2"/>
  <c r="BN195" i="2"/>
  <c r="BO195" i="2"/>
  <c r="BQ195" i="2"/>
  <c r="S196" i="2"/>
  <c r="AE196" i="2"/>
  <c r="AL196" i="2"/>
  <c r="AN196" i="2"/>
  <c r="AO196" i="2"/>
  <c r="AP196" i="2"/>
  <c r="AW196" i="2"/>
  <c r="AZ196" i="2"/>
  <c r="BE196" i="2"/>
  <c r="BF196" i="2" s="1"/>
  <c r="BG196" i="2"/>
  <c r="BH196" i="2"/>
  <c r="BL196" i="2"/>
  <c r="BM196" i="2"/>
  <c r="BN196" i="2"/>
  <c r="BO196" i="2"/>
  <c r="BQ196" i="2"/>
  <c r="S197" i="2"/>
  <c r="AE197" i="2"/>
  <c r="AL197" i="2"/>
  <c r="AQ197" i="2" s="1"/>
  <c r="AR197" i="2" s="1"/>
  <c r="AN197" i="2"/>
  <c r="AM197" i="2" s="1"/>
  <c r="AO197" i="2"/>
  <c r="AP197" i="2"/>
  <c r="AW197" i="2"/>
  <c r="AZ197" i="2"/>
  <c r="BE197" i="2"/>
  <c r="BF197" i="2"/>
  <c r="BG197" i="2"/>
  <c r="BH197" i="2"/>
  <c r="BL197" i="2"/>
  <c r="BM197" i="2"/>
  <c r="BN197" i="2"/>
  <c r="BO197" i="2"/>
  <c r="BQ197" i="2"/>
  <c r="S198" i="2"/>
  <c r="AE198" i="2"/>
  <c r="AL198" i="2"/>
  <c r="AN198" i="2"/>
  <c r="AM198" i="2" s="1"/>
  <c r="AO198" i="2"/>
  <c r="AP198" i="2"/>
  <c r="AW198" i="2"/>
  <c r="AZ198" i="2"/>
  <c r="BE198" i="2"/>
  <c r="BF198" i="2" s="1"/>
  <c r="BG198" i="2"/>
  <c r="BH198" i="2"/>
  <c r="BL198" i="2"/>
  <c r="BM198" i="2"/>
  <c r="BN198" i="2"/>
  <c r="BO198" i="2"/>
  <c r="BQ198" i="2"/>
  <c r="S199" i="2"/>
  <c r="AE199" i="2"/>
  <c r="AL199" i="2"/>
  <c r="AN199" i="2"/>
  <c r="AO199" i="2"/>
  <c r="AM199" i="2" s="1"/>
  <c r="AP199" i="2"/>
  <c r="AW199" i="2"/>
  <c r="AZ199" i="2"/>
  <c r="BA199" i="2"/>
  <c r="BE199" i="2"/>
  <c r="BF199" i="2" s="1"/>
  <c r="BG199" i="2"/>
  <c r="BH199" i="2"/>
  <c r="BL199" i="2"/>
  <c r="BM199" i="2"/>
  <c r="BN199" i="2"/>
  <c r="BO199" i="2"/>
  <c r="BQ199" i="2"/>
  <c r="S200" i="2"/>
  <c r="AE200" i="2"/>
  <c r="AL200" i="2"/>
  <c r="AM200" i="2"/>
  <c r="AN200" i="2"/>
  <c r="AO200" i="2"/>
  <c r="AP200" i="2"/>
  <c r="AW200" i="2"/>
  <c r="AZ200" i="2"/>
  <c r="BE200" i="2"/>
  <c r="BF200" i="2" s="1"/>
  <c r="BG200" i="2"/>
  <c r="BH200" i="2"/>
  <c r="BL200" i="2"/>
  <c r="BM200" i="2"/>
  <c r="BN200" i="2"/>
  <c r="BO200" i="2"/>
  <c r="BQ200" i="2"/>
  <c r="S201" i="2"/>
  <c r="AE201" i="2"/>
  <c r="AL201" i="2"/>
  <c r="AN201" i="2"/>
  <c r="AO201" i="2"/>
  <c r="AP201" i="2"/>
  <c r="AW201" i="2"/>
  <c r="AZ201" i="2"/>
  <c r="BE201" i="2"/>
  <c r="BF201" i="2"/>
  <c r="BG201" i="2"/>
  <c r="BH201" i="2"/>
  <c r="BL201" i="2"/>
  <c r="BM201" i="2"/>
  <c r="BN201" i="2"/>
  <c r="BO201" i="2"/>
  <c r="BQ201" i="2"/>
  <c r="S202" i="2"/>
  <c r="AE202" i="2"/>
  <c r="AL202" i="2"/>
  <c r="AN202" i="2"/>
  <c r="AO202" i="2"/>
  <c r="AP202" i="2"/>
  <c r="AW202" i="2"/>
  <c r="AZ202" i="2"/>
  <c r="BE202" i="2"/>
  <c r="BF202" i="2" s="1"/>
  <c r="BG202" i="2"/>
  <c r="BH202" i="2"/>
  <c r="BL202" i="2"/>
  <c r="BM202" i="2"/>
  <c r="BN202" i="2"/>
  <c r="BO202" i="2"/>
  <c r="BQ202" i="2"/>
  <c r="S203" i="2"/>
  <c r="AE203" i="2"/>
  <c r="AL203" i="2"/>
  <c r="AN203" i="2"/>
  <c r="AM203" i="2" s="1"/>
  <c r="BP203" i="2" s="1"/>
  <c r="AO203" i="2"/>
  <c r="AP203" i="2"/>
  <c r="AW203" i="2"/>
  <c r="AZ203" i="2"/>
  <c r="BE203" i="2"/>
  <c r="BF203" i="2" s="1"/>
  <c r="BG203" i="2"/>
  <c r="BH203" i="2"/>
  <c r="BL203" i="2"/>
  <c r="BM203" i="2"/>
  <c r="BN203" i="2"/>
  <c r="BO203" i="2"/>
  <c r="BQ203" i="2"/>
  <c r="S204" i="2"/>
  <c r="AE204" i="2"/>
  <c r="AL204" i="2"/>
  <c r="AN204" i="2"/>
  <c r="AO204" i="2"/>
  <c r="AP204" i="2"/>
  <c r="AW204" i="2"/>
  <c r="BA204" i="2" s="1"/>
  <c r="AZ204" i="2"/>
  <c r="BE204" i="2"/>
  <c r="BF204" i="2" s="1"/>
  <c r="BG204" i="2"/>
  <c r="BH204" i="2"/>
  <c r="BL204" i="2"/>
  <c r="BM204" i="2"/>
  <c r="BN204" i="2"/>
  <c r="BO204" i="2"/>
  <c r="BQ204" i="2"/>
  <c r="S205" i="2"/>
  <c r="AE205" i="2"/>
  <c r="AL205" i="2"/>
  <c r="AN205" i="2"/>
  <c r="AO205" i="2"/>
  <c r="AP205" i="2"/>
  <c r="AW205" i="2"/>
  <c r="AZ205" i="2"/>
  <c r="BE205" i="2"/>
  <c r="BF205" i="2" s="1"/>
  <c r="BG205" i="2"/>
  <c r="BH205" i="2"/>
  <c r="BL205" i="2"/>
  <c r="BM205" i="2"/>
  <c r="BN205" i="2"/>
  <c r="BO205" i="2"/>
  <c r="BQ205" i="2"/>
  <c r="S206" i="2"/>
  <c r="AE206" i="2"/>
  <c r="AL206" i="2"/>
  <c r="AN206" i="2"/>
  <c r="AO206" i="2"/>
  <c r="AP206" i="2"/>
  <c r="AW206" i="2"/>
  <c r="AZ206" i="2"/>
  <c r="BB206" i="2" s="1"/>
  <c r="BA206" i="2"/>
  <c r="BE206" i="2"/>
  <c r="BF206" i="2" s="1"/>
  <c r="BG206" i="2"/>
  <c r="BH206" i="2"/>
  <c r="BL206" i="2"/>
  <c r="BM206" i="2"/>
  <c r="BN206" i="2"/>
  <c r="BO206" i="2"/>
  <c r="BQ206" i="2"/>
  <c r="S207" i="2"/>
  <c r="AE207" i="2"/>
  <c r="AL207" i="2"/>
  <c r="AN207" i="2"/>
  <c r="AO207" i="2"/>
  <c r="AP207" i="2"/>
  <c r="AW207" i="2"/>
  <c r="AZ207" i="2"/>
  <c r="BE207" i="2"/>
  <c r="BF207" i="2"/>
  <c r="BG207" i="2"/>
  <c r="BH207" i="2"/>
  <c r="BL207" i="2"/>
  <c r="BM207" i="2"/>
  <c r="BN207" i="2"/>
  <c r="BO207" i="2"/>
  <c r="BQ207" i="2"/>
  <c r="S208" i="2"/>
  <c r="AE208" i="2"/>
  <c r="AL208" i="2"/>
  <c r="AN208" i="2"/>
  <c r="AO208" i="2"/>
  <c r="AP208" i="2"/>
  <c r="AW208" i="2"/>
  <c r="AZ208" i="2"/>
  <c r="BE208" i="2"/>
  <c r="BF208" i="2" s="1"/>
  <c r="BG208" i="2"/>
  <c r="BH208" i="2"/>
  <c r="BL208" i="2"/>
  <c r="BM208" i="2"/>
  <c r="BN208" i="2"/>
  <c r="BO208" i="2"/>
  <c r="BQ208" i="2"/>
  <c r="S209" i="2"/>
  <c r="AE209" i="2"/>
  <c r="AL209" i="2"/>
  <c r="AN209" i="2"/>
  <c r="AO209" i="2"/>
  <c r="AP209" i="2"/>
  <c r="AW209" i="2"/>
  <c r="AZ209" i="2"/>
  <c r="BE209" i="2"/>
  <c r="BF209" i="2" s="1"/>
  <c r="BG209" i="2"/>
  <c r="BH209" i="2"/>
  <c r="BL209" i="2"/>
  <c r="BM209" i="2"/>
  <c r="BN209" i="2"/>
  <c r="BO209" i="2"/>
  <c r="BQ209" i="2"/>
  <c r="S210" i="2"/>
  <c r="AE210" i="2"/>
  <c r="AL210" i="2"/>
  <c r="AN210" i="2"/>
  <c r="AO210" i="2"/>
  <c r="AP210" i="2"/>
  <c r="AW210" i="2"/>
  <c r="AZ210" i="2"/>
  <c r="BA210" i="2"/>
  <c r="BE210" i="2"/>
  <c r="BF210" i="2"/>
  <c r="BG210" i="2"/>
  <c r="BH210" i="2"/>
  <c r="BL210" i="2"/>
  <c r="BM210" i="2"/>
  <c r="BN210" i="2"/>
  <c r="BO210" i="2"/>
  <c r="BQ210" i="2"/>
  <c r="S211" i="2"/>
  <c r="AE211" i="2"/>
  <c r="AL211" i="2"/>
  <c r="AN211" i="2"/>
  <c r="AO211" i="2"/>
  <c r="AP211" i="2"/>
  <c r="AW211" i="2"/>
  <c r="AZ211" i="2"/>
  <c r="BE211" i="2"/>
  <c r="BF211" i="2" s="1"/>
  <c r="BG211" i="2"/>
  <c r="BH211" i="2"/>
  <c r="BL211" i="2"/>
  <c r="BM211" i="2"/>
  <c r="BN211" i="2"/>
  <c r="BO211" i="2"/>
  <c r="BQ211" i="2"/>
  <c r="S212" i="2"/>
  <c r="AE212" i="2"/>
  <c r="AL212" i="2"/>
  <c r="AN212" i="2"/>
  <c r="AO212" i="2"/>
  <c r="AP212" i="2"/>
  <c r="AW212" i="2"/>
  <c r="AZ212" i="2"/>
  <c r="BE212" i="2"/>
  <c r="BF212" i="2" s="1"/>
  <c r="BG212" i="2"/>
  <c r="BH212" i="2"/>
  <c r="BL212" i="2"/>
  <c r="BM212" i="2"/>
  <c r="BN212" i="2"/>
  <c r="BO212" i="2"/>
  <c r="BQ212" i="2"/>
  <c r="S213" i="2"/>
  <c r="AE213" i="2"/>
  <c r="AL213" i="2"/>
  <c r="AN213" i="2"/>
  <c r="AO213" i="2"/>
  <c r="AM213" i="2" s="1"/>
  <c r="AP213" i="2"/>
  <c r="AW213" i="2"/>
  <c r="AZ213" i="2"/>
  <c r="BE213" i="2"/>
  <c r="BF213" i="2" s="1"/>
  <c r="BG213" i="2"/>
  <c r="BH213" i="2"/>
  <c r="BL213" i="2"/>
  <c r="BM213" i="2"/>
  <c r="BN213" i="2"/>
  <c r="BO213" i="2"/>
  <c r="BQ213" i="2"/>
  <c r="S214" i="2"/>
  <c r="AE214" i="2"/>
  <c r="AL214" i="2"/>
  <c r="AN214" i="2"/>
  <c r="AO214" i="2"/>
  <c r="AM214" i="2" s="1"/>
  <c r="AP214" i="2"/>
  <c r="AW214" i="2"/>
  <c r="AZ214" i="2"/>
  <c r="BE214" i="2"/>
  <c r="BF214" i="2" s="1"/>
  <c r="BG214" i="2"/>
  <c r="BH214" i="2"/>
  <c r="BL214" i="2"/>
  <c r="BM214" i="2"/>
  <c r="BN214" i="2"/>
  <c r="BO214" i="2"/>
  <c r="BQ214" i="2"/>
  <c r="S215" i="2"/>
  <c r="AE215" i="2"/>
  <c r="AL215" i="2"/>
  <c r="AN215" i="2"/>
  <c r="AO215" i="2"/>
  <c r="AM215" i="2" s="1"/>
  <c r="AP215" i="2"/>
  <c r="AW215" i="2"/>
  <c r="AZ215" i="2"/>
  <c r="BE215" i="2"/>
  <c r="BF215" i="2" s="1"/>
  <c r="BG215" i="2"/>
  <c r="BH215" i="2"/>
  <c r="BL215" i="2"/>
  <c r="BM215" i="2"/>
  <c r="BN215" i="2"/>
  <c r="BO215" i="2"/>
  <c r="BQ215" i="2"/>
  <c r="S216" i="2"/>
  <c r="AE216" i="2"/>
  <c r="AL216" i="2"/>
  <c r="AN216" i="2"/>
  <c r="AO216" i="2"/>
  <c r="AP216" i="2"/>
  <c r="AW216" i="2"/>
  <c r="AZ216" i="2"/>
  <c r="BE216" i="2"/>
  <c r="BF216" i="2" s="1"/>
  <c r="BG216" i="2"/>
  <c r="BH216" i="2"/>
  <c r="BL216" i="2"/>
  <c r="BM216" i="2"/>
  <c r="BN216" i="2"/>
  <c r="BO216" i="2"/>
  <c r="BQ216" i="2"/>
  <c r="S217" i="2"/>
  <c r="AE217" i="2"/>
  <c r="AL217" i="2"/>
  <c r="AN217" i="2"/>
  <c r="AO217" i="2"/>
  <c r="AP217" i="2"/>
  <c r="AW217" i="2"/>
  <c r="AZ217" i="2"/>
  <c r="BE217" i="2"/>
  <c r="BF217" i="2" s="1"/>
  <c r="BG217" i="2"/>
  <c r="BH217" i="2"/>
  <c r="BL217" i="2"/>
  <c r="BM217" i="2"/>
  <c r="BN217" i="2"/>
  <c r="BO217" i="2"/>
  <c r="BQ217" i="2"/>
  <c r="S218" i="2"/>
  <c r="AE218" i="2"/>
  <c r="AL218" i="2"/>
  <c r="AN218" i="2"/>
  <c r="AO218" i="2"/>
  <c r="AP218" i="2"/>
  <c r="AW218" i="2"/>
  <c r="AZ218" i="2"/>
  <c r="BE218" i="2"/>
  <c r="BF218" i="2" s="1"/>
  <c r="BG218" i="2"/>
  <c r="BH218" i="2"/>
  <c r="BL218" i="2"/>
  <c r="BM218" i="2"/>
  <c r="BN218" i="2"/>
  <c r="BO218" i="2"/>
  <c r="BQ218" i="2"/>
  <c r="S219" i="2"/>
  <c r="AE219" i="2"/>
  <c r="AL219" i="2"/>
  <c r="BA219" i="2" s="1"/>
  <c r="AN219" i="2"/>
  <c r="AO219" i="2"/>
  <c r="AP219" i="2"/>
  <c r="AW219" i="2"/>
  <c r="AZ219" i="2"/>
  <c r="BE219" i="2"/>
  <c r="BF219" i="2" s="1"/>
  <c r="BG219" i="2"/>
  <c r="BH219" i="2"/>
  <c r="BL219" i="2"/>
  <c r="BM219" i="2"/>
  <c r="BN219" i="2"/>
  <c r="BO219" i="2"/>
  <c r="BQ219" i="2"/>
  <c r="S220" i="2"/>
  <c r="AE220" i="2"/>
  <c r="AL220" i="2"/>
  <c r="AN220" i="2"/>
  <c r="AO220" i="2"/>
  <c r="AP220" i="2"/>
  <c r="AW220" i="2"/>
  <c r="AZ220" i="2"/>
  <c r="BE220" i="2"/>
  <c r="BF220" i="2" s="1"/>
  <c r="BG220" i="2"/>
  <c r="BH220" i="2"/>
  <c r="BL220" i="2"/>
  <c r="BM220" i="2"/>
  <c r="BN220" i="2"/>
  <c r="BO220" i="2"/>
  <c r="BQ220" i="2"/>
  <c r="S221" i="2"/>
  <c r="AE221" i="2"/>
  <c r="AL221" i="2"/>
  <c r="AN221" i="2"/>
  <c r="AM221" i="2" s="1"/>
  <c r="BP221" i="2" s="1"/>
  <c r="AO221" i="2"/>
  <c r="AP221" i="2"/>
  <c r="AW221" i="2"/>
  <c r="AZ221" i="2"/>
  <c r="BE221" i="2"/>
  <c r="BF221" i="2" s="1"/>
  <c r="BG221" i="2"/>
  <c r="BH221" i="2"/>
  <c r="BL221" i="2"/>
  <c r="BM221" i="2"/>
  <c r="BN221" i="2"/>
  <c r="BO221" i="2"/>
  <c r="BQ221" i="2"/>
  <c r="S222" i="2"/>
  <c r="AE222" i="2"/>
  <c r="AL222" i="2"/>
  <c r="AQ222" i="2" s="1"/>
  <c r="AN222" i="2"/>
  <c r="AM222" i="2" s="1"/>
  <c r="AO222" i="2"/>
  <c r="AP222" i="2"/>
  <c r="AW222" i="2"/>
  <c r="AZ222" i="2"/>
  <c r="BE222" i="2"/>
  <c r="BF222" i="2" s="1"/>
  <c r="BG222" i="2"/>
  <c r="BH222" i="2"/>
  <c r="BL222" i="2"/>
  <c r="BM222" i="2"/>
  <c r="BN222" i="2"/>
  <c r="BO222" i="2"/>
  <c r="BP222" i="2" s="1"/>
  <c r="BQ222" i="2"/>
  <c r="S223" i="2"/>
  <c r="AE223" i="2"/>
  <c r="AL223" i="2"/>
  <c r="AN223" i="2"/>
  <c r="AM223" i="2" s="1"/>
  <c r="AO223" i="2"/>
  <c r="AP223" i="2"/>
  <c r="AW223" i="2"/>
  <c r="AZ223" i="2"/>
  <c r="BE223" i="2"/>
  <c r="BF223" i="2"/>
  <c r="BG223" i="2"/>
  <c r="BH223" i="2"/>
  <c r="BL223" i="2"/>
  <c r="BM223" i="2"/>
  <c r="BN223" i="2"/>
  <c r="BO223" i="2"/>
  <c r="BQ223" i="2"/>
  <c r="S224" i="2"/>
  <c r="AE224" i="2"/>
  <c r="AL224" i="2"/>
  <c r="AN224" i="2"/>
  <c r="AO224" i="2"/>
  <c r="AP224" i="2"/>
  <c r="AW224" i="2"/>
  <c r="AZ224" i="2"/>
  <c r="BE224" i="2"/>
  <c r="BF224" i="2"/>
  <c r="BG224" i="2"/>
  <c r="BH224" i="2"/>
  <c r="BL224" i="2"/>
  <c r="BM224" i="2"/>
  <c r="BN224" i="2"/>
  <c r="BO224" i="2"/>
  <c r="BQ224" i="2"/>
  <c r="S225" i="2"/>
  <c r="AE225" i="2"/>
  <c r="AL225" i="2"/>
  <c r="AN225" i="2"/>
  <c r="AO225" i="2"/>
  <c r="AP225" i="2"/>
  <c r="AW225" i="2"/>
  <c r="AZ225" i="2"/>
  <c r="BB225" i="2"/>
  <c r="BE225" i="2"/>
  <c r="BF225" i="2" s="1"/>
  <c r="BG225" i="2"/>
  <c r="BH225" i="2"/>
  <c r="BL225" i="2"/>
  <c r="BM225" i="2"/>
  <c r="BN225" i="2"/>
  <c r="BO225" i="2"/>
  <c r="BQ225" i="2"/>
  <c r="S226" i="2"/>
  <c r="AE226" i="2"/>
  <c r="AL226" i="2"/>
  <c r="AN226" i="2"/>
  <c r="AO226" i="2"/>
  <c r="AP226" i="2"/>
  <c r="AW226" i="2"/>
  <c r="AZ226" i="2"/>
  <c r="BE226" i="2"/>
  <c r="BF226" i="2" s="1"/>
  <c r="BG226" i="2"/>
  <c r="BH226" i="2"/>
  <c r="BL226" i="2"/>
  <c r="BM226" i="2"/>
  <c r="BN226" i="2"/>
  <c r="BO226" i="2"/>
  <c r="BQ226" i="2"/>
  <c r="S227" i="2"/>
  <c r="AE227" i="2"/>
  <c r="AL227" i="2"/>
  <c r="AN227" i="2"/>
  <c r="AO227" i="2"/>
  <c r="AP227" i="2"/>
  <c r="AW227" i="2"/>
  <c r="AZ227" i="2"/>
  <c r="BE227" i="2"/>
  <c r="BF227" i="2" s="1"/>
  <c r="BG227" i="2"/>
  <c r="BH227" i="2"/>
  <c r="BL227" i="2"/>
  <c r="BM227" i="2"/>
  <c r="BN227" i="2"/>
  <c r="BO227" i="2"/>
  <c r="BQ227" i="2"/>
  <c r="S228" i="2"/>
  <c r="AE228" i="2"/>
  <c r="AL228" i="2"/>
  <c r="AN228" i="2"/>
  <c r="AO228" i="2"/>
  <c r="AM228" i="2" s="1"/>
  <c r="BP228" i="2" s="1"/>
  <c r="AP228" i="2"/>
  <c r="AW228" i="2"/>
  <c r="BA228" i="2" s="1"/>
  <c r="AZ228" i="2"/>
  <c r="BE228" i="2"/>
  <c r="BF228" i="2" s="1"/>
  <c r="BG228" i="2"/>
  <c r="BH228" i="2"/>
  <c r="BL228" i="2"/>
  <c r="BM228" i="2"/>
  <c r="BN228" i="2"/>
  <c r="BO228" i="2"/>
  <c r="BQ228" i="2"/>
  <c r="S229" i="2"/>
  <c r="AE229" i="2"/>
  <c r="AL229" i="2"/>
  <c r="AN229" i="2"/>
  <c r="AO229" i="2"/>
  <c r="AP229" i="2"/>
  <c r="AW229" i="2"/>
  <c r="AZ229" i="2"/>
  <c r="BB229" i="2" s="1"/>
  <c r="BE229" i="2"/>
  <c r="BF229" i="2" s="1"/>
  <c r="BG229" i="2"/>
  <c r="BH229" i="2"/>
  <c r="BL229" i="2"/>
  <c r="BM229" i="2"/>
  <c r="BN229" i="2"/>
  <c r="BO229" i="2"/>
  <c r="BQ229" i="2"/>
  <c r="S230" i="2"/>
  <c r="AE230" i="2"/>
  <c r="AL230" i="2"/>
  <c r="AN230" i="2"/>
  <c r="AO230" i="2"/>
  <c r="AP230" i="2"/>
  <c r="AW230" i="2"/>
  <c r="AZ230" i="2"/>
  <c r="BE230" i="2"/>
  <c r="BF230" i="2" s="1"/>
  <c r="BG230" i="2"/>
  <c r="BH230" i="2"/>
  <c r="BL230" i="2"/>
  <c r="BM230" i="2"/>
  <c r="BN230" i="2"/>
  <c r="BO230" i="2"/>
  <c r="BQ230" i="2"/>
  <c r="S231" i="2"/>
  <c r="AE231" i="2"/>
  <c r="AL231" i="2"/>
  <c r="AN231" i="2"/>
  <c r="AO231" i="2"/>
  <c r="AP231" i="2"/>
  <c r="AW231" i="2"/>
  <c r="AZ231" i="2"/>
  <c r="BE231" i="2"/>
  <c r="BF231" i="2" s="1"/>
  <c r="BG231" i="2"/>
  <c r="BH231" i="2"/>
  <c r="BL231" i="2"/>
  <c r="BM231" i="2"/>
  <c r="BN231" i="2"/>
  <c r="BO231" i="2"/>
  <c r="BQ231" i="2"/>
  <c r="S232" i="2"/>
  <c r="AE232" i="2"/>
  <c r="AL232" i="2"/>
  <c r="BA232" i="2" s="1"/>
  <c r="AN232" i="2"/>
  <c r="AO232" i="2"/>
  <c r="AP232" i="2"/>
  <c r="AW232" i="2"/>
  <c r="AZ232" i="2"/>
  <c r="BE232" i="2"/>
  <c r="BF232" i="2"/>
  <c r="BG232" i="2"/>
  <c r="BH232" i="2"/>
  <c r="BL232" i="2"/>
  <c r="BM232" i="2"/>
  <c r="BQ232" i="2"/>
  <c r="S233" i="2"/>
  <c r="AE233" i="2"/>
  <c r="AL233" i="2"/>
  <c r="AN233" i="2"/>
  <c r="AO233" i="2"/>
  <c r="AP233" i="2"/>
  <c r="AW233" i="2"/>
  <c r="AZ233" i="2"/>
  <c r="BE233" i="2"/>
  <c r="BF233" i="2" s="1"/>
  <c r="BG233" i="2"/>
  <c r="BH233" i="2"/>
  <c r="BL233" i="2"/>
  <c r="BM233" i="2"/>
  <c r="BN233" i="2"/>
  <c r="BO233" i="2"/>
  <c r="BQ233" i="2"/>
  <c r="S234" i="2"/>
  <c r="AE234" i="2"/>
  <c r="AL234" i="2"/>
  <c r="AN234" i="2"/>
  <c r="AM234" i="2" s="1"/>
  <c r="AO234" i="2"/>
  <c r="AP234" i="2"/>
  <c r="AW234" i="2"/>
  <c r="AZ234" i="2"/>
  <c r="BE234" i="2"/>
  <c r="BF234" i="2" s="1"/>
  <c r="BG234" i="2"/>
  <c r="BH234" i="2"/>
  <c r="BL234" i="2"/>
  <c r="BM234" i="2"/>
  <c r="BN234" i="2"/>
  <c r="BO234" i="2"/>
  <c r="BQ234" i="2"/>
  <c r="S235" i="2"/>
  <c r="AE235" i="2"/>
  <c r="AL235" i="2"/>
  <c r="BA235" i="2" s="1"/>
  <c r="AN235" i="2"/>
  <c r="AO235" i="2"/>
  <c r="AP235" i="2"/>
  <c r="AW235" i="2"/>
  <c r="AZ235" i="2"/>
  <c r="BE235" i="2"/>
  <c r="BF235" i="2"/>
  <c r="BG235" i="2"/>
  <c r="BH235" i="2"/>
  <c r="BL235" i="2"/>
  <c r="BM235" i="2"/>
  <c r="BN235" i="2"/>
  <c r="BO235" i="2"/>
  <c r="BQ235" i="2"/>
  <c r="S236" i="2"/>
  <c r="AE236" i="2"/>
  <c r="AL236" i="2"/>
  <c r="AN236" i="2"/>
  <c r="AO236" i="2"/>
  <c r="AP236" i="2"/>
  <c r="AW236" i="2"/>
  <c r="AZ236" i="2"/>
  <c r="BE236" i="2"/>
  <c r="BF236" i="2" s="1"/>
  <c r="BG236" i="2"/>
  <c r="BH236" i="2"/>
  <c r="BL236" i="2"/>
  <c r="BM236" i="2"/>
  <c r="BN236" i="2"/>
  <c r="BO236" i="2"/>
  <c r="BQ236" i="2"/>
  <c r="S237" i="2"/>
  <c r="AE237" i="2"/>
  <c r="AL237" i="2"/>
  <c r="AN237" i="2"/>
  <c r="AO237" i="2"/>
  <c r="AP237" i="2"/>
  <c r="AW237" i="2"/>
  <c r="AZ237" i="2"/>
  <c r="BE237" i="2"/>
  <c r="BF237" i="2"/>
  <c r="BH237" i="2"/>
  <c r="BL237" i="2"/>
  <c r="BM237" i="2"/>
  <c r="BO237" i="2"/>
  <c r="BQ237" i="2"/>
  <c r="S238" i="2"/>
  <c r="AE238" i="2"/>
  <c r="AL238" i="2"/>
  <c r="BB238" i="2" s="1"/>
  <c r="AN238" i="2"/>
  <c r="AO238" i="2"/>
  <c r="AP238" i="2"/>
  <c r="AW238" i="2"/>
  <c r="AZ238" i="2"/>
  <c r="BE238" i="2"/>
  <c r="BF238" i="2" s="1"/>
  <c r="BG238" i="2"/>
  <c r="BH238" i="2"/>
  <c r="BL238" i="2"/>
  <c r="BM238" i="2"/>
  <c r="BN238" i="2"/>
  <c r="BO238" i="2"/>
  <c r="BQ238" i="2"/>
  <c r="S239" i="2"/>
  <c r="AE239" i="2"/>
  <c r="AL239" i="2"/>
  <c r="AN239" i="2"/>
  <c r="AO239" i="2"/>
  <c r="AM239" i="2" s="1"/>
  <c r="AP239" i="2"/>
  <c r="AW239" i="2"/>
  <c r="AZ239" i="2"/>
  <c r="BE239" i="2"/>
  <c r="BF239" i="2" s="1"/>
  <c r="BG239" i="2"/>
  <c r="BH239" i="2"/>
  <c r="BL239" i="2"/>
  <c r="BM239" i="2"/>
  <c r="BN239" i="2"/>
  <c r="BO239" i="2"/>
  <c r="BQ239" i="2"/>
  <c r="S240" i="2"/>
  <c r="AE240" i="2"/>
  <c r="AL240" i="2"/>
  <c r="AN240" i="2"/>
  <c r="AO240" i="2"/>
  <c r="AP240" i="2"/>
  <c r="AW240" i="2"/>
  <c r="AZ240" i="2"/>
  <c r="BE240" i="2"/>
  <c r="BF240" i="2" s="1"/>
  <c r="BG240" i="2"/>
  <c r="BH240" i="2"/>
  <c r="BL240" i="2"/>
  <c r="BM240" i="2"/>
  <c r="BN240" i="2"/>
  <c r="BO240" i="2"/>
  <c r="BQ240" i="2"/>
  <c r="S241" i="2"/>
  <c r="AE241" i="2"/>
  <c r="AL241" i="2"/>
  <c r="AN241" i="2"/>
  <c r="AM241" i="2" s="1"/>
  <c r="AO241" i="2"/>
  <c r="AP241" i="2"/>
  <c r="AW241" i="2"/>
  <c r="AZ241" i="2"/>
  <c r="BE241" i="2"/>
  <c r="BF241" i="2" s="1"/>
  <c r="BG241" i="2"/>
  <c r="BH241" i="2"/>
  <c r="BL241" i="2"/>
  <c r="BM241" i="2"/>
  <c r="BN241" i="2"/>
  <c r="BO241" i="2"/>
  <c r="S242" i="2"/>
  <c r="AE242" i="2"/>
  <c r="AL242" i="2"/>
  <c r="AN242" i="2"/>
  <c r="AO242" i="2"/>
  <c r="AP242" i="2"/>
  <c r="AW242" i="2"/>
  <c r="AZ242" i="2"/>
  <c r="BE242" i="2"/>
  <c r="BF242" i="2" s="1"/>
  <c r="BG242" i="2"/>
  <c r="BH242" i="2"/>
  <c r="BL242" i="2"/>
  <c r="BM242" i="2"/>
  <c r="BN242" i="2"/>
  <c r="BO242" i="2"/>
  <c r="S243" i="2"/>
  <c r="AE243" i="2"/>
  <c r="AL243" i="2"/>
  <c r="BB243" i="2" s="1"/>
  <c r="AN243" i="2"/>
  <c r="AO243" i="2"/>
  <c r="AP243" i="2"/>
  <c r="AW243" i="2"/>
  <c r="AZ243" i="2"/>
  <c r="BE243" i="2"/>
  <c r="BF243" i="2" s="1"/>
  <c r="BG243" i="2"/>
  <c r="BH243" i="2"/>
  <c r="BL243" i="2"/>
  <c r="BM243" i="2"/>
  <c r="BN243" i="2"/>
  <c r="BO243" i="2"/>
  <c r="S244" i="2"/>
  <c r="AE244" i="2"/>
  <c r="AL244" i="2"/>
  <c r="BA244" i="2" s="1"/>
  <c r="AN244" i="2"/>
  <c r="AO244" i="2"/>
  <c r="AP244" i="2"/>
  <c r="AW244" i="2"/>
  <c r="AZ244" i="2"/>
  <c r="BE244" i="2"/>
  <c r="BF244" i="2" s="1"/>
  <c r="BG244" i="2"/>
  <c r="BH244" i="2"/>
  <c r="BL244" i="2"/>
  <c r="BM244" i="2"/>
  <c r="BN244" i="2"/>
  <c r="BO244" i="2"/>
  <c r="S245" i="2"/>
  <c r="AE245" i="2"/>
  <c r="AL245" i="2"/>
  <c r="BA245" i="2" s="1"/>
  <c r="AN245" i="2"/>
  <c r="AO245" i="2"/>
  <c r="AM245" i="2" s="1"/>
  <c r="AP245" i="2"/>
  <c r="AS245" i="2"/>
  <c r="AT245" i="2"/>
  <c r="AW245" i="2"/>
  <c r="AZ245" i="2"/>
  <c r="BE245" i="2"/>
  <c r="BF245" i="2" s="1"/>
  <c r="BG245" i="2"/>
  <c r="BH245" i="2"/>
  <c r="BL245" i="2"/>
  <c r="BM245" i="2"/>
  <c r="BN245" i="2"/>
  <c r="BO245" i="2"/>
  <c r="S246" i="2"/>
  <c r="AE246" i="2"/>
  <c r="AL246" i="2"/>
  <c r="AM246" i="2"/>
  <c r="AN246" i="2"/>
  <c r="AO246" i="2"/>
  <c r="AP246" i="2"/>
  <c r="AW246" i="2"/>
  <c r="AZ246" i="2"/>
  <c r="BE246" i="2"/>
  <c r="BF246" i="2" s="1"/>
  <c r="BG246" i="2"/>
  <c r="BH246" i="2"/>
  <c r="BL246" i="2"/>
  <c r="BM246" i="2"/>
  <c r="BN246" i="2"/>
  <c r="BO246" i="2"/>
  <c r="BQ246" i="2"/>
  <c r="S247" i="2"/>
  <c r="AE247" i="2"/>
  <c r="AL247" i="2"/>
  <c r="AN247" i="2"/>
  <c r="AO247" i="2"/>
  <c r="AP247" i="2"/>
  <c r="AW247" i="2"/>
  <c r="AZ247" i="2"/>
  <c r="BE247" i="2"/>
  <c r="BF247" i="2"/>
  <c r="BG247" i="2"/>
  <c r="BH247" i="2"/>
  <c r="BL247" i="2"/>
  <c r="BM247" i="2"/>
  <c r="BN247" i="2"/>
  <c r="BO247" i="2"/>
  <c r="BQ247" i="2"/>
  <c r="S248" i="2"/>
  <c r="AE248" i="2"/>
  <c r="AL248" i="2"/>
  <c r="AN248" i="2"/>
  <c r="AM248" i="2" s="1"/>
  <c r="BP248" i="2" s="1"/>
  <c r="AO248" i="2"/>
  <c r="AP248" i="2"/>
  <c r="AW248" i="2"/>
  <c r="AZ248" i="2"/>
  <c r="BE248" i="2"/>
  <c r="BF248" i="2" s="1"/>
  <c r="BG248" i="2"/>
  <c r="BH248" i="2"/>
  <c r="BL248" i="2"/>
  <c r="BM248" i="2"/>
  <c r="BN248" i="2"/>
  <c r="BO248" i="2"/>
  <c r="AE249" i="2"/>
  <c r="AL249" i="2"/>
  <c r="AN249" i="2"/>
  <c r="AO249" i="2"/>
  <c r="AP249" i="2"/>
  <c r="AW249" i="2"/>
  <c r="AZ249" i="2"/>
  <c r="BE249" i="2"/>
  <c r="BF249" i="2" s="1"/>
  <c r="BG249" i="2"/>
  <c r="BH249" i="2"/>
  <c r="BL249" i="2"/>
  <c r="BM249" i="2"/>
  <c r="BN249" i="2"/>
  <c r="BO249" i="2"/>
  <c r="BQ249" i="2"/>
  <c r="AE250" i="2"/>
  <c r="AL250" i="2"/>
  <c r="AN250" i="2"/>
  <c r="AO250" i="2"/>
  <c r="AP250" i="2"/>
  <c r="AW250" i="2"/>
  <c r="AZ250" i="2"/>
  <c r="BE250" i="2"/>
  <c r="BF250" i="2"/>
  <c r="BG250" i="2"/>
  <c r="BH250" i="2"/>
  <c r="BL250" i="2"/>
  <c r="BM250" i="2"/>
  <c r="BN250" i="2"/>
  <c r="BO250" i="2"/>
  <c r="BQ250" i="2"/>
  <c r="AE251" i="2"/>
  <c r="AL251" i="2"/>
  <c r="AN251" i="2"/>
  <c r="AO251" i="2"/>
  <c r="AP251" i="2"/>
  <c r="AW251" i="2"/>
  <c r="AZ251" i="2"/>
  <c r="BE251" i="2"/>
  <c r="BF251" i="2"/>
  <c r="BG251" i="2"/>
  <c r="BH251" i="2"/>
  <c r="BL251" i="2"/>
  <c r="BM251" i="2"/>
  <c r="BN251" i="2"/>
  <c r="BO251" i="2"/>
  <c r="BQ251" i="2"/>
  <c r="AE252" i="2"/>
  <c r="AL252" i="2"/>
  <c r="AN252" i="2"/>
  <c r="AO252" i="2"/>
  <c r="AP252" i="2"/>
  <c r="AW252" i="2"/>
  <c r="AZ252" i="2"/>
  <c r="BE252" i="2"/>
  <c r="BF252" i="2" s="1"/>
  <c r="BG252" i="2"/>
  <c r="BH252" i="2"/>
  <c r="BL252" i="2"/>
  <c r="BM252" i="2"/>
  <c r="BN252" i="2"/>
  <c r="BO252" i="2"/>
  <c r="BQ252" i="2"/>
  <c r="AE253" i="2"/>
  <c r="AL253" i="2"/>
  <c r="AN253" i="2"/>
  <c r="AM253" i="2" s="1"/>
  <c r="AO253" i="2"/>
  <c r="AP253" i="2"/>
  <c r="AW253" i="2"/>
  <c r="AZ253" i="2"/>
  <c r="BE253" i="2"/>
  <c r="BF253" i="2" s="1"/>
  <c r="BG253" i="2"/>
  <c r="BH253" i="2"/>
  <c r="BL253" i="2"/>
  <c r="BM253" i="2"/>
  <c r="BN253" i="2"/>
  <c r="BO253" i="2"/>
  <c r="BQ253" i="2"/>
  <c r="AE254" i="2"/>
  <c r="AL254" i="2"/>
  <c r="AN254" i="2"/>
  <c r="AO254" i="2"/>
  <c r="AP254" i="2"/>
  <c r="AW254" i="2"/>
  <c r="AZ254" i="2"/>
  <c r="BE254" i="2"/>
  <c r="BF254" i="2" s="1"/>
  <c r="BG254" i="2"/>
  <c r="BH254" i="2"/>
  <c r="BL254" i="2"/>
  <c r="BM254" i="2"/>
  <c r="BN254" i="2"/>
  <c r="BO254" i="2"/>
  <c r="BQ254" i="2"/>
  <c r="AE255" i="2"/>
  <c r="AL255" i="2"/>
  <c r="AN255" i="2"/>
  <c r="AO255" i="2"/>
  <c r="AP255" i="2"/>
  <c r="AW255" i="2"/>
  <c r="AZ255" i="2"/>
  <c r="BE255" i="2"/>
  <c r="BF255" i="2" s="1"/>
  <c r="BG255" i="2"/>
  <c r="BH255" i="2"/>
  <c r="BL255" i="2"/>
  <c r="BM255" i="2"/>
  <c r="BN255" i="2"/>
  <c r="BO255" i="2"/>
  <c r="BQ255" i="2"/>
  <c r="AE256" i="2"/>
  <c r="AL256" i="2"/>
  <c r="AN256" i="2"/>
  <c r="AO256" i="2"/>
  <c r="AP256" i="2"/>
  <c r="AW256" i="2"/>
  <c r="AZ256" i="2"/>
  <c r="BE256" i="2"/>
  <c r="BF256" i="2" s="1"/>
  <c r="BG256" i="2"/>
  <c r="BH256" i="2"/>
  <c r="BL256" i="2"/>
  <c r="BM256" i="2"/>
  <c r="BN256" i="2"/>
  <c r="BO256" i="2"/>
  <c r="BQ256" i="2"/>
  <c r="S257" i="2"/>
  <c r="AE257" i="2"/>
  <c r="AL257" i="2"/>
  <c r="AN257" i="2"/>
  <c r="AO257" i="2"/>
  <c r="AM257" i="2" s="1"/>
  <c r="BP257" i="2" s="1"/>
  <c r="AP257" i="2"/>
  <c r="AW257" i="2"/>
  <c r="AZ257" i="2"/>
  <c r="BE257" i="2"/>
  <c r="BF257" i="2" s="1"/>
  <c r="BG257" i="2"/>
  <c r="BH257" i="2"/>
  <c r="BL257" i="2"/>
  <c r="BM257" i="2"/>
  <c r="BN257" i="2"/>
  <c r="BO257" i="2"/>
  <c r="S258" i="2"/>
  <c r="AE258" i="2"/>
  <c r="AL258" i="2"/>
  <c r="AN258" i="2"/>
  <c r="AO258" i="2"/>
  <c r="AP258" i="2"/>
  <c r="AW258" i="2"/>
  <c r="BA258" i="2" s="1"/>
  <c r="AZ258" i="2"/>
  <c r="BE258" i="2"/>
  <c r="BF258" i="2" s="1"/>
  <c r="BG258" i="2"/>
  <c r="BH258" i="2"/>
  <c r="BL258" i="2"/>
  <c r="BM258" i="2"/>
  <c r="BN258" i="2"/>
  <c r="BO258" i="2"/>
  <c r="S259" i="2"/>
  <c r="AE259" i="2"/>
  <c r="AL259" i="2"/>
  <c r="AN259" i="2"/>
  <c r="AO259" i="2"/>
  <c r="AM259" i="2" s="1"/>
  <c r="AP259" i="2"/>
  <c r="AW259" i="2"/>
  <c r="AZ259" i="2"/>
  <c r="BE259" i="2"/>
  <c r="BF259" i="2" s="1"/>
  <c r="BG259" i="2"/>
  <c r="BH259" i="2"/>
  <c r="BL259" i="2"/>
  <c r="BM259" i="2"/>
  <c r="BN259" i="2"/>
  <c r="BO259" i="2"/>
  <c r="S260" i="2"/>
  <c r="AE260" i="2"/>
  <c r="AL260" i="2"/>
  <c r="AN260" i="2"/>
  <c r="AO260" i="2"/>
  <c r="AM260" i="2" s="1"/>
  <c r="BP260" i="2" s="1"/>
  <c r="AP260" i="2"/>
  <c r="AW260" i="2"/>
  <c r="AZ260" i="2"/>
  <c r="BE260" i="2"/>
  <c r="BF260" i="2" s="1"/>
  <c r="BG260" i="2"/>
  <c r="BH260" i="2"/>
  <c r="BL260" i="2"/>
  <c r="BM260" i="2"/>
  <c r="BN260" i="2"/>
  <c r="BO260" i="2"/>
  <c r="S261" i="2"/>
  <c r="AE261" i="2"/>
  <c r="AL261" i="2"/>
  <c r="AN261" i="2"/>
  <c r="AO261" i="2"/>
  <c r="AP261" i="2"/>
  <c r="AW261" i="2"/>
  <c r="AZ261" i="2"/>
  <c r="BE261" i="2"/>
  <c r="BF261" i="2" s="1"/>
  <c r="BG261" i="2"/>
  <c r="BH261" i="2"/>
  <c r="BL261" i="2"/>
  <c r="BM261" i="2"/>
  <c r="BN261" i="2"/>
  <c r="BO261" i="2"/>
  <c r="S262" i="2"/>
  <c r="AE262" i="2"/>
  <c r="AL262" i="2"/>
  <c r="AN262" i="2"/>
  <c r="AO262" i="2"/>
  <c r="AP262" i="2"/>
  <c r="AW262" i="2"/>
  <c r="AZ262" i="2"/>
  <c r="BE262" i="2"/>
  <c r="BF262" i="2" s="1"/>
  <c r="BG262" i="2"/>
  <c r="BH262" i="2"/>
  <c r="BL262" i="2"/>
  <c r="BM262" i="2"/>
  <c r="BN262" i="2"/>
  <c r="BO262" i="2"/>
  <c r="S263" i="2"/>
  <c r="AE263" i="2"/>
  <c r="AL263" i="2"/>
  <c r="AN263" i="2"/>
  <c r="AO263" i="2"/>
  <c r="AM263" i="2" s="1"/>
  <c r="AP263" i="2"/>
  <c r="AW263" i="2"/>
  <c r="AZ263" i="2"/>
  <c r="BE263" i="2"/>
  <c r="BF263" i="2" s="1"/>
  <c r="BG263" i="2"/>
  <c r="BH263" i="2"/>
  <c r="BL263" i="2"/>
  <c r="BM263" i="2"/>
  <c r="BN263" i="2"/>
  <c r="BO263" i="2"/>
  <c r="S264" i="2"/>
  <c r="AE264" i="2"/>
  <c r="AL264" i="2"/>
  <c r="AN264" i="2"/>
  <c r="AO264" i="2"/>
  <c r="AM264" i="2" s="1"/>
  <c r="AP264" i="2"/>
  <c r="AW264" i="2"/>
  <c r="AZ264" i="2"/>
  <c r="BE264" i="2"/>
  <c r="BF264" i="2" s="1"/>
  <c r="BG264" i="2"/>
  <c r="BH264" i="2"/>
  <c r="BL264" i="2"/>
  <c r="BM264" i="2"/>
  <c r="BN264" i="2"/>
  <c r="BO264" i="2"/>
  <c r="S265" i="2"/>
  <c r="AE265" i="2"/>
  <c r="AL265" i="2"/>
  <c r="AN265" i="2"/>
  <c r="AO265" i="2"/>
  <c r="AP265" i="2"/>
  <c r="AW265" i="2"/>
  <c r="AZ265" i="2"/>
  <c r="BE265" i="2"/>
  <c r="BF265" i="2" s="1"/>
  <c r="BG265" i="2"/>
  <c r="BH265" i="2"/>
  <c r="BL265" i="2"/>
  <c r="BM265" i="2"/>
  <c r="BN265" i="2"/>
  <c r="BO265" i="2"/>
  <c r="S266" i="2"/>
  <c r="AE266" i="2"/>
  <c r="AL266" i="2"/>
  <c r="AN266" i="2"/>
  <c r="AO266" i="2"/>
  <c r="AP266" i="2"/>
  <c r="AW266" i="2"/>
  <c r="AZ266" i="2"/>
  <c r="BA266" i="2"/>
  <c r="BE266" i="2"/>
  <c r="BF266" i="2" s="1"/>
  <c r="BG266" i="2"/>
  <c r="BH266" i="2"/>
  <c r="BL266" i="2"/>
  <c r="BM266" i="2"/>
  <c r="BN266" i="2"/>
  <c r="BO266" i="2"/>
  <c r="S267" i="2"/>
  <c r="AE267" i="2"/>
  <c r="AL267" i="2"/>
  <c r="AN267" i="2"/>
  <c r="AO267" i="2"/>
  <c r="AP267" i="2"/>
  <c r="AW267" i="2"/>
  <c r="AZ267" i="2"/>
  <c r="BE267" i="2"/>
  <c r="BF267" i="2" s="1"/>
  <c r="BG267" i="2"/>
  <c r="BH267" i="2"/>
  <c r="BL267" i="2"/>
  <c r="BM267" i="2"/>
  <c r="BN267" i="2"/>
  <c r="BO267" i="2"/>
  <c r="S268" i="2"/>
  <c r="AE268" i="2"/>
  <c r="AL268" i="2"/>
  <c r="AN268" i="2"/>
  <c r="AM268" i="2" s="1"/>
  <c r="BP268" i="2" s="1"/>
  <c r="AO268" i="2"/>
  <c r="AP268" i="2"/>
  <c r="AW268" i="2"/>
  <c r="AZ268" i="2"/>
  <c r="BE268" i="2"/>
  <c r="BF268" i="2" s="1"/>
  <c r="BG268" i="2"/>
  <c r="BH268" i="2"/>
  <c r="BL268" i="2"/>
  <c r="BM268" i="2"/>
  <c r="BN268" i="2"/>
  <c r="BO268" i="2"/>
  <c r="S269" i="2"/>
  <c r="AE269" i="2"/>
  <c r="AL269" i="2"/>
  <c r="AN269" i="2"/>
  <c r="AO269" i="2"/>
  <c r="AP269" i="2"/>
  <c r="AW269" i="2"/>
  <c r="AZ269" i="2"/>
  <c r="BA269" i="2"/>
  <c r="BE269" i="2"/>
  <c r="BF269" i="2" s="1"/>
  <c r="BG269" i="2"/>
  <c r="BH269" i="2"/>
  <c r="BL269" i="2"/>
  <c r="BM269" i="2"/>
  <c r="BN269" i="2"/>
  <c r="BO269" i="2"/>
  <c r="S270" i="2"/>
  <c r="AE270" i="2"/>
  <c r="AL270" i="2"/>
  <c r="AN270" i="2"/>
  <c r="AO270" i="2"/>
  <c r="AP270" i="2"/>
  <c r="AW270" i="2"/>
  <c r="AZ270" i="2"/>
  <c r="BE270" i="2"/>
  <c r="BF270" i="2" s="1"/>
  <c r="BG270" i="2"/>
  <c r="BH270" i="2"/>
  <c r="BL270" i="2"/>
  <c r="BM270" i="2"/>
  <c r="BN270" i="2"/>
  <c r="BO270" i="2"/>
  <c r="S271" i="2"/>
  <c r="AE271" i="2"/>
  <c r="AL271" i="2"/>
  <c r="AN271" i="2"/>
  <c r="AO271" i="2"/>
  <c r="AP271" i="2"/>
  <c r="AW271" i="2"/>
  <c r="BA271" i="2" s="1"/>
  <c r="AZ271" i="2"/>
  <c r="BE271" i="2"/>
  <c r="BF271" i="2" s="1"/>
  <c r="BG271" i="2"/>
  <c r="BH271" i="2"/>
  <c r="BL271" i="2"/>
  <c r="BM271" i="2"/>
  <c r="BN271" i="2"/>
  <c r="BO271" i="2"/>
  <c r="S272" i="2"/>
  <c r="AE272" i="2"/>
  <c r="AL272" i="2"/>
  <c r="AN272" i="2"/>
  <c r="AO272" i="2"/>
  <c r="AM272" i="2" s="1"/>
  <c r="AP272" i="2"/>
  <c r="AW272" i="2"/>
  <c r="AZ272" i="2"/>
  <c r="BE272" i="2"/>
  <c r="BF272" i="2" s="1"/>
  <c r="BG272" i="2"/>
  <c r="BH272" i="2"/>
  <c r="BL272" i="2"/>
  <c r="BM272" i="2"/>
  <c r="BN272" i="2"/>
  <c r="BO272" i="2"/>
  <c r="S273" i="2"/>
  <c r="AE273" i="2"/>
  <c r="AL273" i="2"/>
  <c r="AN273" i="2"/>
  <c r="AO273" i="2"/>
  <c r="AP273" i="2"/>
  <c r="AW273" i="2"/>
  <c r="AZ273" i="2"/>
  <c r="BE273" i="2"/>
  <c r="BF273" i="2" s="1"/>
  <c r="BG273" i="2"/>
  <c r="BH273" i="2"/>
  <c r="BL273" i="2"/>
  <c r="BM273" i="2"/>
  <c r="BN273" i="2"/>
  <c r="BO273" i="2"/>
  <c r="S274" i="2"/>
  <c r="AE274" i="2"/>
  <c r="AL274" i="2"/>
  <c r="AN274" i="2"/>
  <c r="AO274" i="2"/>
  <c r="AP274" i="2"/>
  <c r="AW274" i="2"/>
  <c r="AZ274" i="2"/>
  <c r="BE274" i="2"/>
  <c r="BF274" i="2" s="1"/>
  <c r="BG274" i="2"/>
  <c r="BH274" i="2"/>
  <c r="BL274" i="2"/>
  <c r="BM274" i="2"/>
  <c r="BN274" i="2"/>
  <c r="BO274" i="2"/>
  <c r="S275" i="2"/>
  <c r="AE275" i="2"/>
  <c r="AL275" i="2"/>
  <c r="AN275" i="2"/>
  <c r="AO275" i="2"/>
  <c r="AM275" i="2" s="1"/>
  <c r="AP275" i="2"/>
  <c r="AW275" i="2"/>
  <c r="AZ275" i="2"/>
  <c r="BE275" i="2"/>
  <c r="BF275" i="2" s="1"/>
  <c r="BG275" i="2"/>
  <c r="BH275" i="2"/>
  <c r="BL275" i="2"/>
  <c r="BM275" i="2"/>
  <c r="BN275" i="2"/>
  <c r="BO275" i="2"/>
  <c r="S276" i="2"/>
  <c r="AE276" i="2"/>
  <c r="AL276" i="2"/>
  <c r="AN276" i="2"/>
  <c r="AO276" i="2"/>
  <c r="AP276" i="2"/>
  <c r="AW276" i="2"/>
  <c r="AZ276" i="2"/>
  <c r="BE276" i="2"/>
  <c r="BF276" i="2" s="1"/>
  <c r="BG276" i="2"/>
  <c r="BH276" i="2"/>
  <c r="BL276" i="2"/>
  <c r="BM276" i="2"/>
  <c r="BN276" i="2"/>
  <c r="BO276" i="2"/>
  <c r="S277" i="2"/>
  <c r="AE277" i="2"/>
  <c r="AL277" i="2"/>
  <c r="AN277" i="2"/>
  <c r="AO277" i="2"/>
  <c r="AP277" i="2"/>
  <c r="AW277" i="2"/>
  <c r="AZ277" i="2"/>
  <c r="BE277" i="2"/>
  <c r="BF277" i="2" s="1"/>
  <c r="BG277" i="2"/>
  <c r="BH277" i="2"/>
  <c r="BL277" i="2"/>
  <c r="BM277" i="2"/>
  <c r="BN277" i="2"/>
  <c r="BO277" i="2"/>
  <c r="BQ277" i="2"/>
  <c r="S278" i="2"/>
  <c r="AE278" i="2"/>
  <c r="AL278" i="2"/>
  <c r="AN278" i="2"/>
  <c r="AM278" i="2" s="1"/>
  <c r="AO278" i="2"/>
  <c r="AP278" i="2"/>
  <c r="AW278" i="2"/>
  <c r="AZ278" i="2"/>
  <c r="BE278" i="2"/>
  <c r="BF278" i="2" s="1"/>
  <c r="BG278" i="2"/>
  <c r="BH278" i="2"/>
  <c r="BL278" i="2"/>
  <c r="BM278" i="2"/>
  <c r="BN278" i="2"/>
  <c r="BO278" i="2"/>
  <c r="BQ278" i="2"/>
  <c r="S279" i="2"/>
  <c r="AE279" i="2"/>
  <c r="AL279" i="2"/>
  <c r="BB279" i="2" s="1"/>
  <c r="AN279" i="2"/>
  <c r="AO279" i="2"/>
  <c r="AP279" i="2"/>
  <c r="AW279" i="2"/>
  <c r="AZ279" i="2"/>
  <c r="BE279" i="2"/>
  <c r="BF279" i="2" s="1"/>
  <c r="BG279" i="2"/>
  <c r="BH279" i="2"/>
  <c r="BL279" i="2"/>
  <c r="BM279" i="2"/>
  <c r="BN279" i="2"/>
  <c r="BO279" i="2"/>
  <c r="BQ279" i="2"/>
  <c r="S280" i="2"/>
  <c r="AE280" i="2"/>
  <c r="AL280" i="2"/>
  <c r="AN280" i="2"/>
  <c r="AO280" i="2"/>
  <c r="AP280" i="2"/>
  <c r="AW280" i="2"/>
  <c r="AZ280" i="2"/>
  <c r="BE280" i="2"/>
  <c r="BF280" i="2" s="1"/>
  <c r="BG280" i="2"/>
  <c r="BH280" i="2"/>
  <c r="BL280" i="2"/>
  <c r="BM280" i="2"/>
  <c r="BN280" i="2"/>
  <c r="BO280" i="2"/>
  <c r="BQ280" i="2"/>
  <c r="M281" i="2"/>
  <c r="S281" i="2"/>
  <c r="AE281" i="2"/>
  <c r="AL281" i="2"/>
  <c r="AN281" i="2"/>
  <c r="AO281" i="2"/>
  <c r="AP281" i="2"/>
  <c r="AW281" i="2"/>
  <c r="AZ281" i="2"/>
  <c r="BE281" i="2"/>
  <c r="BF281" i="2" s="1"/>
  <c r="BG281" i="2"/>
  <c r="BH281" i="2"/>
  <c r="BL281" i="2"/>
  <c r="BM281" i="2"/>
  <c r="BN281" i="2"/>
  <c r="BO281" i="2"/>
  <c r="BQ281" i="2"/>
  <c r="M282" i="2"/>
  <c r="S282" i="2"/>
  <c r="AE282" i="2"/>
  <c r="AL282" i="2"/>
  <c r="AM282" i="2"/>
  <c r="AN282" i="2"/>
  <c r="AO282" i="2"/>
  <c r="AP282" i="2"/>
  <c r="AW282" i="2"/>
  <c r="BA282" i="2" s="1"/>
  <c r="AZ282" i="2"/>
  <c r="BE282" i="2"/>
  <c r="BF282" i="2" s="1"/>
  <c r="BG282" i="2"/>
  <c r="BH282" i="2"/>
  <c r="BL282" i="2"/>
  <c r="BM282" i="2"/>
  <c r="BN282" i="2"/>
  <c r="BO282" i="2"/>
  <c r="BQ282" i="2"/>
  <c r="M283" i="2"/>
  <c r="S283" i="2"/>
  <c r="AE283" i="2"/>
  <c r="AL283" i="2"/>
  <c r="AN283" i="2"/>
  <c r="AO283" i="2"/>
  <c r="AP283" i="2"/>
  <c r="AW283" i="2"/>
  <c r="AZ283" i="2"/>
  <c r="BE283" i="2"/>
  <c r="BF283" i="2"/>
  <c r="BG283" i="2"/>
  <c r="BH283" i="2"/>
  <c r="BL283" i="2"/>
  <c r="BM283" i="2"/>
  <c r="BN283" i="2"/>
  <c r="BO283" i="2"/>
  <c r="BQ283" i="2"/>
  <c r="M284" i="2"/>
  <c r="S284" i="2"/>
  <c r="AE284" i="2"/>
  <c r="AL284" i="2"/>
  <c r="AN284" i="2"/>
  <c r="AO284" i="2"/>
  <c r="AP284" i="2"/>
  <c r="AW284" i="2"/>
  <c r="AZ284" i="2"/>
  <c r="BE284" i="2"/>
  <c r="BF284" i="2"/>
  <c r="BG284" i="2"/>
  <c r="BH284" i="2"/>
  <c r="BL284" i="2"/>
  <c r="BM284" i="2"/>
  <c r="BN284" i="2"/>
  <c r="BO284" i="2"/>
  <c r="BQ284" i="2"/>
  <c r="M285" i="2"/>
  <c r="S285" i="2"/>
  <c r="AE285" i="2"/>
  <c r="AL285" i="2"/>
  <c r="AN285" i="2"/>
  <c r="AO285" i="2"/>
  <c r="AP285" i="2"/>
  <c r="AW285" i="2"/>
  <c r="AZ285" i="2"/>
  <c r="BE285" i="2"/>
  <c r="BF285" i="2" s="1"/>
  <c r="BG285" i="2"/>
  <c r="BH285" i="2"/>
  <c r="BL285" i="2"/>
  <c r="BM285" i="2"/>
  <c r="BN285" i="2"/>
  <c r="BO285" i="2"/>
  <c r="BQ285" i="2"/>
  <c r="M286" i="2"/>
  <c r="S286" i="2"/>
  <c r="AE286" i="2"/>
  <c r="AL286" i="2"/>
  <c r="AN286" i="2"/>
  <c r="AO286" i="2"/>
  <c r="AP286" i="2"/>
  <c r="AW286" i="2"/>
  <c r="BA286" i="2" s="1"/>
  <c r="AZ286" i="2"/>
  <c r="BE286" i="2"/>
  <c r="BF286" i="2" s="1"/>
  <c r="BG286" i="2"/>
  <c r="BH286" i="2"/>
  <c r="BL286" i="2"/>
  <c r="BM286" i="2"/>
  <c r="BN286" i="2"/>
  <c r="BO286" i="2"/>
  <c r="BQ286" i="2"/>
  <c r="M287" i="2"/>
  <c r="S287" i="2"/>
  <c r="AE287" i="2"/>
  <c r="AL287" i="2"/>
  <c r="AN287" i="2"/>
  <c r="AO287" i="2"/>
  <c r="AP287" i="2"/>
  <c r="AW287" i="2"/>
  <c r="AZ287" i="2"/>
  <c r="BE287" i="2"/>
  <c r="BF287" i="2" s="1"/>
  <c r="BG287" i="2"/>
  <c r="BH287" i="2"/>
  <c r="BL287" i="2"/>
  <c r="BM287" i="2"/>
  <c r="BN287" i="2"/>
  <c r="BO287" i="2"/>
  <c r="BQ287" i="2"/>
  <c r="M288" i="2"/>
  <c r="S288" i="2"/>
  <c r="AE288" i="2"/>
  <c r="AL288" i="2"/>
  <c r="AN288" i="2"/>
  <c r="AO288" i="2"/>
  <c r="AP288" i="2"/>
  <c r="AW288" i="2"/>
  <c r="AZ288" i="2"/>
  <c r="BE288" i="2"/>
  <c r="BF288" i="2" s="1"/>
  <c r="BG288" i="2"/>
  <c r="BH288" i="2"/>
  <c r="BL288" i="2"/>
  <c r="BM288" i="2"/>
  <c r="BN288" i="2"/>
  <c r="BO288" i="2"/>
  <c r="BQ288" i="2"/>
  <c r="M289" i="2"/>
  <c r="S289" i="2"/>
  <c r="AE289" i="2"/>
  <c r="AL289" i="2"/>
  <c r="AN289" i="2"/>
  <c r="AM289" i="2" s="1"/>
  <c r="BP289" i="2" s="1"/>
  <c r="AO289" i="2"/>
  <c r="AP289" i="2"/>
  <c r="AW289" i="2"/>
  <c r="AZ289" i="2"/>
  <c r="BE289" i="2"/>
  <c r="BF289" i="2" s="1"/>
  <c r="BG289" i="2"/>
  <c r="BH289" i="2"/>
  <c r="BL289" i="2"/>
  <c r="BM289" i="2"/>
  <c r="BN289" i="2"/>
  <c r="BO289" i="2"/>
  <c r="BQ289" i="2"/>
  <c r="M290" i="2"/>
  <c r="S290" i="2"/>
  <c r="AE290" i="2"/>
  <c r="AL290" i="2"/>
  <c r="BA290" i="2" s="1"/>
  <c r="AN290" i="2"/>
  <c r="AO290" i="2"/>
  <c r="AP290" i="2"/>
  <c r="AW290" i="2"/>
  <c r="AZ290" i="2"/>
  <c r="BE290" i="2"/>
  <c r="BF290" i="2" s="1"/>
  <c r="BG290" i="2"/>
  <c r="BH290" i="2"/>
  <c r="BL290" i="2"/>
  <c r="BM290" i="2"/>
  <c r="BN290" i="2"/>
  <c r="BO290" i="2"/>
  <c r="BQ290" i="2"/>
  <c r="M291" i="2"/>
  <c r="S291" i="2"/>
  <c r="AE291" i="2"/>
  <c r="AL291" i="2"/>
  <c r="AN291" i="2"/>
  <c r="AO291" i="2"/>
  <c r="AP291" i="2"/>
  <c r="AW291" i="2"/>
  <c r="AZ291" i="2"/>
  <c r="BE291" i="2"/>
  <c r="BF291" i="2"/>
  <c r="BG291" i="2"/>
  <c r="BH291" i="2"/>
  <c r="BL291" i="2"/>
  <c r="BM291" i="2"/>
  <c r="BN291" i="2"/>
  <c r="BO291" i="2"/>
  <c r="BQ291" i="2"/>
  <c r="M292" i="2"/>
  <c r="S292" i="2"/>
  <c r="AE292" i="2"/>
  <c r="AL292" i="2"/>
  <c r="AN292" i="2"/>
  <c r="AO292" i="2"/>
  <c r="AP292" i="2"/>
  <c r="AW292" i="2"/>
  <c r="BA292" i="2" s="1"/>
  <c r="AZ292" i="2"/>
  <c r="BB292" i="2" s="1"/>
  <c r="BE292" i="2"/>
  <c r="BF292" i="2" s="1"/>
  <c r="BG292" i="2"/>
  <c r="BH292" i="2"/>
  <c r="BL292" i="2"/>
  <c r="BM292" i="2"/>
  <c r="BN292" i="2"/>
  <c r="BO292" i="2"/>
  <c r="BQ292" i="2"/>
  <c r="M293" i="2"/>
  <c r="S293" i="2"/>
  <c r="AE293" i="2"/>
  <c r="AL293" i="2"/>
  <c r="AN293" i="2"/>
  <c r="AO293" i="2"/>
  <c r="AP293" i="2"/>
  <c r="AW293" i="2"/>
  <c r="AZ293" i="2"/>
  <c r="BE293" i="2"/>
  <c r="BF293" i="2" s="1"/>
  <c r="BG293" i="2"/>
  <c r="BH293" i="2"/>
  <c r="BL293" i="2"/>
  <c r="BM293" i="2"/>
  <c r="BN293" i="2"/>
  <c r="BO293" i="2"/>
  <c r="BQ293" i="2"/>
  <c r="M294" i="2"/>
  <c r="S294" i="2"/>
  <c r="AE294" i="2"/>
  <c r="AL294" i="2"/>
  <c r="AN294" i="2"/>
  <c r="AO294" i="2"/>
  <c r="AP294" i="2"/>
  <c r="AW294" i="2"/>
  <c r="AZ294" i="2"/>
  <c r="BE294" i="2"/>
  <c r="BF294" i="2" s="1"/>
  <c r="BG294" i="2"/>
  <c r="BH294" i="2"/>
  <c r="BL294" i="2"/>
  <c r="BM294" i="2"/>
  <c r="BN294" i="2"/>
  <c r="BO294" i="2"/>
  <c r="BQ294" i="2"/>
  <c r="M295" i="2"/>
  <c r="S295" i="2"/>
  <c r="AE295" i="2"/>
  <c r="AL295" i="2"/>
  <c r="AM295" i="2"/>
  <c r="AN295" i="2"/>
  <c r="AO295" i="2"/>
  <c r="AP295" i="2"/>
  <c r="AW295" i="2"/>
  <c r="BE295" i="2"/>
  <c r="BF295" i="2" s="1"/>
  <c r="BG295" i="2"/>
  <c r="BH295" i="2"/>
  <c r="BL295" i="2"/>
  <c r="BM295" i="2"/>
  <c r="BN295" i="2"/>
  <c r="BO295" i="2"/>
  <c r="BQ295" i="2"/>
  <c r="M296" i="2"/>
  <c r="S296" i="2"/>
  <c r="AE296" i="2"/>
  <c r="AL296" i="2"/>
  <c r="AN296" i="2"/>
  <c r="AO296" i="2"/>
  <c r="AP296" i="2"/>
  <c r="AW296" i="2"/>
  <c r="AZ296" i="2"/>
  <c r="BE296" i="2"/>
  <c r="BF296" i="2" s="1"/>
  <c r="BG296" i="2"/>
  <c r="BH296" i="2"/>
  <c r="BL296" i="2"/>
  <c r="BM296" i="2"/>
  <c r="BN296" i="2"/>
  <c r="BO296" i="2"/>
  <c r="BQ296" i="2"/>
  <c r="M297" i="2"/>
  <c r="S297" i="2"/>
  <c r="AE297" i="2"/>
  <c r="AL297" i="2"/>
  <c r="AN297" i="2"/>
  <c r="AO297" i="2"/>
  <c r="AP297" i="2"/>
  <c r="AW297" i="2"/>
  <c r="AZ297" i="2"/>
  <c r="BE297" i="2"/>
  <c r="BF297" i="2" s="1"/>
  <c r="BG297" i="2"/>
  <c r="BH297" i="2"/>
  <c r="BL297" i="2"/>
  <c r="BM297" i="2"/>
  <c r="BN297" i="2"/>
  <c r="BO297" i="2"/>
  <c r="BQ297" i="2"/>
  <c r="M298" i="2"/>
  <c r="S298" i="2"/>
  <c r="AE298" i="2"/>
  <c r="AL298" i="2"/>
  <c r="AN298" i="2"/>
  <c r="AO298" i="2"/>
  <c r="AP298" i="2"/>
  <c r="AW298" i="2"/>
  <c r="AZ298" i="2"/>
  <c r="BE298" i="2"/>
  <c r="BF298" i="2"/>
  <c r="BG298" i="2"/>
  <c r="BH298" i="2"/>
  <c r="BL298" i="2"/>
  <c r="BM298" i="2"/>
  <c r="BN298" i="2"/>
  <c r="BO298" i="2"/>
  <c r="BQ298" i="2"/>
  <c r="M299" i="2"/>
  <c r="S299" i="2"/>
  <c r="AE299" i="2"/>
  <c r="AL299" i="2"/>
  <c r="AN299" i="2"/>
  <c r="AO299" i="2"/>
  <c r="AP299" i="2"/>
  <c r="AW299" i="2"/>
  <c r="AZ299" i="2"/>
  <c r="BE299" i="2"/>
  <c r="BF299" i="2" s="1"/>
  <c r="BG299" i="2"/>
  <c r="BH299" i="2"/>
  <c r="BL299" i="2"/>
  <c r="BM299" i="2"/>
  <c r="BN299" i="2"/>
  <c r="BO299" i="2"/>
  <c r="BQ299" i="2"/>
  <c r="M300" i="2"/>
  <c r="S300" i="2"/>
  <c r="AE300" i="2"/>
  <c r="AL300" i="2"/>
  <c r="AN300" i="2"/>
  <c r="AO300" i="2"/>
  <c r="AP300" i="2"/>
  <c r="AW300" i="2"/>
  <c r="AZ300" i="2"/>
  <c r="BE300" i="2"/>
  <c r="BF300" i="2" s="1"/>
  <c r="BG300" i="2"/>
  <c r="BH300" i="2"/>
  <c r="BL300" i="2"/>
  <c r="BM300" i="2"/>
  <c r="BN300" i="2"/>
  <c r="BO300" i="2"/>
  <c r="BQ300" i="2"/>
  <c r="M301" i="2"/>
  <c r="S301" i="2"/>
  <c r="AE301" i="2"/>
  <c r="AL301" i="2"/>
  <c r="AN301" i="2"/>
  <c r="AM301" i="2" s="1"/>
  <c r="AO301" i="2"/>
  <c r="AP301" i="2"/>
  <c r="AW301" i="2"/>
  <c r="AZ301" i="2"/>
  <c r="BE301" i="2"/>
  <c r="BF301" i="2" s="1"/>
  <c r="BG301" i="2"/>
  <c r="BH301" i="2"/>
  <c r="BL301" i="2"/>
  <c r="BM301" i="2"/>
  <c r="BN301" i="2"/>
  <c r="BO301" i="2"/>
  <c r="BQ301" i="2"/>
  <c r="M302" i="2"/>
  <c r="S302" i="2"/>
  <c r="AE302" i="2"/>
  <c r="AL302" i="2"/>
  <c r="AN302" i="2"/>
  <c r="AO302" i="2"/>
  <c r="AP302" i="2"/>
  <c r="AW302" i="2"/>
  <c r="AZ302" i="2"/>
  <c r="BE302" i="2"/>
  <c r="BF302" i="2" s="1"/>
  <c r="BG302" i="2"/>
  <c r="BH302" i="2"/>
  <c r="BL302" i="2"/>
  <c r="BM302" i="2"/>
  <c r="BN302" i="2"/>
  <c r="BO302" i="2"/>
  <c r="BQ302" i="2"/>
  <c r="M303" i="2"/>
  <c r="S303" i="2"/>
  <c r="AE303" i="2"/>
  <c r="AL303" i="2"/>
  <c r="AN303" i="2"/>
  <c r="AO303" i="2"/>
  <c r="AP303" i="2"/>
  <c r="AW303" i="2"/>
  <c r="BE303" i="2"/>
  <c r="BF303" i="2"/>
  <c r="BG303" i="2"/>
  <c r="BH303" i="2"/>
  <c r="BL303" i="2"/>
  <c r="BM303" i="2"/>
  <c r="BN303" i="2"/>
  <c r="BO303" i="2"/>
  <c r="BQ303" i="2"/>
  <c r="M304" i="2"/>
  <c r="S304" i="2"/>
  <c r="AE304" i="2"/>
  <c r="AL304" i="2"/>
  <c r="AN304" i="2"/>
  <c r="AO304" i="2"/>
  <c r="AP304" i="2"/>
  <c r="AW304" i="2"/>
  <c r="AZ304" i="2"/>
  <c r="BE304" i="2"/>
  <c r="BF304" i="2" s="1"/>
  <c r="BG304" i="2"/>
  <c r="BH304" i="2"/>
  <c r="BL304" i="2"/>
  <c r="BM304" i="2"/>
  <c r="BN304" i="2"/>
  <c r="BO304" i="2"/>
  <c r="BQ304" i="2"/>
  <c r="M305" i="2"/>
  <c r="S305" i="2"/>
  <c r="AE305" i="2"/>
  <c r="AL305" i="2"/>
  <c r="AN305" i="2"/>
  <c r="AO305" i="2"/>
  <c r="AP305" i="2"/>
  <c r="AW305" i="2"/>
  <c r="BB305" i="2" s="1"/>
  <c r="AZ305" i="2"/>
  <c r="BE305" i="2"/>
  <c r="BF305" i="2"/>
  <c r="BG305" i="2"/>
  <c r="BH305" i="2"/>
  <c r="BL305" i="2"/>
  <c r="BM305" i="2"/>
  <c r="BN305" i="2"/>
  <c r="BO305" i="2"/>
  <c r="BQ305" i="2"/>
  <c r="M306" i="2"/>
  <c r="S306" i="2"/>
  <c r="AE306" i="2"/>
  <c r="AL306" i="2"/>
  <c r="AN306" i="2"/>
  <c r="AO306" i="2"/>
  <c r="AP306" i="2"/>
  <c r="AS306" i="2"/>
  <c r="AT306" i="2"/>
  <c r="AW306" i="2"/>
  <c r="AZ306" i="2"/>
  <c r="BE306" i="2"/>
  <c r="BF306" i="2"/>
  <c r="BG306" i="2"/>
  <c r="BH306" i="2"/>
  <c r="BL306" i="2"/>
  <c r="BM306" i="2"/>
  <c r="M307" i="2"/>
  <c r="S307" i="2"/>
  <c r="AE307" i="2"/>
  <c r="AL307" i="2"/>
  <c r="AN307" i="2"/>
  <c r="AO307" i="2"/>
  <c r="AP307" i="2"/>
  <c r="AW307" i="2"/>
  <c r="AZ307" i="2"/>
  <c r="BE307" i="2"/>
  <c r="BF307" i="2" s="1"/>
  <c r="BG307" i="2"/>
  <c r="BH307" i="2"/>
  <c r="BL307" i="2"/>
  <c r="BM307" i="2"/>
  <c r="BN307" i="2"/>
  <c r="BO307" i="2"/>
  <c r="BQ307" i="2"/>
  <c r="S308" i="2"/>
  <c r="AE308" i="2"/>
  <c r="AL308" i="2"/>
  <c r="AN308" i="2"/>
  <c r="AO308" i="2"/>
  <c r="AP308" i="2"/>
  <c r="AW308" i="2"/>
  <c r="AZ308" i="2"/>
  <c r="BE308" i="2"/>
  <c r="BF308" i="2" s="1"/>
  <c r="BG308" i="2"/>
  <c r="BH308" i="2"/>
  <c r="BL308" i="2"/>
  <c r="BM308" i="2"/>
  <c r="BN308" i="2"/>
  <c r="BO308" i="2"/>
  <c r="BQ308" i="2"/>
  <c r="S309" i="2"/>
  <c r="AE309" i="2"/>
  <c r="AL309" i="2"/>
  <c r="AN309" i="2"/>
  <c r="AO309" i="2"/>
  <c r="AP309" i="2"/>
  <c r="AW309" i="2"/>
  <c r="AZ309" i="2"/>
  <c r="BE309" i="2"/>
  <c r="BF309" i="2" s="1"/>
  <c r="BG309" i="2"/>
  <c r="BH309" i="2"/>
  <c r="BL309" i="2"/>
  <c r="BM309" i="2"/>
  <c r="BN309" i="2"/>
  <c r="BO309" i="2"/>
  <c r="BQ309" i="2"/>
  <c r="S310" i="2"/>
  <c r="AE310" i="2"/>
  <c r="AL310" i="2"/>
  <c r="AN310" i="2"/>
  <c r="AO310" i="2"/>
  <c r="AP310" i="2"/>
  <c r="AW310" i="2"/>
  <c r="AZ310" i="2"/>
  <c r="BE310" i="2"/>
  <c r="BF310" i="2" s="1"/>
  <c r="BG310" i="2"/>
  <c r="BH310" i="2"/>
  <c r="BL310" i="2"/>
  <c r="BM310" i="2"/>
  <c r="BN310" i="2"/>
  <c r="BO310" i="2"/>
  <c r="BQ310" i="2"/>
  <c r="S311" i="2"/>
  <c r="AE311" i="2"/>
  <c r="AL311" i="2"/>
  <c r="AN311" i="2"/>
  <c r="AO311" i="2"/>
  <c r="AP311" i="2"/>
  <c r="AW311" i="2"/>
  <c r="AZ311" i="2"/>
  <c r="BE311" i="2"/>
  <c r="BF311" i="2"/>
  <c r="BG311" i="2"/>
  <c r="BH311" i="2"/>
  <c r="BL311" i="2"/>
  <c r="BM311" i="2"/>
  <c r="BN311" i="2"/>
  <c r="BO311" i="2"/>
  <c r="BQ311" i="2"/>
  <c r="S312" i="2"/>
  <c r="AE312" i="2"/>
  <c r="AL312" i="2"/>
  <c r="AN312" i="2"/>
  <c r="AO312" i="2"/>
  <c r="AP312" i="2"/>
  <c r="AW312" i="2"/>
  <c r="AZ312" i="2"/>
  <c r="BE312" i="2"/>
  <c r="BF312" i="2" s="1"/>
  <c r="BG312" i="2"/>
  <c r="BH312" i="2"/>
  <c r="BL312" i="2"/>
  <c r="BM312" i="2"/>
  <c r="BN312" i="2"/>
  <c r="BO312" i="2"/>
  <c r="BQ312" i="2"/>
  <c r="S313" i="2"/>
  <c r="AE313" i="2"/>
  <c r="AL313" i="2"/>
  <c r="AN313" i="2"/>
  <c r="AO313" i="2"/>
  <c r="AP313" i="2"/>
  <c r="AW313" i="2"/>
  <c r="AZ313" i="2"/>
  <c r="BE313" i="2"/>
  <c r="BF313" i="2" s="1"/>
  <c r="BG313" i="2"/>
  <c r="BH313" i="2"/>
  <c r="BL313" i="2"/>
  <c r="BM313" i="2"/>
  <c r="BN313" i="2"/>
  <c r="BO313" i="2"/>
  <c r="BQ313" i="2"/>
  <c r="S314" i="2"/>
  <c r="AE314" i="2"/>
  <c r="AL314" i="2"/>
  <c r="AN314" i="2"/>
  <c r="AO314" i="2"/>
  <c r="AP314" i="2"/>
  <c r="AW314" i="2"/>
  <c r="BA314" i="2" s="1"/>
  <c r="AZ314" i="2"/>
  <c r="BE314" i="2"/>
  <c r="BF314" i="2"/>
  <c r="BG314" i="2"/>
  <c r="BH314" i="2"/>
  <c r="BL314" i="2"/>
  <c r="BM314" i="2"/>
  <c r="BN314" i="2"/>
  <c r="BO314" i="2"/>
  <c r="BQ314" i="2"/>
  <c r="S315" i="2"/>
  <c r="AE315" i="2"/>
  <c r="AL315" i="2"/>
  <c r="AN315" i="2"/>
  <c r="AO315" i="2"/>
  <c r="AP315" i="2"/>
  <c r="AW315" i="2"/>
  <c r="AZ315" i="2"/>
  <c r="BE315" i="2"/>
  <c r="BF315" i="2"/>
  <c r="BG315" i="2"/>
  <c r="BH315" i="2"/>
  <c r="BL315" i="2"/>
  <c r="BM315" i="2"/>
  <c r="BN315" i="2"/>
  <c r="BO315" i="2"/>
  <c r="S316" i="2"/>
  <c r="AE316" i="2"/>
  <c r="AL316" i="2"/>
  <c r="AN316" i="2"/>
  <c r="AO316" i="2"/>
  <c r="AP316" i="2"/>
  <c r="AW316" i="2"/>
  <c r="AZ316" i="2"/>
  <c r="BE316" i="2"/>
  <c r="BF316" i="2"/>
  <c r="BG316" i="2"/>
  <c r="BH316" i="2"/>
  <c r="BL316" i="2"/>
  <c r="BM316" i="2"/>
  <c r="BN316" i="2"/>
  <c r="BO316" i="2"/>
  <c r="BQ316" i="2"/>
  <c r="S317" i="2"/>
  <c r="AE317" i="2"/>
  <c r="AL317" i="2"/>
  <c r="BA317" i="2" s="1"/>
  <c r="AN317" i="2"/>
  <c r="AM317" i="2" s="1"/>
  <c r="AO317" i="2"/>
  <c r="AP317" i="2"/>
  <c r="AW317" i="2"/>
  <c r="AZ317" i="2"/>
  <c r="BE317" i="2"/>
  <c r="BF317" i="2" s="1"/>
  <c r="BG317" i="2"/>
  <c r="BH317" i="2"/>
  <c r="BL317" i="2"/>
  <c r="BM317" i="2"/>
  <c r="BN317" i="2"/>
  <c r="BO317" i="2"/>
  <c r="S318" i="2"/>
  <c r="AE318" i="2"/>
  <c r="AL318" i="2"/>
  <c r="AN318" i="2"/>
  <c r="AO318" i="2"/>
  <c r="AP318" i="2"/>
  <c r="AW318" i="2"/>
  <c r="AZ318" i="2"/>
  <c r="BE318" i="2"/>
  <c r="BF318" i="2" s="1"/>
  <c r="BG318" i="2"/>
  <c r="BH318" i="2"/>
  <c r="BL318" i="2"/>
  <c r="BM318" i="2"/>
  <c r="BN318" i="2"/>
  <c r="BO318" i="2"/>
  <c r="BQ318" i="2"/>
  <c r="S319" i="2"/>
  <c r="AE319" i="2"/>
  <c r="AL319" i="2"/>
  <c r="AN319" i="2"/>
  <c r="AM319" i="2" s="1"/>
  <c r="AO319" i="2"/>
  <c r="AP319" i="2"/>
  <c r="AW319" i="2"/>
  <c r="AZ319" i="2"/>
  <c r="BE319" i="2"/>
  <c r="BF319" i="2" s="1"/>
  <c r="BG319" i="2"/>
  <c r="BH319" i="2"/>
  <c r="BL319" i="2"/>
  <c r="BM319" i="2"/>
  <c r="BN319" i="2"/>
  <c r="BO319" i="2"/>
  <c r="BQ319" i="2"/>
  <c r="S320" i="2"/>
  <c r="AE320" i="2"/>
  <c r="AL320" i="2"/>
  <c r="AN320" i="2"/>
  <c r="AO320" i="2"/>
  <c r="AP320" i="2"/>
  <c r="AW320" i="2"/>
  <c r="AZ320" i="2"/>
  <c r="BE320" i="2"/>
  <c r="BF320" i="2" s="1"/>
  <c r="BG320" i="2"/>
  <c r="BH320" i="2"/>
  <c r="BL320" i="2"/>
  <c r="BM320" i="2"/>
  <c r="BN320" i="2"/>
  <c r="BO320" i="2"/>
  <c r="BQ320" i="2"/>
  <c r="S321" i="2"/>
  <c r="AE321" i="2"/>
  <c r="AL321" i="2"/>
  <c r="AM321" i="2"/>
  <c r="AN321" i="2"/>
  <c r="AO321" i="2"/>
  <c r="AP321" i="2"/>
  <c r="AW321" i="2"/>
  <c r="AZ321" i="2"/>
  <c r="BE321" i="2"/>
  <c r="BF321" i="2" s="1"/>
  <c r="BG321" i="2"/>
  <c r="BH321" i="2"/>
  <c r="BL321" i="2"/>
  <c r="BM321" i="2"/>
  <c r="BN321" i="2"/>
  <c r="BO321" i="2"/>
  <c r="BQ321" i="2"/>
  <c r="S322" i="2"/>
  <c r="AE322" i="2"/>
  <c r="AL322" i="2"/>
  <c r="AN322" i="2"/>
  <c r="AO322" i="2"/>
  <c r="AP322" i="2"/>
  <c r="AW322" i="2"/>
  <c r="AZ322" i="2"/>
  <c r="BE322" i="2"/>
  <c r="BF322" i="2"/>
  <c r="BG322" i="2"/>
  <c r="BH322" i="2"/>
  <c r="BL322" i="2"/>
  <c r="BM322" i="2"/>
  <c r="BN322" i="2"/>
  <c r="BO322" i="2"/>
  <c r="BQ322" i="2"/>
  <c r="M323" i="2"/>
  <c r="S323" i="2"/>
  <c r="AE323" i="2"/>
  <c r="AL323" i="2"/>
  <c r="AN323" i="2"/>
  <c r="AO323" i="2"/>
  <c r="AP323" i="2"/>
  <c r="AW323" i="2"/>
  <c r="AZ323" i="2"/>
  <c r="BE323" i="2"/>
  <c r="BF323" i="2" s="1"/>
  <c r="BG323" i="2"/>
  <c r="BH323" i="2"/>
  <c r="BL323" i="2"/>
  <c r="BM323" i="2"/>
  <c r="BN323" i="2"/>
  <c r="BO323" i="2"/>
  <c r="BQ323" i="2"/>
  <c r="M324" i="2"/>
  <c r="S324" i="2"/>
  <c r="AE324" i="2"/>
  <c r="AL324" i="2"/>
  <c r="AN324" i="2"/>
  <c r="AO324" i="2"/>
  <c r="AP324" i="2"/>
  <c r="AW324" i="2"/>
  <c r="AZ324" i="2"/>
  <c r="BE324" i="2"/>
  <c r="BF324" i="2"/>
  <c r="BG324" i="2"/>
  <c r="BH324" i="2"/>
  <c r="BL324" i="2"/>
  <c r="BM324" i="2"/>
  <c r="BN324" i="2"/>
  <c r="BO324" i="2"/>
  <c r="BQ324" i="2"/>
  <c r="M325" i="2"/>
  <c r="S325" i="2"/>
  <c r="AE325" i="2"/>
  <c r="AL325" i="2"/>
  <c r="AN325" i="2"/>
  <c r="AO325" i="2"/>
  <c r="AP325" i="2"/>
  <c r="AW325" i="2"/>
  <c r="AZ325" i="2"/>
  <c r="BA325" i="2"/>
  <c r="BE325" i="2"/>
  <c r="BF325" i="2" s="1"/>
  <c r="BG325" i="2"/>
  <c r="BH325" i="2"/>
  <c r="BL325" i="2"/>
  <c r="BM325" i="2"/>
  <c r="BN325" i="2"/>
  <c r="BO325" i="2"/>
  <c r="BQ325" i="2"/>
  <c r="M326" i="2"/>
  <c r="S326" i="2"/>
  <c r="AE326" i="2"/>
  <c r="AL326" i="2"/>
  <c r="AN326" i="2"/>
  <c r="AO326" i="2"/>
  <c r="AP326" i="2"/>
  <c r="AW326" i="2"/>
  <c r="AZ326" i="2"/>
  <c r="BE326" i="2"/>
  <c r="BF326" i="2" s="1"/>
  <c r="BG326" i="2"/>
  <c r="BH326" i="2"/>
  <c r="BL326" i="2"/>
  <c r="BM326" i="2"/>
  <c r="BN326" i="2"/>
  <c r="BO326" i="2"/>
  <c r="BQ326" i="2"/>
  <c r="M327" i="2"/>
  <c r="S327" i="2"/>
  <c r="AE327" i="2"/>
  <c r="AL327" i="2"/>
  <c r="AN327" i="2"/>
  <c r="AO327" i="2"/>
  <c r="AP327" i="2"/>
  <c r="AW327" i="2"/>
  <c r="AZ327" i="2"/>
  <c r="BE327" i="2"/>
  <c r="BF327" i="2" s="1"/>
  <c r="BG327" i="2"/>
  <c r="BH327" i="2"/>
  <c r="BL327" i="2"/>
  <c r="BM327" i="2"/>
  <c r="BN327" i="2"/>
  <c r="BO327" i="2"/>
  <c r="BQ327" i="2"/>
  <c r="M328" i="2"/>
  <c r="S328" i="2"/>
  <c r="AE328" i="2"/>
  <c r="AL328" i="2"/>
  <c r="BB328" i="2" s="1"/>
  <c r="AN328" i="2"/>
  <c r="AO328" i="2"/>
  <c r="AP328" i="2"/>
  <c r="AW328" i="2"/>
  <c r="BA328" i="2" s="1"/>
  <c r="AZ328" i="2"/>
  <c r="BE328" i="2"/>
  <c r="BF328" i="2" s="1"/>
  <c r="BG328" i="2"/>
  <c r="BH328" i="2"/>
  <c r="BL328" i="2"/>
  <c r="BM328" i="2"/>
  <c r="BN328" i="2"/>
  <c r="BO328" i="2"/>
  <c r="BQ328" i="2"/>
  <c r="M329" i="2"/>
  <c r="S329" i="2"/>
  <c r="AE329" i="2"/>
  <c r="AL329" i="2"/>
  <c r="AN329" i="2"/>
  <c r="AO329" i="2"/>
  <c r="AP329" i="2"/>
  <c r="AW329" i="2"/>
  <c r="AZ329" i="2"/>
  <c r="BE329" i="2"/>
  <c r="BF329" i="2"/>
  <c r="BG329" i="2"/>
  <c r="BH329" i="2"/>
  <c r="BL329" i="2"/>
  <c r="BM329" i="2"/>
  <c r="BN329" i="2"/>
  <c r="BO329" i="2"/>
  <c r="BQ329" i="2"/>
  <c r="M330" i="2"/>
  <c r="S330" i="2"/>
  <c r="AE330" i="2"/>
  <c r="AL330" i="2"/>
  <c r="AN330" i="2"/>
  <c r="AM330" i="2" s="1"/>
  <c r="BP330" i="2" s="1"/>
  <c r="AO330" i="2"/>
  <c r="AP330" i="2"/>
  <c r="AW330" i="2"/>
  <c r="AZ330" i="2"/>
  <c r="BE330" i="2"/>
  <c r="BF330" i="2" s="1"/>
  <c r="BG330" i="2"/>
  <c r="BH330" i="2"/>
  <c r="BL330" i="2"/>
  <c r="BM330" i="2"/>
  <c r="BN330" i="2"/>
  <c r="BO330" i="2"/>
  <c r="BQ330" i="2"/>
  <c r="M331" i="2"/>
  <c r="S331" i="2"/>
  <c r="AE331" i="2"/>
  <c r="AL331" i="2"/>
  <c r="AN331" i="2"/>
  <c r="AO331" i="2"/>
  <c r="AP331" i="2"/>
  <c r="AW331" i="2"/>
  <c r="AZ331" i="2"/>
  <c r="BE331" i="2"/>
  <c r="BF331" i="2" s="1"/>
  <c r="BG331" i="2"/>
  <c r="BH331" i="2"/>
  <c r="BL331" i="2"/>
  <c r="BM331" i="2"/>
  <c r="BN331" i="2"/>
  <c r="BO331" i="2"/>
  <c r="BQ331" i="2"/>
  <c r="L332" i="2"/>
  <c r="M332" i="2"/>
  <c r="S332" i="2"/>
  <c r="AE332" i="2"/>
  <c r="AL332" i="2"/>
  <c r="AN332" i="2"/>
  <c r="AO332" i="2"/>
  <c r="AP332" i="2"/>
  <c r="AW332" i="2"/>
  <c r="AZ332" i="2"/>
  <c r="BE332" i="2"/>
  <c r="BF332" i="2" s="1"/>
  <c r="BG332" i="2"/>
  <c r="BH332" i="2"/>
  <c r="BL332" i="2"/>
  <c r="BM332" i="2"/>
  <c r="BN332" i="2"/>
  <c r="BO332" i="2"/>
  <c r="BQ332" i="2"/>
  <c r="M333" i="2"/>
  <c r="S333" i="2"/>
  <c r="AE333" i="2"/>
  <c r="AL333" i="2"/>
  <c r="AN333" i="2"/>
  <c r="AO333" i="2"/>
  <c r="AM333" i="2" s="1"/>
  <c r="AP333" i="2"/>
  <c r="AW333" i="2"/>
  <c r="AZ333" i="2"/>
  <c r="BE333" i="2"/>
  <c r="BF333" i="2" s="1"/>
  <c r="BG333" i="2"/>
  <c r="BH333" i="2"/>
  <c r="BL333" i="2"/>
  <c r="BM333" i="2"/>
  <c r="BN333" i="2"/>
  <c r="BO333" i="2"/>
  <c r="M334" i="2"/>
  <c r="S334" i="2"/>
  <c r="AE334" i="2"/>
  <c r="AL334" i="2"/>
  <c r="AN334" i="2"/>
  <c r="AO334" i="2"/>
  <c r="AP334" i="2"/>
  <c r="AW334" i="2"/>
  <c r="AZ334" i="2"/>
  <c r="BE334" i="2"/>
  <c r="BF334" i="2" s="1"/>
  <c r="BG334" i="2"/>
  <c r="BH334" i="2"/>
  <c r="BL334" i="2"/>
  <c r="BM334" i="2"/>
  <c r="BN334" i="2"/>
  <c r="BO334" i="2"/>
  <c r="BQ334" i="2"/>
  <c r="M335" i="2"/>
  <c r="S335" i="2"/>
  <c r="AE335" i="2"/>
  <c r="AL335" i="2"/>
  <c r="AN335" i="2"/>
  <c r="AO335" i="2"/>
  <c r="AM335" i="2" s="1"/>
  <c r="AP335" i="2"/>
  <c r="AW335" i="2"/>
  <c r="AZ335" i="2"/>
  <c r="BE335" i="2"/>
  <c r="BF335" i="2" s="1"/>
  <c r="BG335" i="2"/>
  <c r="BH335" i="2"/>
  <c r="BL335" i="2"/>
  <c r="BM335" i="2"/>
  <c r="BN335" i="2"/>
  <c r="BO335" i="2"/>
  <c r="BQ335" i="2"/>
  <c r="M336" i="2"/>
  <c r="S336" i="2"/>
  <c r="AE336" i="2"/>
  <c r="AL336" i="2"/>
  <c r="AN336" i="2"/>
  <c r="AO336" i="2"/>
  <c r="AP336" i="2"/>
  <c r="AW336" i="2"/>
  <c r="AZ336" i="2"/>
  <c r="BE336" i="2"/>
  <c r="BF336" i="2" s="1"/>
  <c r="BG336" i="2"/>
  <c r="BH336" i="2"/>
  <c r="BL336" i="2"/>
  <c r="BM336" i="2"/>
  <c r="BN336" i="2"/>
  <c r="BO336" i="2"/>
  <c r="BQ336" i="2"/>
  <c r="M337" i="2"/>
  <c r="S337" i="2"/>
  <c r="AE337" i="2"/>
  <c r="AL337" i="2"/>
  <c r="AN337" i="2"/>
  <c r="AO337" i="2"/>
  <c r="AP337" i="2"/>
  <c r="AW337" i="2"/>
  <c r="AZ337" i="2"/>
  <c r="BE337" i="2"/>
  <c r="BF337" i="2" s="1"/>
  <c r="BG337" i="2"/>
  <c r="BH337" i="2"/>
  <c r="BL337" i="2"/>
  <c r="BM337" i="2"/>
  <c r="BN337" i="2"/>
  <c r="BO337" i="2"/>
  <c r="BQ337" i="2"/>
  <c r="S338" i="2"/>
  <c r="AE338" i="2"/>
  <c r="AL338" i="2"/>
  <c r="AN338" i="2"/>
  <c r="AO338" i="2"/>
  <c r="AP338" i="2"/>
  <c r="AW338" i="2"/>
  <c r="AZ338" i="2"/>
  <c r="BE338" i="2"/>
  <c r="BF338" i="2" s="1"/>
  <c r="BG338" i="2"/>
  <c r="BH338" i="2"/>
  <c r="BL338" i="2"/>
  <c r="BM338" i="2"/>
  <c r="BN338" i="2"/>
  <c r="BO338" i="2"/>
  <c r="BQ338" i="2"/>
  <c r="S339" i="2"/>
  <c r="AE339" i="2"/>
  <c r="AL339" i="2"/>
  <c r="AN339" i="2"/>
  <c r="AO339" i="2"/>
  <c r="AM339" i="2" s="1"/>
  <c r="AP339" i="2"/>
  <c r="AW339" i="2"/>
  <c r="AZ339" i="2"/>
  <c r="BE339" i="2"/>
  <c r="BF339" i="2" s="1"/>
  <c r="BG339" i="2"/>
  <c r="BH339" i="2"/>
  <c r="BL339" i="2"/>
  <c r="BM339" i="2"/>
  <c r="BN339" i="2"/>
  <c r="BO339" i="2"/>
  <c r="BQ339" i="2"/>
  <c r="S340" i="2"/>
  <c r="AE340" i="2"/>
  <c r="AL340" i="2"/>
  <c r="AN340" i="2"/>
  <c r="AO340" i="2"/>
  <c r="AP340" i="2"/>
  <c r="AW340" i="2"/>
  <c r="AZ340" i="2"/>
  <c r="BE340" i="2"/>
  <c r="BF340" i="2" s="1"/>
  <c r="BG340" i="2"/>
  <c r="BH340" i="2"/>
  <c r="BL340" i="2"/>
  <c r="BM340" i="2"/>
  <c r="BN340" i="2"/>
  <c r="BO340" i="2"/>
  <c r="S341" i="2"/>
  <c r="AE341" i="2"/>
  <c r="AL341" i="2"/>
  <c r="AN341" i="2"/>
  <c r="AO341" i="2"/>
  <c r="AM341" i="2" s="1"/>
  <c r="AP341" i="2"/>
  <c r="AW341" i="2"/>
  <c r="AZ341" i="2"/>
  <c r="BE341" i="2"/>
  <c r="BF341" i="2" s="1"/>
  <c r="BG341" i="2"/>
  <c r="BH341" i="2"/>
  <c r="BL341" i="2"/>
  <c r="BM341" i="2"/>
  <c r="BN341" i="2"/>
  <c r="BO341" i="2"/>
  <c r="S342" i="2"/>
  <c r="AE342" i="2"/>
  <c r="AL342" i="2"/>
  <c r="AN342" i="2"/>
  <c r="AO342" i="2"/>
  <c r="AP342" i="2"/>
  <c r="AW342" i="2"/>
  <c r="AZ342" i="2"/>
  <c r="BE342" i="2"/>
  <c r="BF342" i="2" s="1"/>
  <c r="BG342" i="2"/>
  <c r="BH342" i="2"/>
  <c r="BL342" i="2"/>
  <c r="BM342" i="2"/>
  <c r="BN342" i="2"/>
  <c r="BO342" i="2"/>
  <c r="S343" i="2"/>
  <c r="AE343" i="2"/>
  <c r="AL343" i="2"/>
  <c r="AN343" i="2"/>
  <c r="AO343" i="2"/>
  <c r="AP343" i="2"/>
  <c r="AW343" i="2"/>
  <c r="AZ343" i="2"/>
  <c r="BE343" i="2"/>
  <c r="BF343" i="2" s="1"/>
  <c r="BG343" i="2"/>
  <c r="BH343" i="2"/>
  <c r="BL343" i="2"/>
  <c r="BM343" i="2"/>
  <c r="BN343" i="2"/>
  <c r="BO343" i="2"/>
  <c r="BQ343" i="2"/>
  <c r="AL344" i="2"/>
  <c r="AN344" i="2"/>
  <c r="AM344" i="2" s="1"/>
  <c r="AO344" i="2"/>
  <c r="AP344" i="2"/>
  <c r="AW344" i="2"/>
  <c r="AZ344" i="2"/>
  <c r="BE344" i="2"/>
  <c r="BF344" i="2" s="1"/>
  <c r="BG344" i="2"/>
  <c r="BH344" i="2"/>
  <c r="BL344" i="2"/>
  <c r="BM344" i="2"/>
  <c r="BN344" i="2"/>
  <c r="BO344" i="2"/>
  <c r="S345" i="2"/>
  <c r="AE345" i="2"/>
  <c r="AL345" i="2"/>
  <c r="AN345" i="2"/>
  <c r="AO345" i="2"/>
  <c r="AP345" i="2"/>
  <c r="AW345" i="2"/>
  <c r="AZ345" i="2"/>
  <c r="BE345" i="2"/>
  <c r="BF345" i="2" s="1"/>
  <c r="BG345" i="2"/>
  <c r="BH345" i="2"/>
  <c r="BL345" i="2"/>
  <c r="BM345" i="2"/>
  <c r="BN345" i="2"/>
  <c r="BO345" i="2"/>
  <c r="BQ345" i="2"/>
  <c r="S346" i="2"/>
  <c r="AE346" i="2"/>
  <c r="AL346" i="2"/>
  <c r="AN346" i="2"/>
  <c r="AO346" i="2"/>
  <c r="AP346" i="2"/>
  <c r="AW346" i="2"/>
  <c r="AZ346" i="2"/>
  <c r="BE346" i="2"/>
  <c r="BF346" i="2" s="1"/>
  <c r="BG346" i="2"/>
  <c r="BH346" i="2"/>
  <c r="BL346" i="2"/>
  <c r="BM346" i="2"/>
  <c r="BN346" i="2"/>
  <c r="BO346" i="2"/>
  <c r="S347" i="2"/>
  <c r="AE347" i="2"/>
  <c r="AL347" i="2"/>
  <c r="AN347" i="2"/>
  <c r="AO347" i="2"/>
  <c r="AP347" i="2"/>
  <c r="AW347" i="2"/>
  <c r="AZ347" i="2"/>
  <c r="BE347" i="2"/>
  <c r="BF347" i="2"/>
  <c r="BG347" i="2"/>
  <c r="BH347" i="2"/>
  <c r="BL347" i="2"/>
  <c r="BM347" i="2"/>
  <c r="BN347" i="2"/>
  <c r="BO347" i="2"/>
  <c r="S348" i="2"/>
  <c r="AE348" i="2"/>
  <c r="AL348" i="2"/>
  <c r="AN348" i="2"/>
  <c r="AO348" i="2"/>
  <c r="AP348" i="2"/>
  <c r="AW348" i="2"/>
  <c r="AZ348" i="2"/>
  <c r="BE348" i="2"/>
  <c r="BF348" i="2" s="1"/>
  <c r="BG348" i="2"/>
  <c r="BH348" i="2"/>
  <c r="BL348" i="2"/>
  <c r="BM348" i="2"/>
  <c r="BN348" i="2"/>
  <c r="BO348" i="2"/>
  <c r="BQ348" i="2"/>
  <c r="S349" i="2"/>
  <c r="AE349" i="2"/>
  <c r="AL349" i="2"/>
  <c r="AN349" i="2"/>
  <c r="AO349" i="2"/>
  <c r="AM349" i="2" s="1"/>
  <c r="AP349" i="2"/>
  <c r="AW349" i="2"/>
  <c r="AZ349" i="2"/>
  <c r="BE349" i="2"/>
  <c r="BF349" i="2"/>
  <c r="BG349" i="2"/>
  <c r="BH349" i="2"/>
  <c r="BL349" i="2"/>
  <c r="BM349" i="2"/>
  <c r="BN349" i="2"/>
  <c r="BP349" i="2" s="1"/>
  <c r="BO349" i="2"/>
  <c r="BQ349" i="2"/>
  <c r="S350" i="2"/>
  <c r="AE350" i="2"/>
  <c r="AL350" i="2"/>
  <c r="AN350" i="2"/>
  <c r="AO350" i="2"/>
  <c r="AP350" i="2"/>
  <c r="AW350" i="2"/>
  <c r="BB350" i="2" s="1"/>
  <c r="AZ350" i="2"/>
  <c r="BE350" i="2"/>
  <c r="BF350" i="2" s="1"/>
  <c r="BG350" i="2"/>
  <c r="BH350" i="2"/>
  <c r="BL350" i="2"/>
  <c r="BM350" i="2"/>
  <c r="BN350" i="2"/>
  <c r="BO350" i="2"/>
  <c r="S351" i="2"/>
  <c r="AE351" i="2"/>
  <c r="AL351" i="2"/>
  <c r="AN351" i="2"/>
  <c r="AO351" i="2"/>
  <c r="AP351" i="2"/>
  <c r="AW351" i="2"/>
  <c r="BA351" i="2" s="1"/>
  <c r="AZ351" i="2"/>
  <c r="BE351" i="2"/>
  <c r="BF351" i="2" s="1"/>
  <c r="BG351" i="2"/>
  <c r="BH351" i="2"/>
  <c r="BL351" i="2"/>
  <c r="BM351" i="2"/>
  <c r="BN351" i="2"/>
  <c r="BO351" i="2"/>
  <c r="BQ351" i="2"/>
  <c r="S352" i="2"/>
  <c r="AE352" i="2"/>
  <c r="AL352" i="2"/>
  <c r="AN352" i="2"/>
  <c r="AO352" i="2"/>
  <c r="AP352" i="2"/>
  <c r="AW352" i="2"/>
  <c r="AZ352" i="2"/>
  <c r="BE352" i="2"/>
  <c r="BF352" i="2"/>
  <c r="BG352" i="2"/>
  <c r="BH352" i="2"/>
  <c r="BL352" i="2"/>
  <c r="BM352" i="2"/>
  <c r="BN352" i="2"/>
  <c r="BO352" i="2"/>
  <c r="BQ352" i="2"/>
  <c r="S353" i="2"/>
  <c r="AE353" i="2"/>
  <c r="AL353" i="2"/>
  <c r="AN353" i="2"/>
  <c r="AO353" i="2"/>
  <c r="AP353" i="2"/>
  <c r="AW353" i="2"/>
  <c r="BB353" i="2" s="1"/>
  <c r="AZ353" i="2"/>
  <c r="BE353" i="2"/>
  <c r="BF353" i="2" s="1"/>
  <c r="BG353" i="2"/>
  <c r="BH353" i="2"/>
  <c r="BL353" i="2"/>
  <c r="BM353" i="2"/>
  <c r="BN353" i="2"/>
  <c r="BO353" i="2"/>
  <c r="BQ353" i="2"/>
  <c r="S354" i="2"/>
  <c r="AE354" i="2"/>
  <c r="AL354" i="2"/>
  <c r="AN354" i="2"/>
  <c r="AO354" i="2"/>
  <c r="AP354" i="2"/>
  <c r="AW354" i="2"/>
  <c r="AZ354" i="2"/>
  <c r="BE354" i="2"/>
  <c r="BF354" i="2" s="1"/>
  <c r="BG354" i="2"/>
  <c r="BH354" i="2"/>
  <c r="BL354" i="2"/>
  <c r="BM354" i="2"/>
  <c r="BN354" i="2"/>
  <c r="BO354" i="2"/>
  <c r="BQ354" i="2"/>
  <c r="S355" i="2"/>
  <c r="AE355" i="2"/>
  <c r="AL355" i="2"/>
  <c r="AN355" i="2"/>
  <c r="AO355" i="2"/>
  <c r="AP355" i="2"/>
  <c r="AW355" i="2"/>
  <c r="AZ355" i="2"/>
  <c r="BA355" i="2"/>
  <c r="BE355" i="2"/>
  <c r="BF355" i="2"/>
  <c r="BG355" i="2"/>
  <c r="BH355" i="2"/>
  <c r="BL355" i="2"/>
  <c r="BM355" i="2"/>
  <c r="BN355" i="2"/>
  <c r="BO355" i="2"/>
  <c r="S356" i="2"/>
  <c r="AE356" i="2"/>
  <c r="AL356" i="2"/>
  <c r="AN356" i="2"/>
  <c r="AO356" i="2"/>
  <c r="AP356" i="2"/>
  <c r="AW356" i="2"/>
  <c r="BA356" i="2" s="1"/>
  <c r="AZ356" i="2"/>
  <c r="BE356" i="2"/>
  <c r="BF356" i="2" s="1"/>
  <c r="BG356" i="2"/>
  <c r="BH356" i="2"/>
  <c r="BL356" i="2"/>
  <c r="BM356" i="2"/>
  <c r="BN356" i="2"/>
  <c r="BO356" i="2"/>
  <c r="S357" i="2"/>
  <c r="AE357" i="2"/>
  <c r="AL357" i="2"/>
  <c r="AN357" i="2"/>
  <c r="AO357" i="2"/>
  <c r="AP357" i="2"/>
  <c r="AW357" i="2"/>
  <c r="AZ357" i="2"/>
  <c r="BE357" i="2"/>
  <c r="BF357" i="2"/>
  <c r="BG357" i="2"/>
  <c r="BH357" i="2"/>
  <c r="BL357" i="2"/>
  <c r="BM357" i="2"/>
  <c r="BN357" i="2"/>
  <c r="BO357" i="2"/>
  <c r="BQ357" i="2"/>
  <c r="S358" i="2"/>
  <c r="AE358" i="2"/>
  <c r="AL358" i="2"/>
  <c r="AN358" i="2"/>
  <c r="AO358" i="2"/>
  <c r="AP358" i="2"/>
  <c r="AW358" i="2"/>
  <c r="AZ358" i="2"/>
  <c r="BE358" i="2"/>
  <c r="BF358" i="2" s="1"/>
  <c r="BG358" i="2"/>
  <c r="BH358" i="2"/>
  <c r="BL358" i="2"/>
  <c r="BM358" i="2"/>
  <c r="BN358" i="2"/>
  <c r="BO358" i="2"/>
  <c r="BQ358" i="2"/>
  <c r="S359" i="2"/>
  <c r="AE359" i="2"/>
  <c r="AL359" i="2"/>
  <c r="AN359" i="2"/>
  <c r="AO359" i="2"/>
  <c r="AP359" i="2"/>
  <c r="AW359" i="2"/>
  <c r="AZ359" i="2"/>
  <c r="BE359" i="2"/>
  <c r="BF359" i="2" s="1"/>
  <c r="BG359" i="2"/>
  <c r="BH359" i="2"/>
  <c r="BL359" i="2"/>
  <c r="BM359" i="2"/>
  <c r="BN359" i="2"/>
  <c r="BO359" i="2"/>
  <c r="BQ359" i="2"/>
  <c r="S360" i="2"/>
  <c r="AE360" i="2"/>
  <c r="AL360" i="2"/>
  <c r="AN360" i="2"/>
  <c r="AO360" i="2"/>
  <c r="AM360" i="2" s="1"/>
  <c r="AP360" i="2"/>
  <c r="AW360" i="2"/>
  <c r="AZ360" i="2"/>
  <c r="BE360" i="2"/>
  <c r="BF360" i="2" s="1"/>
  <c r="BG360" i="2"/>
  <c r="BH360" i="2"/>
  <c r="BL360" i="2"/>
  <c r="BM360" i="2"/>
  <c r="BN360" i="2"/>
  <c r="BO360" i="2"/>
  <c r="BQ360" i="2"/>
  <c r="S361" i="2"/>
  <c r="AE361" i="2"/>
  <c r="AL361" i="2"/>
  <c r="AN361" i="2"/>
  <c r="AO361" i="2"/>
  <c r="AP361" i="2"/>
  <c r="AW361" i="2"/>
  <c r="AZ361" i="2"/>
  <c r="BE361" i="2"/>
  <c r="BF361" i="2" s="1"/>
  <c r="BG361" i="2"/>
  <c r="BH361" i="2"/>
  <c r="BL361" i="2"/>
  <c r="BM361" i="2"/>
  <c r="BN361" i="2"/>
  <c r="BO361" i="2"/>
  <c r="BQ361" i="2"/>
  <c r="S362" i="2"/>
  <c r="AE362" i="2"/>
  <c r="AL362" i="2"/>
  <c r="AN362" i="2"/>
  <c r="AO362" i="2"/>
  <c r="AP362" i="2"/>
  <c r="AW362" i="2"/>
  <c r="AZ362" i="2"/>
  <c r="BE362" i="2"/>
  <c r="BF362" i="2" s="1"/>
  <c r="BG362" i="2"/>
  <c r="BH362" i="2"/>
  <c r="BL362" i="2"/>
  <c r="BM362" i="2"/>
  <c r="BN362" i="2"/>
  <c r="BO362" i="2"/>
  <c r="BQ362" i="2"/>
  <c r="S363" i="2"/>
  <c r="AE363" i="2"/>
  <c r="AL363" i="2"/>
  <c r="AN363" i="2"/>
  <c r="AO363" i="2"/>
  <c r="AP363" i="2"/>
  <c r="AW363" i="2"/>
  <c r="AZ363" i="2"/>
  <c r="BE363" i="2"/>
  <c r="BF363" i="2" s="1"/>
  <c r="BG363" i="2"/>
  <c r="BH363" i="2"/>
  <c r="BL363" i="2"/>
  <c r="BM363" i="2"/>
  <c r="BN363" i="2"/>
  <c r="BO363" i="2"/>
  <c r="BQ363" i="2"/>
  <c r="S364" i="2"/>
  <c r="AE364" i="2"/>
  <c r="AL364" i="2"/>
  <c r="AN364" i="2"/>
  <c r="AO364" i="2"/>
  <c r="AM364" i="2" s="1"/>
  <c r="AP364" i="2"/>
  <c r="AW364" i="2"/>
  <c r="AZ364" i="2"/>
  <c r="BE364" i="2"/>
  <c r="BF364" i="2" s="1"/>
  <c r="BG364" i="2"/>
  <c r="BH364" i="2"/>
  <c r="BL364" i="2"/>
  <c r="BM364" i="2"/>
  <c r="BN364" i="2"/>
  <c r="BO364" i="2"/>
  <c r="BQ364" i="2"/>
  <c r="S365" i="2"/>
  <c r="AE365" i="2"/>
  <c r="AL365" i="2"/>
  <c r="AN365" i="2"/>
  <c r="AO365" i="2"/>
  <c r="AP365" i="2"/>
  <c r="AW365" i="2"/>
  <c r="AZ365" i="2"/>
  <c r="BE365" i="2"/>
  <c r="BF365" i="2" s="1"/>
  <c r="BG365" i="2"/>
  <c r="BH365" i="2"/>
  <c r="BL365" i="2"/>
  <c r="BM365" i="2"/>
  <c r="BN365" i="2"/>
  <c r="BO365" i="2"/>
  <c r="BQ365" i="2"/>
  <c r="S366" i="2"/>
  <c r="AE366" i="2"/>
  <c r="AL366" i="2"/>
  <c r="AN366" i="2"/>
  <c r="AO366" i="2"/>
  <c r="AP366" i="2"/>
  <c r="AW366" i="2"/>
  <c r="AZ366" i="2"/>
  <c r="BE366" i="2"/>
  <c r="BF366" i="2" s="1"/>
  <c r="BG366" i="2"/>
  <c r="BH366" i="2"/>
  <c r="BL366" i="2"/>
  <c r="BM366" i="2"/>
  <c r="BN366" i="2"/>
  <c r="BO366" i="2"/>
  <c r="BQ366" i="2"/>
  <c r="S367" i="2"/>
  <c r="AE367" i="2"/>
  <c r="AL367" i="2"/>
  <c r="AN367" i="2"/>
  <c r="AO367" i="2"/>
  <c r="AP367" i="2"/>
  <c r="AW367" i="2"/>
  <c r="AZ367" i="2"/>
  <c r="BE367" i="2"/>
  <c r="BF367" i="2" s="1"/>
  <c r="BG367" i="2"/>
  <c r="BH367" i="2"/>
  <c r="BL367" i="2"/>
  <c r="BM367" i="2"/>
  <c r="BN367" i="2"/>
  <c r="BO367" i="2"/>
  <c r="BQ367" i="2"/>
  <c r="S368" i="2"/>
  <c r="AE368" i="2"/>
  <c r="AL368" i="2"/>
  <c r="AN368" i="2"/>
  <c r="AO368" i="2"/>
  <c r="AP368" i="2"/>
  <c r="AW368" i="2"/>
  <c r="AZ368" i="2"/>
  <c r="BE368" i="2"/>
  <c r="BF368" i="2" s="1"/>
  <c r="BG368" i="2"/>
  <c r="BH368" i="2"/>
  <c r="BL368" i="2"/>
  <c r="BM368" i="2"/>
  <c r="BN368" i="2"/>
  <c r="BO368" i="2"/>
  <c r="BQ368" i="2"/>
  <c r="S369" i="2"/>
  <c r="AE369" i="2"/>
  <c r="AL369" i="2"/>
  <c r="AN369" i="2"/>
  <c r="AO369" i="2"/>
  <c r="AP369" i="2"/>
  <c r="AW369" i="2"/>
  <c r="AZ369" i="2"/>
  <c r="BE369" i="2"/>
  <c r="BF369" i="2" s="1"/>
  <c r="BG369" i="2"/>
  <c r="BH369" i="2"/>
  <c r="BL369" i="2"/>
  <c r="BM369" i="2"/>
  <c r="BN369" i="2"/>
  <c r="BO369" i="2"/>
  <c r="BQ369" i="2"/>
  <c r="S370" i="2"/>
  <c r="AE370" i="2"/>
  <c r="AL370" i="2"/>
  <c r="AN370" i="2"/>
  <c r="AO370" i="2"/>
  <c r="AP370" i="2"/>
  <c r="AW370" i="2"/>
  <c r="AZ370" i="2"/>
  <c r="BE370" i="2"/>
  <c r="BF370" i="2"/>
  <c r="BG370" i="2"/>
  <c r="BH370" i="2"/>
  <c r="BL370" i="2"/>
  <c r="BM370" i="2"/>
  <c r="BN370" i="2"/>
  <c r="BO370" i="2"/>
  <c r="BQ370" i="2"/>
  <c r="S371" i="2"/>
  <c r="AE371" i="2"/>
  <c r="AL371" i="2"/>
  <c r="AN371" i="2"/>
  <c r="AM371" i="2" s="1"/>
  <c r="BP371" i="2" s="1"/>
  <c r="AO371" i="2"/>
  <c r="AP371" i="2"/>
  <c r="AW371" i="2"/>
  <c r="AZ371" i="2"/>
  <c r="BE371" i="2"/>
  <c r="BF371" i="2" s="1"/>
  <c r="BG371" i="2"/>
  <c r="BH371" i="2"/>
  <c r="BL371" i="2"/>
  <c r="BM371" i="2"/>
  <c r="BN371" i="2"/>
  <c r="BO371" i="2"/>
  <c r="S372" i="2"/>
  <c r="AE372" i="2"/>
  <c r="AL372" i="2"/>
  <c r="AN372" i="2"/>
  <c r="AO372" i="2"/>
  <c r="AM372" i="2" s="1"/>
  <c r="AP372" i="2"/>
  <c r="AW372" i="2"/>
  <c r="AZ372" i="2"/>
  <c r="BE372" i="2"/>
  <c r="BF372" i="2" s="1"/>
  <c r="BG372" i="2"/>
  <c r="BH372" i="2"/>
  <c r="BL372" i="2"/>
  <c r="BM372" i="2"/>
  <c r="BN372" i="2"/>
  <c r="BO372" i="2"/>
  <c r="BQ372" i="2"/>
  <c r="S373" i="2"/>
  <c r="AE373" i="2"/>
  <c r="AL373" i="2"/>
  <c r="AN373" i="2"/>
  <c r="AO373" i="2"/>
  <c r="AP373" i="2"/>
  <c r="AW373" i="2"/>
  <c r="AZ373" i="2"/>
  <c r="BE373" i="2"/>
  <c r="BF373" i="2" s="1"/>
  <c r="BG373" i="2"/>
  <c r="BH373" i="2"/>
  <c r="BL373" i="2"/>
  <c r="BM373" i="2"/>
  <c r="BN373" i="2"/>
  <c r="BO373" i="2"/>
  <c r="BQ373" i="2"/>
  <c r="S374" i="2"/>
  <c r="AE374" i="2"/>
  <c r="AL374" i="2"/>
  <c r="AN374" i="2"/>
  <c r="AO374" i="2"/>
  <c r="AP374" i="2"/>
  <c r="AW374" i="2"/>
  <c r="AZ374" i="2"/>
  <c r="BE374" i="2"/>
  <c r="BF374" i="2" s="1"/>
  <c r="BG374" i="2"/>
  <c r="BH374" i="2"/>
  <c r="BL374" i="2"/>
  <c r="BM374" i="2"/>
  <c r="BN374" i="2"/>
  <c r="BO374" i="2"/>
  <c r="S375" i="2"/>
  <c r="AE375" i="2"/>
  <c r="AL375" i="2"/>
  <c r="AN375" i="2"/>
  <c r="AM375" i="2" s="1"/>
  <c r="BP375" i="2" s="1"/>
  <c r="AO375" i="2"/>
  <c r="AP375" i="2"/>
  <c r="AW375" i="2"/>
  <c r="AZ375" i="2"/>
  <c r="BE375" i="2"/>
  <c r="BF375" i="2" s="1"/>
  <c r="BG375" i="2"/>
  <c r="BH375" i="2"/>
  <c r="BL375" i="2"/>
  <c r="BM375" i="2"/>
  <c r="BN375" i="2"/>
  <c r="BO375" i="2"/>
  <c r="S376" i="2"/>
  <c r="AE376" i="2"/>
  <c r="AL376" i="2"/>
  <c r="AN376" i="2"/>
  <c r="AO376" i="2"/>
  <c r="AP376" i="2"/>
  <c r="AW376" i="2"/>
  <c r="AZ376" i="2"/>
  <c r="BE376" i="2"/>
  <c r="BF376" i="2" s="1"/>
  <c r="BG376" i="2"/>
  <c r="BH376" i="2"/>
  <c r="BL376" i="2"/>
  <c r="BM376" i="2"/>
  <c r="BN376" i="2"/>
  <c r="BO376" i="2"/>
  <c r="BQ376" i="2"/>
  <c r="S377" i="2"/>
  <c r="AE377" i="2"/>
  <c r="AL377" i="2"/>
  <c r="AN377" i="2"/>
  <c r="AO377" i="2"/>
  <c r="AP377" i="2"/>
  <c r="AW377" i="2"/>
  <c r="AZ377" i="2"/>
  <c r="BE377" i="2"/>
  <c r="BF377" i="2" s="1"/>
  <c r="BG377" i="2"/>
  <c r="BH377" i="2"/>
  <c r="BL377" i="2"/>
  <c r="BM377" i="2"/>
  <c r="BN377" i="2"/>
  <c r="BO377" i="2"/>
  <c r="S378" i="2"/>
  <c r="AE378" i="2"/>
  <c r="AL378" i="2"/>
  <c r="AN378" i="2"/>
  <c r="AO378" i="2"/>
  <c r="AP378" i="2"/>
  <c r="AW378" i="2"/>
  <c r="AZ378" i="2"/>
  <c r="BE378" i="2"/>
  <c r="BF378" i="2" s="1"/>
  <c r="BG378" i="2"/>
  <c r="BH378" i="2"/>
  <c r="BL378" i="2"/>
  <c r="BM378" i="2"/>
  <c r="BN378" i="2"/>
  <c r="BO378" i="2"/>
  <c r="BQ378" i="2"/>
  <c r="S379" i="2"/>
  <c r="AE379" i="2"/>
  <c r="AL379" i="2"/>
  <c r="AN379" i="2"/>
  <c r="AO379" i="2"/>
  <c r="AP379" i="2"/>
  <c r="AW379" i="2"/>
  <c r="AZ379" i="2"/>
  <c r="BE379" i="2"/>
  <c r="BF379" i="2" s="1"/>
  <c r="BG379" i="2"/>
  <c r="BH379" i="2"/>
  <c r="BL379" i="2"/>
  <c r="BM379" i="2"/>
  <c r="BN379" i="2"/>
  <c r="BO379" i="2"/>
  <c r="BQ379" i="2"/>
  <c r="S380" i="2"/>
  <c r="AE380" i="2"/>
  <c r="AL380" i="2"/>
  <c r="AN380" i="2"/>
  <c r="AO380" i="2"/>
  <c r="AP380" i="2"/>
  <c r="AW380" i="2"/>
  <c r="AZ380" i="2"/>
  <c r="BE380" i="2"/>
  <c r="BF380" i="2" s="1"/>
  <c r="BG380" i="2"/>
  <c r="BH380" i="2"/>
  <c r="BL380" i="2"/>
  <c r="BM380" i="2"/>
  <c r="BN380" i="2"/>
  <c r="BO380" i="2"/>
  <c r="BQ380" i="2"/>
  <c r="S381" i="2"/>
  <c r="AE381" i="2"/>
  <c r="AL381" i="2"/>
  <c r="AN381" i="2"/>
  <c r="AO381" i="2"/>
  <c r="AP381" i="2"/>
  <c r="AW381" i="2"/>
  <c r="AZ381" i="2"/>
  <c r="BE381" i="2"/>
  <c r="BF381" i="2" s="1"/>
  <c r="BG381" i="2"/>
  <c r="BH381" i="2"/>
  <c r="BL381" i="2"/>
  <c r="BM381" i="2"/>
  <c r="BN381" i="2"/>
  <c r="BO381" i="2"/>
  <c r="BQ381" i="2"/>
  <c r="S382" i="2"/>
  <c r="AE382" i="2"/>
  <c r="AL382" i="2"/>
  <c r="AN382" i="2"/>
  <c r="AO382" i="2"/>
  <c r="AP382" i="2"/>
  <c r="AW382" i="2"/>
  <c r="AZ382" i="2"/>
  <c r="BE382" i="2"/>
  <c r="BF382" i="2"/>
  <c r="BG382" i="2"/>
  <c r="BH382" i="2"/>
  <c r="BL382" i="2"/>
  <c r="BM382" i="2"/>
  <c r="BN382" i="2"/>
  <c r="BO382" i="2"/>
  <c r="S383" i="2"/>
  <c r="AE383" i="2"/>
  <c r="AL383" i="2"/>
  <c r="AN383" i="2"/>
  <c r="AO383" i="2"/>
  <c r="AP383" i="2"/>
  <c r="AW383" i="2"/>
  <c r="AZ383" i="2"/>
  <c r="BE383" i="2"/>
  <c r="BF383" i="2" s="1"/>
  <c r="BG383" i="2"/>
  <c r="BH383" i="2"/>
  <c r="BL383" i="2"/>
  <c r="BM383" i="2"/>
  <c r="BN383" i="2"/>
  <c r="BO383" i="2"/>
  <c r="BQ383" i="2"/>
  <c r="S384" i="2"/>
  <c r="AE384" i="2"/>
  <c r="AL384" i="2"/>
  <c r="BB384" i="2" s="1"/>
  <c r="AN384" i="2"/>
  <c r="AO384" i="2"/>
  <c r="AP384" i="2"/>
  <c r="AW384" i="2"/>
  <c r="AZ384" i="2"/>
  <c r="BE384" i="2"/>
  <c r="BF384" i="2" s="1"/>
  <c r="BG384" i="2"/>
  <c r="BH384" i="2"/>
  <c r="BL384" i="2"/>
  <c r="BM384" i="2"/>
  <c r="BN384" i="2"/>
  <c r="BO384" i="2"/>
  <c r="BQ384" i="2"/>
  <c r="S385" i="2"/>
  <c r="AE385" i="2"/>
  <c r="AL385" i="2"/>
  <c r="AN385" i="2"/>
  <c r="AO385" i="2"/>
  <c r="AP385" i="2"/>
  <c r="AW385" i="2"/>
  <c r="AZ385" i="2"/>
  <c r="BE385" i="2"/>
  <c r="BF385" i="2" s="1"/>
  <c r="BG385" i="2"/>
  <c r="BH385" i="2"/>
  <c r="BL385" i="2"/>
  <c r="BM385" i="2"/>
  <c r="BN385" i="2"/>
  <c r="BO385" i="2"/>
  <c r="BQ385" i="2"/>
  <c r="S386" i="2"/>
  <c r="AE386" i="2"/>
  <c r="AL386" i="2"/>
  <c r="AN386" i="2"/>
  <c r="AO386" i="2"/>
  <c r="AP386" i="2"/>
  <c r="AW386" i="2"/>
  <c r="AZ386" i="2"/>
  <c r="BE386" i="2"/>
  <c r="BF386" i="2"/>
  <c r="BG386" i="2"/>
  <c r="BH386" i="2"/>
  <c r="BL386" i="2"/>
  <c r="BM386" i="2"/>
  <c r="BN386" i="2"/>
  <c r="BO386" i="2"/>
  <c r="BQ386" i="2"/>
  <c r="S387" i="2"/>
  <c r="AE387" i="2"/>
  <c r="AL387" i="2"/>
  <c r="AN387" i="2"/>
  <c r="AM387" i="2" s="1"/>
  <c r="BP387" i="2" s="1"/>
  <c r="AO387" i="2"/>
  <c r="AP387" i="2"/>
  <c r="AW387" i="2"/>
  <c r="AZ387" i="2"/>
  <c r="BE387" i="2"/>
  <c r="BF387" i="2"/>
  <c r="BG387" i="2"/>
  <c r="BH387" i="2"/>
  <c r="BL387" i="2"/>
  <c r="BM387" i="2"/>
  <c r="BN387" i="2"/>
  <c r="BO387" i="2"/>
  <c r="BQ387" i="2"/>
  <c r="S388" i="2"/>
  <c r="AE388" i="2"/>
  <c r="AL388" i="2"/>
  <c r="AN388" i="2"/>
  <c r="AM388" i="2" s="1"/>
  <c r="AO388" i="2"/>
  <c r="AP388" i="2"/>
  <c r="AW388" i="2"/>
  <c r="AZ388" i="2"/>
  <c r="BE388" i="2"/>
  <c r="BF388" i="2" s="1"/>
  <c r="BG388" i="2"/>
  <c r="BH388" i="2"/>
  <c r="BL388" i="2"/>
  <c r="BM388" i="2"/>
  <c r="BN388" i="2"/>
  <c r="BO388" i="2"/>
  <c r="BQ388" i="2"/>
  <c r="S389" i="2"/>
  <c r="AE389" i="2"/>
  <c r="AL389" i="2"/>
  <c r="AN389" i="2"/>
  <c r="AO389" i="2"/>
  <c r="AP389" i="2"/>
  <c r="AW389" i="2"/>
  <c r="AZ389" i="2"/>
  <c r="BE389" i="2"/>
  <c r="BF389" i="2"/>
  <c r="BG389" i="2"/>
  <c r="BH389" i="2"/>
  <c r="BL389" i="2"/>
  <c r="BM389" i="2"/>
  <c r="BN389" i="2"/>
  <c r="BO389" i="2"/>
  <c r="BQ389" i="2"/>
  <c r="S390" i="2"/>
  <c r="AE390" i="2"/>
  <c r="AL390" i="2"/>
  <c r="AN390" i="2"/>
  <c r="AO390" i="2"/>
  <c r="AP390" i="2"/>
  <c r="AW390" i="2"/>
  <c r="AZ390" i="2"/>
  <c r="BE390" i="2"/>
  <c r="BF390" i="2"/>
  <c r="BG390" i="2"/>
  <c r="BH390" i="2"/>
  <c r="BL390" i="2"/>
  <c r="BM390" i="2"/>
  <c r="BN390" i="2"/>
  <c r="BO390" i="2"/>
  <c r="BQ390" i="2"/>
  <c r="S391" i="2"/>
  <c r="AE391" i="2"/>
  <c r="AL391" i="2"/>
  <c r="AN391" i="2"/>
  <c r="AO391" i="2"/>
  <c r="AM391" i="2" s="1"/>
  <c r="AP391" i="2"/>
  <c r="AW391" i="2"/>
  <c r="AZ391" i="2"/>
  <c r="BB391" i="2" s="1"/>
  <c r="BE391" i="2"/>
  <c r="BF391" i="2" s="1"/>
  <c r="BG391" i="2"/>
  <c r="BH391" i="2"/>
  <c r="BL391" i="2"/>
  <c r="BM391" i="2"/>
  <c r="BN391" i="2"/>
  <c r="BO391" i="2"/>
  <c r="BQ391" i="2"/>
  <c r="S392" i="2"/>
  <c r="AE392" i="2"/>
  <c r="AL392" i="2"/>
  <c r="AN392" i="2"/>
  <c r="AM392" i="2" s="1"/>
  <c r="AO392" i="2"/>
  <c r="AP392" i="2"/>
  <c r="AW392" i="2"/>
  <c r="AZ392" i="2"/>
  <c r="BE392" i="2"/>
  <c r="BF392" i="2" s="1"/>
  <c r="BG392" i="2"/>
  <c r="BH392" i="2"/>
  <c r="BL392" i="2"/>
  <c r="BM392" i="2"/>
  <c r="BN392" i="2"/>
  <c r="BO392" i="2"/>
  <c r="BQ392" i="2"/>
  <c r="S393" i="2"/>
  <c r="AE393" i="2"/>
  <c r="AL393" i="2"/>
  <c r="AN393" i="2"/>
  <c r="AO393" i="2"/>
  <c r="AP393" i="2"/>
  <c r="AW393" i="2"/>
  <c r="AZ393" i="2"/>
  <c r="BE393" i="2"/>
  <c r="BF393" i="2" s="1"/>
  <c r="BG393" i="2"/>
  <c r="BH393" i="2"/>
  <c r="BL393" i="2"/>
  <c r="BM393" i="2"/>
  <c r="BN393" i="2"/>
  <c r="BO393" i="2"/>
  <c r="BQ393" i="2"/>
  <c r="S394" i="2"/>
  <c r="AE394" i="2"/>
  <c r="AL394" i="2"/>
  <c r="AN394" i="2"/>
  <c r="AO394" i="2"/>
  <c r="AP394" i="2"/>
  <c r="AW394" i="2"/>
  <c r="AZ394" i="2"/>
  <c r="BE394" i="2"/>
  <c r="BF394" i="2"/>
  <c r="BG394" i="2"/>
  <c r="BH394" i="2"/>
  <c r="BL394" i="2"/>
  <c r="BM394" i="2"/>
  <c r="BN394" i="2"/>
  <c r="BO394" i="2"/>
  <c r="S395" i="2"/>
  <c r="AE395" i="2"/>
  <c r="AL395" i="2"/>
  <c r="AN395" i="2"/>
  <c r="AO395" i="2"/>
  <c r="AP395" i="2"/>
  <c r="AW395" i="2"/>
  <c r="AZ395" i="2"/>
  <c r="BE395" i="2"/>
  <c r="BF395" i="2" s="1"/>
  <c r="BG395" i="2"/>
  <c r="BH395" i="2"/>
  <c r="BL395" i="2"/>
  <c r="BM395" i="2"/>
  <c r="BN395" i="2"/>
  <c r="BO395" i="2"/>
  <c r="S396" i="2"/>
  <c r="AE396" i="2"/>
  <c r="AL396" i="2"/>
  <c r="AN396" i="2"/>
  <c r="AO396" i="2"/>
  <c r="AP396" i="2"/>
  <c r="AW396" i="2"/>
  <c r="AZ396" i="2"/>
  <c r="BE396" i="2"/>
  <c r="BF396" i="2" s="1"/>
  <c r="BG396" i="2"/>
  <c r="BH396" i="2"/>
  <c r="BL396" i="2"/>
  <c r="BM396" i="2"/>
  <c r="BN396" i="2"/>
  <c r="BO396" i="2"/>
  <c r="BQ396" i="2"/>
  <c r="S397" i="2"/>
  <c r="AE397" i="2"/>
  <c r="AL397" i="2"/>
  <c r="AN397" i="2"/>
  <c r="AO397" i="2"/>
  <c r="AP397" i="2"/>
  <c r="AW397" i="2"/>
  <c r="AZ397" i="2"/>
  <c r="BE397" i="2"/>
  <c r="BF397" i="2" s="1"/>
  <c r="BG397" i="2"/>
  <c r="BH397" i="2"/>
  <c r="BL397" i="2"/>
  <c r="BM397" i="2"/>
  <c r="BN397" i="2"/>
  <c r="BO397" i="2"/>
  <c r="BQ397" i="2"/>
  <c r="S398" i="2"/>
  <c r="AE398" i="2"/>
  <c r="AL398" i="2"/>
  <c r="AN398" i="2"/>
  <c r="AO398" i="2"/>
  <c r="AP398" i="2"/>
  <c r="AW398" i="2"/>
  <c r="AZ398" i="2"/>
  <c r="BE398" i="2"/>
  <c r="BF398" i="2" s="1"/>
  <c r="BG398" i="2"/>
  <c r="BH398" i="2"/>
  <c r="BL398" i="2"/>
  <c r="BM398" i="2"/>
  <c r="BN398" i="2"/>
  <c r="BO398" i="2"/>
  <c r="S399" i="2"/>
  <c r="AE399" i="2"/>
  <c r="AL399" i="2"/>
  <c r="AN399" i="2"/>
  <c r="AO399" i="2"/>
  <c r="AP399" i="2"/>
  <c r="AW399" i="2"/>
  <c r="AZ399" i="2"/>
  <c r="BE399" i="2"/>
  <c r="BF399" i="2" s="1"/>
  <c r="BG399" i="2"/>
  <c r="BH399" i="2"/>
  <c r="BL399" i="2"/>
  <c r="BM399" i="2"/>
  <c r="BN399" i="2"/>
  <c r="BO399" i="2"/>
  <c r="BQ399" i="2"/>
  <c r="S400" i="2"/>
  <c r="AE400" i="2"/>
  <c r="AL400" i="2"/>
  <c r="AN400" i="2"/>
  <c r="AO400" i="2"/>
  <c r="AP400" i="2"/>
  <c r="AW400" i="2"/>
  <c r="AZ400" i="2"/>
  <c r="BE400" i="2"/>
  <c r="BF400" i="2" s="1"/>
  <c r="BG400" i="2"/>
  <c r="BH400" i="2"/>
  <c r="BL400" i="2"/>
  <c r="BM400" i="2"/>
  <c r="BN400" i="2"/>
  <c r="BO400" i="2"/>
  <c r="BQ400" i="2"/>
  <c r="S401" i="2"/>
  <c r="AE401" i="2"/>
  <c r="AL401" i="2"/>
  <c r="AN401" i="2"/>
  <c r="AO401" i="2"/>
  <c r="AP401" i="2"/>
  <c r="AW401" i="2"/>
  <c r="BA401" i="2" s="1"/>
  <c r="AZ401" i="2"/>
  <c r="BE401" i="2"/>
  <c r="BF401" i="2" s="1"/>
  <c r="BG401" i="2"/>
  <c r="BH401" i="2"/>
  <c r="BL401" i="2"/>
  <c r="BM401" i="2"/>
  <c r="BN401" i="2"/>
  <c r="BO401" i="2"/>
  <c r="BQ401" i="2"/>
  <c r="S402" i="2"/>
  <c r="AE402" i="2"/>
  <c r="AL402" i="2"/>
  <c r="AN402" i="2"/>
  <c r="AO402" i="2"/>
  <c r="AP402" i="2"/>
  <c r="AW402" i="2"/>
  <c r="BB402" i="2" s="1"/>
  <c r="AZ402" i="2"/>
  <c r="BE402" i="2"/>
  <c r="BF402" i="2" s="1"/>
  <c r="BG402" i="2"/>
  <c r="BH402" i="2"/>
  <c r="BL402" i="2"/>
  <c r="BM402" i="2"/>
  <c r="BN402" i="2"/>
  <c r="BO402" i="2"/>
  <c r="BQ402" i="2"/>
  <c r="S403" i="2"/>
  <c r="AE403" i="2"/>
  <c r="AL403" i="2"/>
  <c r="AN403" i="2"/>
  <c r="AM403" i="2" s="1"/>
  <c r="BP403" i="2" s="1"/>
  <c r="AO403" i="2"/>
  <c r="AP403" i="2"/>
  <c r="AW403" i="2"/>
  <c r="AZ403" i="2"/>
  <c r="BE403" i="2"/>
  <c r="BF403" i="2" s="1"/>
  <c r="BG403" i="2"/>
  <c r="BH403" i="2"/>
  <c r="BL403" i="2"/>
  <c r="BM403" i="2"/>
  <c r="BN403" i="2"/>
  <c r="BO403" i="2"/>
  <c r="BQ403" i="2"/>
  <c r="S404" i="2"/>
  <c r="AE404" i="2"/>
  <c r="AL404" i="2"/>
  <c r="AN404" i="2"/>
  <c r="AM404" i="2" s="1"/>
  <c r="AO404" i="2"/>
  <c r="AP404" i="2"/>
  <c r="AW404" i="2"/>
  <c r="AZ404" i="2"/>
  <c r="BE404" i="2"/>
  <c r="BF404" i="2" s="1"/>
  <c r="BG404" i="2"/>
  <c r="BH404" i="2"/>
  <c r="BL404" i="2"/>
  <c r="BM404" i="2"/>
  <c r="BN404" i="2"/>
  <c r="BO404" i="2"/>
  <c r="S405" i="2"/>
  <c r="AE405" i="2"/>
  <c r="AL405" i="2"/>
  <c r="AN405" i="2"/>
  <c r="AO405" i="2"/>
  <c r="AP405" i="2"/>
  <c r="AW405" i="2"/>
  <c r="AZ405" i="2"/>
  <c r="BE405" i="2"/>
  <c r="BF405" i="2" s="1"/>
  <c r="BG405" i="2"/>
  <c r="BH405" i="2"/>
  <c r="BL405" i="2"/>
  <c r="BM405" i="2"/>
  <c r="BN405" i="2"/>
  <c r="BO405" i="2"/>
  <c r="BQ405" i="2"/>
  <c r="S406" i="2"/>
  <c r="AE406" i="2"/>
  <c r="AL406" i="2"/>
  <c r="AN406" i="2"/>
  <c r="AO406" i="2"/>
  <c r="AP406" i="2"/>
  <c r="AW406" i="2"/>
  <c r="AZ406" i="2"/>
  <c r="BE406" i="2"/>
  <c r="BF406" i="2" s="1"/>
  <c r="BG406" i="2"/>
  <c r="BH406" i="2"/>
  <c r="BL406" i="2"/>
  <c r="BM406" i="2"/>
  <c r="BN406" i="2"/>
  <c r="BO406" i="2"/>
  <c r="BQ406" i="2"/>
  <c r="S407" i="2"/>
  <c r="AE407" i="2"/>
  <c r="AL407" i="2"/>
  <c r="AN407" i="2"/>
  <c r="AO407" i="2"/>
  <c r="AP407" i="2"/>
  <c r="AW407" i="2"/>
  <c r="AZ407" i="2"/>
  <c r="BE407" i="2"/>
  <c r="BF407" i="2" s="1"/>
  <c r="BG407" i="2"/>
  <c r="BH407" i="2"/>
  <c r="BL407" i="2"/>
  <c r="BM407" i="2"/>
  <c r="BN407" i="2"/>
  <c r="BO407" i="2"/>
  <c r="BQ407" i="2"/>
  <c r="S408" i="2"/>
  <c r="AE408" i="2"/>
  <c r="AL408" i="2"/>
  <c r="AN408" i="2"/>
  <c r="AO408" i="2"/>
  <c r="AP408" i="2"/>
  <c r="AW408" i="2"/>
  <c r="AZ408" i="2"/>
  <c r="BA408" i="2"/>
  <c r="BE408" i="2"/>
  <c r="BF408" i="2" s="1"/>
  <c r="BG408" i="2"/>
  <c r="BH408" i="2"/>
  <c r="BL408" i="2"/>
  <c r="BM408" i="2"/>
  <c r="BN408" i="2"/>
  <c r="BO408" i="2"/>
  <c r="BQ408" i="2"/>
  <c r="S409" i="2"/>
  <c r="AE409" i="2"/>
  <c r="AL409" i="2"/>
  <c r="AN409" i="2"/>
  <c r="AO409" i="2"/>
  <c r="AP409" i="2"/>
  <c r="AW409" i="2"/>
  <c r="AZ409" i="2"/>
  <c r="BE409" i="2"/>
  <c r="BF409" i="2"/>
  <c r="BG409" i="2"/>
  <c r="BH409" i="2"/>
  <c r="BL409" i="2"/>
  <c r="BM409" i="2"/>
  <c r="BN409" i="2"/>
  <c r="BO409" i="2"/>
  <c r="BQ409" i="2"/>
  <c r="S410" i="2"/>
  <c r="AE410" i="2"/>
  <c r="AL410" i="2"/>
  <c r="AN410" i="2"/>
  <c r="AO410" i="2"/>
  <c r="AP410" i="2"/>
  <c r="AW410" i="2"/>
  <c r="AZ410" i="2"/>
  <c r="BE410" i="2"/>
  <c r="BF410" i="2" s="1"/>
  <c r="BG410" i="2"/>
  <c r="BH410" i="2"/>
  <c r="BL410" i="2"/>
  <c r="BM410" i="2"/>
  <c r="BN410" i="2"/>
  <c r="BO410" i="2"/>
  <c r="BQ410" i="2"/>
  <c r="S411" i="2"/>
  <c r="AE411" i="2"/>
  <c r="AL411" i="2"/>
  <c r="AN411" i="2"/>
  <c r="AO411" i="2"/>
  <c r="AP411" i="2"/>
  <c r="AW411" i="2"/>
  <c r="AZ411" i="2"/>
  <c r="BE411" i="2"/>
  <c r="BF411" i="2"/>
  <c r="BG411" i="2"/>
  <c r="BH411" i="2"/>
  <c r="BL411" i="2"/>
  <c r="BM411" i="2"/>
  <c r="BN411" i="2"/>
  <c r="BO411" i="2"/>
  <c r="BQ411" i="2"/>
  <c r="S412" i="2"/>
  <c r="AE412" i="2"/>
  <c r="AL412" i="2"/>
  <c r="AN412" i="2"/>
  <c r="AO412" i="2"/>
  <c r="AP412" i="2"/>
  <c r="AW412" i="2"/>
  <c r="AZ412" i="2"/>
  <c r="BE412" i="2"/>
  <c r="BF412" i="2" s="1"/>
  <c r="BG412" i="2"/>
  <c r="BH412" i="2"/>
  <c r="BL412" i="2"/>
  <c r="BM412" i="2"/>
  <c r="BN412" i="2"/>
  <c r="BO412" i="2"/>
  <c r="BQ412" i="2"/>
  <c r="S413" i="2"/>
  <c r="AE413" i="2"/>
  <c r="AL413" i="2"/>
  <c r="AN413" i="2"/>
  <c r="AM413" i="2" s="1"/>
  <c r="BP413" i="2" s="1"/>
  <c r="AO413" i="2"/>
  <c r="AP413" i="2"/>
  <c r="AW413" i="2"/>
  <c r="BA413" i="2" s="1"/>
  <c r="AZ413" i="2"/>
  <c r="BE413" i="2"/>
  <c r="BF413" i="2" s="1"/>
  <c r="BG413" i="2"/>
  <c r="BH413" i="2"/>
  <c r="BL413" i="2"/>
  <c r="BM413" i="2"/>
  <c r="BN413" i="2"/>
  <c r="BO413" i="2"/>
  <c r="BQ413" i="2"/>
  <c r="S414" i="2"/>
  <c r="AE414" i="2"/>
  <c r="AL414" i="2"/>
  <c r="AN414" i="2"/>
  <c r="AO414" i="2"/>
  <c r="AP414" i="2"/>
  <c r="AW414" i="2"/>
  <c r="AZ414" i="2"/>
  <c r="BE414" i="2"/>
  <c r="BF414" i="2" s="1"/>
  <c r="BG414" i="2"/>
  <c r="BH414" i="2"/>
  <c r="BL414" i="2"/>
  <c r="BM414" i="2"/>
  <c r="BN414" i="2"/>
  <c r="BO414" i="2"/>
  <c r="BQ414" i="2"/>
  <c r="S415" i="2"/>
  <c r="AE415" i="2"/>
  <c r="AL415" i="2"/>
  <c r="AN415" i="2"/>
  <c r="AO415" i="2"/>
  <c r="AP415" i="2"/>
  <c r="AW415" i="2"/>
  <c r="AZ415" i="2"/>
  <c r="BE415" i="2"/>
  <c r="BF415" i="2" s="1"/>
  <c r="BG415" i="2"/>
  <c r="BH415" i="2"/>
  <c r="BL415" i="2"/>
  <c r="BM415" i="2"/>
  <c r="BN415" i="2"/>
  <c r="BO415" i="2"/>
  <c r="BQ415" i="2"/>
  <c r="S416" i="2"/>
  <c r="AE416" i="2"/>
  <c r="AL416" i="2"/>
  <c r="AN416" i="2"/>
  <c r="AO416" i="2"/>
  <c r="AP416" i="2"/>
  <c r="AW416" i="2"/>
  <c r="AZ416" i="2"/>
  <c r="BE416" i="2"/>
  <c r="BF416" i="2" s="1"/>
  <c r="BG416" i="2"/>
  <c r="BH416" i="2"/>
  <c r="BL416" i="2"/>
  <c r="BM416" i="2"/>
  <c r="BN416" i="2"/>
  <c r="BO416" i="2"/>
  <c r="BQ416" i="2"/>
  <c r="S417" i="2"/>
  <c r="AE417" i="2"/>
  <c r="AL417" i="2"/>
  <c r="AN417" i="2"/>
  <c r="AO417" i="2"/>
  <c r="AP417" i="2"/>
  <c r="AW417" i="2"/>
  <c r="AZ417" i="2"/>
  <c r="BE417" i="2"/>
  <c r="BF417" i="2" s="1"/>
  <c r="BG417" i="2"/>
  <c r="BH417" i="2"/>
  <c r="BL417" i="2"/>
  <c r="BM417" i="2"/>
  <c r="BN417" i="2"/>
  <c r="BO417" i="2"/>
  <c r="BQ417" i="2"/>
  <c r="S418" i="2"/>
  <c r="AE418" i="2"/>
  <c r="AL418" i="2"/>
  <c r="AN418" i="2"/>
  <c r="AO418" i="2"/>
  <c r="AP418" i="2"/>
  <c r="AW418" i="2"/>
  <c r="AZ418" i="2"/>
  <c r="BE418" i="2"/>
  <c r="BF418" i="2" s="1"/>
  <c r="BG418" i="2"/>
  <c r="BH418" i="2"/>
  <c r="BL418" i="2"/>
  <c r="BM418" i="2"/>
  <c r="BN418" i="2"/>
  <c r="BO418" i="2"/>
  <c r="BQ418" i="2"/>
  <c r="S419" i="2"/>
  <c r="AE419" i="2"/>
  <c r="AL419" i="2"/>
  <c r="AN419" i="2"/>
  <c r="AM419" i="2" s="1"/>
  <c r="AQ419" i="2" s="1"/>
  <c r="AO419" i="2"/>
  <c r="AP419" i="2"/>
  <c r="AW419" i="2"/>
  <c r="AZ419" i="2"/>
  <c r="BE419" i="2"/>
  <c r="BF419" i="2" s="1"/>
  <c r="BG419" i="2"/>
  <c r="BH419" i="2"/>
  <c r="BL419" i="2"/>
  <c r="BM419" i="2"/>
  <c r="BN419" i="2"/>
  <c r="BO419" i="2"/>
  <c r="BQ419" i="2"/>
  <c r="S420" i="2"/>
  <c r="AE420" i="2"/>
  <c r="AL420" i="2"/>
  <c r="AN420" i="2"/>
  <c r="AM420" i="2" s="1"/>
  <c r="BP420" i="2" s="1"/>
  <c r="AO420" i="2"/>
  <c r="AP420" i="2"/>
  <c r="AW420" i="2"/>
  <c r="AZ420" i="2"/>
  <c r="BE420" i="2"/>
  <c r="BF420" i="2" s="1"/>
  <c r="BG420" i="2"/>
  <c r="BH420" i="2"/>
  <c r="BL420" i="2"/>
  <c r="BM420" i="2"/>
  <c r="BN420" i="2"/>
  <c r="BO420" i="2"/>
  <c r="BQ420" i="2"/>
  <c r="S421" i="2"/>
  <c r="AE421" i="2"/>
  <c r="AL421" i="2"/>
  <c r="AN421" i="2"/>
  <c r="AM421" i="2" s="1"/>
  <c r="AO421" i="2"/>
  <c r="AP421" i="2"/>
  <c r="AW421" i="2"/>
  <c r="AZ421" i="2"/>
  <c r="BE421" i="2"/>
  <c r="BF421" i="2"/>
  <c r="BG421" i="2"/>
  <c r="BH421" i="2"/>
  <c r="BL421" i="2"/>
  <c r="BM421" i="2"/>
  <c r="BN421" i="2"/>
  <c r="BO421" i="2"/>
  <c r="BQ421" i="2"/>
  <c r="S422" i="2"/>
  <c r="AE422" i="2"/>
  <c r="AL422" i="2"/>
  <c r="AN422" i="2"/>
  <c r="AO422" i="2"/>
  <c r="AP422" i="2"/>
  <c r="AW422" i="2"/>
  <c r="AZ422" i="2"/>
  <c r="BE422" i="2"/>
  <c r="BF422" i="2" s="1"/>
  <c r="BG422" i="2"/>
  <c r="BH422" i="2"/>
  <c r="BL422" i="2"/>
  <c r="BM422" i="2"/>
  <c r="BN422" i="2"/>
  <c r="BO422" i="2"/>
  <c r="BQ422" i="2"/>
  <c r="S423" i="2"/>
  <c r="AE423" i="2"/>
  <c r="AL423" i="2"/>
  <c r="AN423" i="2"/>
  <c r="AO423" i="2"/>
  <c r="AP423" i="2"/>
  <c r="AW423" i="2"/>
  <c r="AZ423" i="2"/>
  <c r="BE423" i="2"/>
  <c r="BF423" i="2" s="1"/>
  <c r="BG423" i="2"/>
  <c r="BH423" i="2"/>
  <c r="BL423" i="2"/>
  <c r="BM423" i="2"/>
  <c r="BN423" i="2"/>
  <c r="BO423" i="2"/>
  <c r="BQ423" i="2"/>
  <c r="S424" i="2"/>
  <c r="AE424" i="2"/>
  <c r="AL424" i="2"/>
  <c r="AN424" i="2"/>
  <c r="AO424" i="2"/>
  <c r="AP424" i="2"/>
  <c r="AW424" i="2"/>
  <c r="AZ424" i="2"/>
  <c r="BE424" i="2"/>
  <c r="BF424" i="2" s="1"/>
  <c r="BG424" i="2"/>
  <c r="BH424" i="2"/>
  <c r="BL424" i="2"/>
  <c r="BM424" i="2"/>
  <c r="BN424" i="2"/>
  <c r="BO424" i="2"/>
  <c r="S425" i="2"/>
  <c r="AE425" i="2"/>
  <c r="AL425" i="2"/>
  <c r="AN425" i="2"/>
  <c r="AM425" i="2" s="1"/>
  <c r="BP425" i="2" s="1"/>
  <c r="AO425" i="2"/>
  <c r="AP425" i="2"/>
  <c r="AW425" i="2"/>
  <c r="AZ425" i="2"/>
  <c r="BE425" i="2"/>
  <c r="BF425" i="2" s="1"/>
  <c r="BG425" i="2"/>
  <c r="BH425" i="2"/>
  <c r="BL425" i="2"/>
  <c r="BM425" i="2"/>
  <c r="BN425" i="2"/>
  <c r="BO425" i="2"/>
  <c r="BQ425" i="2"/>
  <c r="S426" i="2"/>
  <c r="AE426" i="2"/>
  <c r="AL426" i="2"/>
  <c r="AN426" i="2"/>
  <c r="AO426" i="2"/>
  <c r="AP426" i="2"/>
  <c r="AW426" i="2"/>
  <c r="AZ426" i="2"/>
  <c r="BE426" i="2"/>
  <c r="BF426" i="2" s="1"/>
  <c r="BG426" i="2"/>
  <c r="BH426" i="2"/>
  <c r="BL426" i="2"/>
  <c r="BM426" i="2"/>
  <c r="BN426" i="2"/>
  <c r="BO426" i="2"/>
  <c r="BQ426" i="2"/>
  <c r="S427" i="2"/>
  <c r="AE427" i="2"/>
  <c r="AL427" i="2"/>
  <c r="AN427" i="2"/>
  <c r="AO427" i="2"/>
  <c r="AP427" i="2"/>
  <c r="AW427" i="2"/>
  <c r="AZ427" i="2"/>
  <c r="BE427" i="2"/>
  <c r="BF427" i="2" s="1"/>
  <c r="BG427" i="2"/>
  <c r="BH427" i="2"/>
  <c r="BL427" i="2"/>
  <c r="BM427" i="2"/>
  <c r="BN427" i="2"/>
  <c r="BO427" i="2"/>
  <c r="BQ427" i="2"/>
  <c r="S428" i="2"/>
  <c r="AE428" i="2"/>
  <c r="AL428" i="2"/>
  <c r="AN428" i="2"/>
  <c r="AM428" i="2" s="1"/>
  <c r="AO428" i="2"/>
  <c r="AP428" i="2"/>
  <c r="AW428" i="2"/>
  <c r="AZ428" i="2"/>
  <c r="BE428" i="2"/>
  <c r="BF428" i="2"/>
  <c r="BG428" i="2"/>
  <c r="BH428" i="2"/>
  <c r="BL428" i="2"/>
  <c r="BM428" i="2"/>
  <c r="BN428" i="2"/>
  <c r="BO428" i="2"/>
  <c r="BQ428" i="2"/>
  <c r="S429" i="2"/>
  <c r="AE429" i="2"/>
  <c r="AL429" i="2"/>
  <c r="AN429" i="2"/>
  <c r="AM429" i="2" s="1"/>
  <c r="AO429" i="2"/>
  <c r="AP429" i="2"/>
  <c r="AW429" i="2"/>
  <c r="AZ429" i="2"/>
  <c r="BE429" i="2"/>
  <c r="BF429" i="2" s="1"/>
  <c r="BG429" i="2"/>
  <c r="BH429" i="2"/>
  <c r="BL429" i="2"/>
  <c r="BM429" i="2"/>
  <c r="BN429" i="2"/>
  <c r="BO429" i="2"/>
  <c r="BQ429" i="2"/>
  <c r="S430" i="2"/>
  <c r="AE430" i="2"/>
  <c r="AL430" i="2"/>
  <c r="AN430" i="2"/>
  <c r="AO430" i="2"/>
  <c r="AP430" i="2"/>
  <c r="AW430" i="2"/>
  <c r="AZ430" i="2"/>
  <c r="BE430" i="2"/>
  <c r="BF430" i="2" s="1"/>
  <c r="BG430" i="2"/>
  <c r="BH430" i="2"/>
  <c r="BL430" i="2"/>
  <c r="BM430" i="2"/>
  <c r="BN430" i="2"/>
  <c r="BO430" i="2"/>
  <c r="S431" i="2"/>
  <c r="AE431" i="2"/>
  <c r="AL431" i="2"/>
  <c r="AN431" i="2"/>
  <c r="AO431" i="2"/>
  <c r="AP431" i="2"/>
  <c r="AW431" i="2"/>
  <c r="AZ431" i="2"/>
  <c r="BE431" i="2"/>
  <c r="BF431" i="2"/>
  <c r="BG431" i="2"/>
  <c r="BH431" i="2"/>
  <c r="BL431" i="2"/>
  <c r="BM431" i="2"/>
  <c r="BN431" i="2"/>
  <c r="BO431" i="2"/>
  <c r="S432" i="2"/>
  <c r="AE432" i="2"/>
  <c r="AL432" i="2"/>
  <c r="AN432" i="2"/>
  <c r="AO432" i="2"/>
  <c r="AP432" i="2"/>
  <c r="AW432" i="2"/>
  <c r="AZ432" i="2"/>
  <c r="BE432" i="2"/>
  <c r="BF432" i="2"/>
  <c r="BG432" i="2"/>
  <c r="BH432" i="2"/>
  <c r="BL432" i="2"/>
  <c r="BM432" i="2"/>
  <c r="BN432" i="2"/>
  <c r="BO432" i="2"/>
  <c r="BQ432" i="2"/>
  <c r="S433" i="2"/>
  <c r="AE433" i="2"/>
  <c r="AL433" i="2"/>
  <c r="AN433" i="2"/>
  <c r="AO433" i="2"/>
  <c r="AP433" i="2"/>
  <c r="AW433" i="2"/>
  <c r="AZ433" i="2"/>
  <c r="BE433" i="2"/>
  <c r="BF433" i="2" s="1"/>
  <c r="BG433" i="2"/>
  <c r="BH433" i="2"/>
  <c r="BL433" i="2"/>
  <c r="BM433" i="2"/>
  <c r="BN433" i="2"/>
  <c r="BO433" i="2"/>
  <c r="BQ433" i="2"/>
  <c r="S434" i="2"/>
  <c r="AE434" i="2"/>
  <c r="AL434" i="2"/>
  <c r="AN434" i="2"/>
  <c r="AM434" i="2" s="1"/>
  <c r="BP434" i="2" s="1"/>
  <c r="AO434" i="2"/>
  <c r="AP434" i="2"/>
  <c r="AW434" i="2"/>
  <c r="AZ434" i="2"/>
  <c r="BE434" i="2"/>
  <c r="BF434" i="2" s="1"/>
  <c r="BG434" i="2"/>
  <c r="BH434" i="2"/>
  <c r="BL434" i="2"/>
  <c r="BM434" i="2"/>
  <c r="BN434" i="2"/>
  <c r="BO434" i="2"/>
  <c r="BQ434" i="2"/>
  <c r="S435" i="2"/>
  <c r="AE435" i="2"/>
  <c r="AL435" i="2"/>
  <c r="AN435" i="2"/>
  <c r="AO435" i="2"/>
  <c r="AM435" i="2" s="1"/>
  <c r="AP435" i="2"/>
  <c r="AQ435" i="2"/>
  <c r="AW435" i="2"/>
  <c r="BA435" i="2" s="1"/>
  <c r="AZ435" i="2"/>
  <c r="BE435" i="2"/>
  <c r="BF435" i="2"/>
  <c r="BG435" i="2"/>
  <c r="BH435" i="2"/>
  <c r="BL435" i="2"/>
  <c r="BM435" i="2"/>
  <c r="BN435" i="2"/>
  <c r="BO435" i="2"/>
  <c r="S436" i="2"/>
  <c r="AE436" i="2"/>
  <c r="AL436" i="2"/>
  <c r="AN436" i="2"/>
  <c r="AO436" i="2"/>
  <c r="AP436" i="2"/>
  <c r="AW436" i="2"/>
  <c r="AZ436" i="2"/>
  <c r="BE436" i="2"/>
  <c r="BF436" i="2" s="1"/>
  <c r="BG436" i="2"/>
  <c r="BH436" i="2"/>
  <c r="BL436" i="2"/>
  <c r="BM436" i="2"/>
  <c r="BN436" i="2"/>
  <c r="BO436" i="2"/>
  <c r="S437" i="2"/>
  <c r="AE437" i="2"/>
  <c r="AL437" i="2"/>
  <c r="AN437" i="2"/>
  <c r="AO437" i="2"/>
  <c r="AM437" i="2" s="1"/>
  <c r="AP437" i="2"/>
  <c r="AW437" i="2"/>
  <c r="AZ437" i="2"/>
  <c r="BE437" i="2"/>
  <c r="BF437" i="2" s="1"/>
  <c r="BG437" i="2"/>
  <c r="BH437" i="2"/>
  <c r="BL437" i="2"/>
  <c r="BM437" i="2"/>
  <c r="BN437" i="2"/>
  <c r="BO437" i="2"/>
  <c r="BQ437" i="2"/>
  <c r="S438" i="2"/>
  <c r="AE438" i="2"/>
  <c r="AL438" i="2"/>
  <c r="AN438" i="2"/>
  <c r="AO438" i="2"/>
  <c r="AP438" i="2"/>
  <c r="AW438" i="2"/>
  <c r="AZ438" i="2"/>
  <c r="BE438" i="2"/>
  <c r="BF438" i="2" s="1"/>
  <c r="BG438" i="2"/>
  <c r="BH438" i="2"/>
  <c r="BL438" i="2"/>
  <c r="BM438" i="2"/>
  <c r="BN438" i="2"/>
  <c r="BO438" i="2"/>
  <c r="BQ438" i="2"/>
  <c r="S439" i="2"/>
  <c r="AE439" i="2"/>
  <c r="AL439" i="2"/>
  <c r="AN439" i="2"/>
  <c r="AO439" i="2"/>
  <c r="AP439" i="2"/>
  <c r="AW439" i="2"/>
  <c r="AZ439" i="2"/>
  <c r="BE439" i="2"/>
  <c r="BF439" i="2" s="1"/>
  <c r="BG439" i="2"/>
  <c r="BH439" i="2"/>
  <c r="BL439" i="2"/>
  <c r="BM439" i="2"/>
  <c r="BN439" i="2"/>
  <c r="BO439" i="2"/>
  <c r="BQ439" i="2"/>
  <c r="S440" i="2"/>
  <c r="AE440" i="2"/>
  <c r="AL440" i="2"/>
  <c r="AN440" i="2"/>
  <c r="AO440" i="2"/>
  <c r="AM440" i="2" s="1"/>
  <c r="AP440" i="2"/>
  <c r="AW440" i="2"/>
  <c r="AZ440" i="2"/>
  <c r="BE440" i="2"/>
  <c r="BF440" i="2" s="1"/>
  <c r="BG440" i="2"/>
  <c r="BH440" i="2"/>
  <c r="BL440" i="2"/>
  <c r="BM440" i="2"/>
  <c r="BN440" i="2"/>
  <c r="BO440" i="2"/>
  <c r="BQ440" i="2"/>
  <c r="S441" i="2"/>
  <c r="AE441" i="2"/>
  <c r="AL441" i="2"/>
  <c r="AN441" i="2"/>
  <c r="AO441" i="2"/>
  <c r="AP441" i="2"/>
  <c r="AW441" i="2"/>
  <c r="AZ441" i="2"/>
  <c r="BE441" i="2"/>
  <c r="BF441" i="2" s="1"/>
  <c r="BG441" i="2"/>
  <c r="BH441" i="2"/>
  <c r="BL441" i="2"/>
  <c r="BM441" i="2"/>
  <c r="BN441" i="2"/>
  <c r="BO441" i="2"/>
  <c r="S442" i="2"/>
  <c r="AE442" i="2"/>
  <c r="AL442" i="2"/>
  <c r="AN442" i="2"/>
  <c r="AO442" i="2"/>
  <c r="AP442" i="2"/>
  <c r="AW442" i="2"/>
  <c r="AZ442" i="2"/>
  <c r="BE442" i="2"/>
  <c r="BF442" i="2" s="1"/>
  <c r="BG442" i="2"/>
  <c r="BH442" i="2"/>
  <c r="BL442" i="2"/>
  <c r="BM442" i="2"/>
  <c r="BN442" i="2"/>
  <c r="BO442" i="2"/>
  <c r="BQ442" i="2"/>
  <c r="S443" i="2"/>
  <c r="AE443" i="2"/>
  <c r="AL443" i="2"/>
  <c r="AN443" i="2"/>
  <c r="AO443" i="2"/>
  <c r="AP443" i="2"/>
  <c r="AW443" i="2"/>
  <c r="BB443" i="2" s="1"/>
  <c r="AZ443" i="2"/>
  <c r="BE443" i="2"/>
  <c r="BF443" i="2" s="1"/>
  <c r="BG443" i="2"/>
  <c r="BH443" i="2"/>
  <c r="BL443" i="2"/>
  <c r="BM443" i="2"/>
  <c r="BN443" i="2"/>
  <c r="BO443" i="2"/>
  <c r="BQ443" i="2"/>
  <c r="S444" i="2"/>
  <c r="AE444" i="2"/>
  <c r="AL444" i="2"/>
  <c r="AN444" i="2"/>
  <c r="AO444" i="2"/>
  <c r="AP444" i="2"/>
  <c r="AW444" i="2"/>
  <c r="AZ444" i="2"/>
  <c r="BE444" i="2"/>
  <c r="BF444" i="2" s="1"/>
  <c r="BG444" i="2"/>
  <c r="BH444" i="2"/>
  <c r="BL444" i="2"/>
  <c r="BM444" i="2"/>
  <c r="BN444" i="2"/>
  <c r="BO444" i="2"/>
  <c r="BQ444" i="2"/>
  <c r="S445" i="2"/>
  <c r="AE445" i="2"/>
  <c r="AL445" i="2"/>
  <c r="AN445" i="2"/>
  <c r="AO445" i="2"/>
  <c r="AP445" i="2"/>
  <c r="AW445" i="2"/>
  <c r="BA445" i="2" s="1"/>
  <c r="AZ445" i="2"/>
  <c r="BE445" i="2"/>
  <c r="BF445" i="2" s="1"/>
  <c r="BG445" i="2"/>
  <c r="BH445" i="2"/>
  <c r="BL445" i="2"/>
  <c r="BM445" i="2"/>
  <c r="BN445" i="2"/>
  <c r="BO445" i="2"/>
  <c r="S446" i="2"/>
  <c r="AE446" i="2"/>
  <c r="AL446" i="2"/>
  <c r="AN446" i="2"/>
  <c r="AO446" i="2"/>
  <c r="AP446" i="2"/>
  <c r="AW446" i="2"/>
  <c r="BA446" i="2" s="1"/>
  <c r="AZ446" i="2"/>
  <c r="BE446" i="2"/>
  <c r="BF446" i="2" s="1"/>
  <c r="BG446" i="2"/>
  <c r="BH446" i="2"/>
  <c r="BL446" i="2"/>
  <c r="BM446" i="2"/>
  <c r="BN446" i="2"/>
  <c r="BO446" i="2"/>
  <c r="BQ446" i="2"/>
  <c r="S447" i="2"/>
  <c r="AE447" i="2"/>
  <c r="AL447" i="2"/>
  <c r="AN447" i="2"/>
  <c r="AO447" i="2"/>
  <c r="AP447" i="2"/>
  <c r="AW447" i="2"/>
  <c r="AZ447" i="2"/>
  <c r="BB447" i="2" s="1"/>
  <c r="BE447" i="2"/>
  <c r="BF447" i="2" s="1"/>
  <c r="BG447" i="2"/>
  <c r="BH447" i="2"/>
  <c r="BL447" i="2"/>
  <c r="BM447" i="2"/>
  <c r="BN447" i="2"/>
  <c r="BO447" i="2"/>
  <c r="BQ447" i="2"/>
  <c r="S448" i="2"/>
  <c r="AE448" i="2"/>
  <c r="AL448" i="2"/>
  <c r="BB448" i="2" s="1"/>
  <c r="AN448" i="2"/>
  <c r="AO448" i="2"/>
  <c r="AP448" i="2"/>
  <c r="AW448" i="2"/>
  <c r="AZ448" i="2"/>
  <c r="BE448" i="2"/>
  <c r="BF448" i="2" s="1"/>
  <c r="BG448" i="2"/>
  <c r="BH448" i="2"/>
  <c r="BL448" i="2"/>
  <c r="BM448" i="2"/>
  <c r="BN448" i="2"/>
  <c r="BO448" i="2"/>
  <c r="BQ448" i="2"/>
  <c r="S449" i="2"/>
  <c r="AE449" i="2"/>
  <c r="AL449" i="2"/>
  <c r="AN449" i="2"/>
  <c r="AO449" i="2"/>
  <c r="AP449" i="2"/>
  <c r="AW449" i="2"/>
  <c r="AZ449" i="2"/>
  <c r="BE449" i="2"/>
  <c r="BF449" i="2" s="1"/>
  <c r="BG449" i="2"/>
  <c r="BH449" i="2"/>
  <c r="BL449" i="2"/>
  <c r="BM449" i="2"/>
  <c r="BN449" i="2"/>
  <c r="BO449" i="2"/>
  <c r="BQ449" i="2"/>
  <c r="S450" i="2"/>
  <c r="AE450" i="2"/>
  <c r="AL450" i="2"/>
  <c r="AN450" i="2"/>
  <c r="AM450" i="2" s="1"/>
  <c r="AO450" i="2"/>
  <c r="AP450" i="2"/>
  <c r="AW450" i="2"/>
  <c r="AZ450" i="2"/>
  <c r="BE450" i="2"/>
  <c r="BF450" i="2" s="1"/>
  <c r="BG450" i="2"/>
  <c r="BH450" i="2"/>
  <c r="BL450" i="2"/>
  <c r="BM450" i="2"/>
  <c r="BN450" i="2"/>
  <c r="BO450" i="2"/>
  <c r="BQ450" i="2"/>
  <c r="S451" i="2"/>
  <c r="AE451" i="2"/>
  <c r="AL451" i="2"/>
  <c r="AN451" i="2"/>
  <c r="AO451" i="2"/>
  <c r="AP451" i="2"/>
  <c r="AW451" i="2"/>
  <c r="AZ451" i="2"/>
  <c r="BE451" i="2"/>
  <c r="BF451" i="2"/>
  <c r="BG451" i="2"/>
  <c r="BH451" i="2"/>
  <c r="BL451" i="2"/>
  <c r="BM451" i="2"/>
  <c r="BN451" i="2"/>
  <c r="BO451" i="2"/>
  <c r="BQ451" i="2"/>
  <c r="S452" i="2"/>
  <c r="AE452" i="2"/>
  <c r="AL452" i="2"/>
  <c r="AN452" i="2"/>
  <c r="AM452" i="2" s="1"/>
  <c r="AO452" i="2"/>
  <c r="AP452" i="2"/>
  <c r="AW452" i="2"/>
  <c r="AZ452" i="2"/>
  <c r="BE452" i="2"/>
  <c r="BF452" i="2" s="1"/>
  <c r="BG452" i="2"/>
  <c r="BH452" i="2"/>
  <c r="BL452" i="2"/>
  <c r="BM452" i="2"/>
  <c r="BN452" i="2"/>
  <c r="BO452" i="2"/>
  <c r="S453" i="2"/>
  <c r="AE453" i="2"/>
  <c r="AL453" i="2"/>
  <c r="AN453" i="2"/>
  <c r="AO453" i="2"/>
  <c r="AP453" i="2"/>
  <c r="AW453" i="2"/>
  <c r="AZ453" i="2"/>
  <c r="BE453" i="2"/>
  <c r="BF453" i="2" s="1"/>
  <c r="BG453" i="2"/>
  <c r="BH453" i="2"/>
  <c r="BL453" i="2"/>
  <c r="BM453" i="2"/>
  <c r="BN453" i="2"/>
  <c r="BO453" i="2"/>
  <c r="BQ453" i="2"/>
  <c r="S454" i="2"/>
  <c r="AE454" i="2"/>
  <c r="AL454" i="2"/>
  <c r="AN454" i="2"/>
  <c r="AO454" i="2"/>
  <c r="AP454" i="2"/>
  <c r="AW454" i="2"/>
  <c r="AZ454" i="2"/>
  <c r="BE454" i="2"/>
  <c r="BF454" i="2" s="1"/>
  <c r="BG454" i="2"/>
  <c r="BH454" i="2"/>
  <c r="BL454" i="2"/>
  <c r="BM454" i="2"/>
  <c r="BN454" i="2"/>
  <c r="BO454" i="2"/>
  <c r="BQ454" i="2"/>
  <c r="S455" i="2"/>
  <c r="AE455" i="2"/>
  <c r="AL455" i="2"/>
  <c r="AN455" i="2"/>
  <c r="AO455" i="2"/>
  <c r="AP455" i="2"/>
  <c r="AW455" i="2"/>
  <c r="BE455" i="2"/>
  <c r="BF455" i="2" s="1"/>
  <c r="BG455" i="2"/>
  <c r="BH455" i="2"/>
  <c r="BL455" i="2"/>
  <c r="BM455" i="2"/>
  <c r="BN455" i="2"/>
  <c r="BO455" i="2"/>
  <c r="BQ455" i="2"/>
  <c r="S456" i="2"/>
  <c r="AE456" i="2"/>
  <c r="AL456" i="2"/>
  <c r="AN456" i="2"/>
  <c r="AO456" i="2"/>
  <c r="AP456" i="2"/>
  <c r="AW456" i="2"/>
  <c r="AZ456" i="2"/>
  <c r="BE456" i="2"/>
  <c r="BF456" i="2" s="1"/>
  <c r="BG456" i="2"/>
  <c r="BH456" i="2"/>
  <c r="BL456" i="2"/>
  <c r="BM456" i="2"/>
  <c r="BN456" i="2"/>
  <c r="BO456" i="2"/>
  <c r="BQ456" i="2"/>
  <c r="S457" i="2"/>
  <c r="AE457" i="2"/>
  <c r="AL457" i="2"/>
  <c r="AN457" i="2"/>
  <c r="AO457" i="2"/>
  <c r="AP457" i="2"/>
  <c r="AW457" i="2"/>
  <c r="BA457" i="2" s="1"/>
  <c r="AZ457" i="2"/>
  <c r="BE457" i="2"/>
  <c r="BF457" i="2" s="1"/>
  <c r="BG457" i="2"/>
  <c r="BH457" i="2"/>
  <c r="BL457" i="2"/>
  <c r="BM457" i="2"/>
  <c r="BN457" i="2"/>
  <c r="BO457" i="2"/>
  <c r="BQ457" i="2"/>
  <c r="S458" i="2"/>
  <c r="AE458" i="2"/>
  <c r="AL458" i="2"/>
  <c r="AN458" i="2"/>
  <c r="AO458" i="2"/>
  <c r="AP458" i="2"/>
  <c r="AW458" i="2"/>
  <c r="AZ458" i="2"/>
  <c r="BE458" i="2"/>
  <c r="BF458" i="2"/>
  <c r="BG458" i="2"/>
  <c r="BH458" i="2"/>
  <c r="BL458" i="2"/>
  <c r="BM458" i="2"/>
  <c r="BN458" i="2"/>
  <c r="BO458" i="2"/>
  <c r="BQ458" i="2"/>
  <c r="S459" i="2"/>
  <c r="AE459" i="2"/>
  <c r="AL459" i="2"/>
  <c r="AN459" i="2"/>
  <c r="AO459" i="2"/>
  <c r="AP459" i="2"/>
  <c r="AW459" i="2"/>
  <c r="AZ459" i="2"/>
  <c r="BE459" i="2"/>
  <c r="BF459" i="2" s="1"/>
  <c r="BG459" i="2"/>
  <c r="BH459" i="2"/>
  <c r="BL459" i="2"/>
  <c r="BM459" i="2"/>
  <c r="BN459" i="2"/>
  <c r="BO459" i="2"/>
  <c r="BQ459" i="2"/>
  <c r="S460" i="2"/>
  <c r="AE460" i="2"/>
  <c r="AL460" i="2"/>
  <c r="AN460" i="2"/>
  <c r="AO460" i="2"/>
  <c r="AP460" i="2"/>
  <c r="AW460" i="2"/>
  <c r="AZ460" i="2"/>
  <c r="BE460" i="2"/>
  <c r="BF460" i="2"/>
  <c r="BG460" i="2"/>
  <c r="BH460" i="2"/>
  <c r="BL460" i="2"/>
  <c r="BM460" i="2"/>
  <c r="BN460" i="2"/>
  <c r="BO460" i="2"/>
  <c r="BQ460" i="2"/>
  <c r="S461" i="2"/>
  <c r="AE461" i="2"/>
  <c r="AL461" i="2"/>
  <c r="AN461" i="2"/>
  <c r="AM461" i="2" s="1"/>
  <c r="AO461" i="2"/>
  <c r="AP461" i="2"/>
  <c r="AW461" i="2"/>
  <c r="AZ461" i="2"/>
  <c r="BE461" i="2"/>
  <c r="BF461" i="2" s="1"/>
  <c r="BG461" i="2"/>
  <c r="BH461" i="2"/>
  <c r="BL461" i="2"/>
  <c r="BM461" i="2"/>
  <c r="BN461" i="2"/>
  <c r="BO461" i="2"/>
  <c r="BQ461" i="2"/>
  <c r="S462" i="2"/>
  <c r="AE462" i="2"/>
  <c r="AL462" i="2"/>
  <c r="AN462" i="2"/>
  <c r="AO462" i="2"/>
  <c r="AP462" i="2"/>
  <c r="AW462" i="2"/>
  <c r="AZ462" i="2"/>
  <c r="BE462" i="2"/>
  <c r="BF462" i="2"/>
  <c r="BG462" i="2"/>
  <c r="BH462" i="2"/>
  <c r="BL462" i="2"/>
  <c r="BM462" i="2"/>
  <c r="BN462" i="2"/>
  <c r="BO462" i="2"/>
  <c r="BQ462" i="2"/>
  <c r="S463" i="2"/>
  <c r="AE463" i="2"/>
  <c r="AL463" i="2"/>
  <c r="AN463" i="2"/>
  <c r="AO463" i="2"/>
  <c r="AP463" i="2"/>
  <c r="AW463" i="2"/>
  <c r="AZ463" i="2"/>
  <c r="BE463" i="2"/>
  <c r="BF463" i="2" s="1"/>
  <c r="BG463" i="2"/>
  <c r="BH463" i="2"/>
  <c r="BL463" i="2"/>
  <c r="BM463" i="2"/>
  <c r="BN463" i="2"/>
  <c r="BO463" i="2"/>
  <c r="BQ463" i="2"/>
  <c r="S464" i="2"/>
  <c r="AE464" i="2"/>
  <c r="AL464" i="2"/>
  <c r="AN464" i="2"/>
  <c r="AO464" i="2"/>
  <c r="AP464" i="2"/>
  <c r="AW464" i="2"/>
  <c r="AZ464" i="2"/>
  <c r="BE464" i="2"/>
  <c r="BF464" i="2" s="1"/>
  <c r="BG464" i="2"/>
  <c r="BH464" i="2"/>
  <c r="BL464" i="2"/>
  <c r="BM464" i="2"/>
  <c r="BN464" i="2"/>
  <c r="BO464" i="2"/>
  <c r="S465" i="2"/>
  <c r="AE465" i="2"/>
  <c r="AL465" i="2"/>
  <c r="BA465" i="2" s="1"/>
  <c r="AN465" i="2"/>
  <c r="AM465" i="2" s="1"/>
  <c r="AO465" i="2"/>
  <c r="AP465" i="2"/>
  <c r="AW465" i="2"/>
  <c r="AZ465" i="2"/>
  <c r="BE465" i="2"/>
  <c r="BF465" i="2" s="1"/>
  <c r="BG465" i="2"/>
  <c r="BH465" i="2"/>
  <c r="BL465" i="2"/>
  <c r="BM465" i="2"/>
  <c r="BN465" i="2"/>
  <c r="BO465" i="2"/>
  <c r="BQ465" i="2"/>
  <c r="S466" i="2"/>
  <c r="AL466" i="2"/>
  <c r="BA466" i="2" s="1"/>
  <c r="AN466" i="2"/>
  <c r="AO466" i="2"/>
  <c r="AP466" i="2"/>
  <c r="AW466" i="2"/>
  <c r="AZ466" i="2"/>
  <c r="BE466" i="2"/>
  <c r="BF466" i="2" s="1"/>
  <c r="BG466" i="2"/>
  <c r="BH466" i="2"/>
  <c r="BL466" i="2"/>
  <c r="BM466" i="2"/>
  <c r="BN466" i="2"/>
  <c r="BO466" i="2"/>
  <c r="BQ466" i="2"/>
  <c r="S467" i="2"/>
  <c r="Y467" i="2"/>
  <c r="AZ467" i="2" s="1"/>
  <c r="BB467" i="2" s="1"/>
  <c r="AA467" i="2"/>
  <c r="AE467" i="2"/>
  <c r="AL467" i="2"/>
  <c r="AN467" i="2"/>
  <c r="AO467" i="2"/>
  <c r="AP467" i="2"/>
  <c r="AW467" i="2"/>
  <c r="BA467" i="2" s="1"/>
  <c r="BE467" i="2"/>
  <c r="BF467" i="2" s="1"/>
  <c r="BG467" i="2"/>
  <c r="BH467" i="2"/>
  <c r="BL467" i="2"/>
  <c r="BM467" i="2"/>
  <c r="BN467" i="2"/>
  <c r="BO467" i="2"/>
  <c r="S468" i="2"/>
  <c r="Y468" i="2"/>
  <c r="AZ468" i="2" s="1"/>
  <c r="AA468" i="2"/>
  <c r="AE468" i="2"/>
  <c r="AL468" i="2"/>
  <c r="AN468" i="2"/>
  <c r="AO468" i="2"/>
  <c r="AP468" i="2"/>
  <c r="AW468" i="2"/>
  <c r="BE468" i="2"/>
  <c r="BF468" i="2" s="1"/>
  <c r="BG468" i="2"/>
  <c r="BH468" i="2"/>
  <c r="BL468" i="2"/>
  <c r="BM468" i="2"/>
  <c r="BN468" i="2"/>
  <c r="BO468" i="2"/>
  <c r="S469" i="2"/>
  <c r="Y469" i="2"/>
  <c r="AZ469" i="2" s="1"/>
  <c r="AA469" i="2"/>
  <c r="AE469" i="2"/>
  <c r="AL469" i="2"/>
  <c r="AN469" i="2"/>
  <c r="AO469" i="2"/>
  <c r="AM469" i="2" s="1"/>
  <c r="AP469" i="2"/>
  <c r="AW469" i="2"/>
  <c r="BA469" i="2" s="1"/>
  <c r="BE469" i="2"/>
  <c r="BF469" i="2" s="1"/>
  <c r="BG469" i="2"/>
  <c r="BH469" i="2"/>
  <c r="BL469" i="2"/>
  <c r="BM469" i="2"/>
  <c r="BN469" i="2"/>
  <c r="BO469" i="2"/>
  <c r="S470" i="2"/>
  <c r="Y470" i="2"/>
  <c r="AA470" i="2"/>
  <c r="AE470" i="2"/>
  <c r="AL470" i="2"/>
  <c r="AN470" i="2"/>
  <c r="AO470" i="2"/>
  <c r="AP470" i="2"/>
  <c r="AW470" i="2"/>
  <c r="AZ470" i="2"/>
  <c r="BE470" i="2"/>
  <c r="BF470" i="2" s="1"/>
  <c r="BG470" i="2"/>
  <c r="BH470" i="2"/>
  <c r="BL470" i="2"/>
  <c r="BM470" i="2"/>
  <c r="BN470" i="2"/>
  <c r="BO470" i="2"/>
  <c r="BQ470" i="2"/>
  <c r="S471" i="2"/>
  <c r="Y471" i="2"/>
  <c r="AA471" i="2"/>
  <c r="AE471" i="2"/>
  <c r="AL471" i="2"/>
  <c r="AN471" i="2"/>
  <c r="AO471" i="2"/>
  <c r="AP471" i="2"/>
  <c r="AW471" i="2"/>
  <c r="AZ471" i="2"/>
  <c r="BE471" i="2"/>
  <c r="BF471" i="2" s="1"/>
  <c r="BG471" i="2"/>
  <c r="BH471" i="2"/>
  <c r="BL471" i="2"/>
  <c r="BM471" i="2"/>
  <c r="BN471" i="2"/>
  <c r="BO471" i="2"/>
  <c r="BQ471" i="2"/>
  <c r="S472" i="2"/>
  <c r="Y472" i="2"/>
  <c r="AZ472" i="2" s="1"/>
  <c r="AA472" i="2"/>
  <c r="AE472" i="2"/>
  <c r="AL472" i="2"/>
  <c r="AN472" i="2"/>
  <c r="AM472" i="2" s="1"/>
  <c r="AO472" i="2"/>
  <c r="AP472" i="2"/>
  <c r="AW472" i="2"/>
  <c r="BE472" i="2"/>
  <c r="BF472" i="2" s="1"/>
  <c r="BG472" i="2"/>
  <c r="BH472" i="2"/>
  <c r="BL472" i="2"/>
  <c r="BM472" i="2"/>
  <c r="BN472" i="2"/>
  <c r="BO472" i="2"/>
  <c r="BQ472" i="2"/>
  <c r="S473" i="2"/>
  <c r="AE473" i="2"/>
  <c r="AL473" i="2"/>
  <c r="AN473" i="2"/>
  <c r="AO473" i="2"/>
  <c r="AP473" i="2"/>
  <c r="AW473" i="2"/>
  <c r="AZ473" i="2"/>
  <c r="BE473" i="2"/>
  <c r="BF473" i="2" s="1"/>
  <c r="BG473" i="2"/>
  <c r="BH473" i="2"/>
  <c r="BL473" i="2"/>
  <c r="BM473" i="2"/>
  <c r="BN473" i="2"/>
  <c r="BO473" i="2"/>
  <c r="BQ473" i="2"/>
  <c r="S474" i="2"/>
  <c r="Y474" i="2"/>
  <c r="AZ474" i="2" s="1"/>
  <c r="AA474" i="2"/>
  <c r="AE474" i="2"/>
  <c r="AL474" i="2"/>
  <c r="AN474" i="2"/>
  <c r="AO474" i="2"/>
  <c r="AP474" i="2"/>
  <c r="AW474" i="2"/>
  <c r="BE474" i="2"/>
  <c r="BF474" i="2" s="1"/>
  <c r="BG474" i="2"/>
  <c r="BH474" i="2"/>
  <c r="BL474" i="2"/>
  <c r="BM474" i="2"/>
  <c r="BN474" i="2"/>
  <c r="BO474" i="2"/>
  <c r="S475" i="2"/>
  <c r="AE475" i="2"/>
  <c r="AL475" i="2"/>
  <c r="AN475" i="2"/>
  <c r="AO475" i="2"/>
  <c r="AP475" i="2"/>
  <c r="AW475" i="2"/>
  <c r="AZ475" i="2"/>
  <c r="BA475" i="2"/>
  <c r="BE475" i="2"/>
  <c r="BF475" i="2" s="1"/>
  <c r="BG475" i="2"/>
  <c r="BH475" i="2"/>
  <c r="BL475" i="2"/>
  <c r="BM475" i="2"/>
  <c r="BN475" i="2"/>
  <c r="BO475" i="2"/>
  <c r="BQ475" i="2"/>
  <c r="S476" i="2"/>
  <c r="AE476" i="2"/>
  <c r="AL476" i="2"/>
  <c r="AN476" i="2"/>
  <c r="AO476" i="2"/>
  <c r="AP476" i="2"/>
  <c r="AW476" i="2"/>
  <c r="AZ476" i="2"/>
  <c r="BE476" i="2"/>
  <c r="BF476" i="2" s="1"/>
  <c r="BG476" i="2"/>
  <c r="BH476" i="2"/>
  <c r="BL476" i="2"/>
  <c r="BM476" i="2"/>
  <c r="BN476" i="2"/>
  <c r="BO476" i="2"/>
  <c r="BQ476" i="2"/>
  <c r="Y477" i="2"/>
  <c r="AA477" i="2"/>
  <c r="AE477" i="2"/>
  <c r="AL477" i="2"/>
  <c r="AN477" i="2"/>
  <c r="AO477" i="2"/>
  <c r="AP477" i="2"/>
  <c r="AW477" i="2"/>
  <c r="BA477" i="2" s="1"/>
  <c r="AZ477" i="2"/>
  <c r="BE477" i="2"/>
  <c r="BF477" i="2" s="1"/>
  <c r="BG477" i="2"/>
  <c r="BH477" i="2"/>
  <c r="BL477" i="2"/>
  <c r="BM477" i="2"/>
  <c r="BN477" i="2"/>
  <c r="BO477" i="2"/>
  <c r="BQ477" i="2"/>
  <c r="S478" i="2"/>
  <c r="Y478" i="2"/>
  <c r="AZ478" i="2" s="1"/>
  <c r="AA478" i="2"/>
  <c r="AE478" i="2"/>
  <c r="AL478" i="2"/>
  <c r="AN478" i="2"/>
  <c r="AO478" i="2"/>
  <c r="AP478" i="2"/>
  <c r="AW478" i="2"/>
  <c r="BE478" i="2"/>
  <c r="BF478" i="2" s="1"/>
  <c r="BG478" i="2"/>
  <c r="BH478" i="2"/>
  <c r="BL478" i="2"/>
  <c r="BM478" i="2"/>
  <c r="BN478" i="2"/>
  <c r="BO478" i="2"/>
  <c r="BQ478" i="2"/>
  <c r="S479" i="2"/>
  <c r="Y479" i="2"/>
  <c r="AZ479" i="2" s="1"/>
  <c r="AA479" i="2"/>
  <c r="AE479" i="2"/>
  <c r="AL479" i="2"/>
  <c r="AN479" i="2"/>
  <c r="AO479" i="2"/>
  <c r="AP479" i="2"/>
  <c r="AW479" i="2"/>
  <c r="BE479" i="2"/>
  <c r="BF479" i="2" s="1"/>
  <c r="BG479" i="2"/>
  <c r="BH479" i="2"/>
  <c r="BL479" i="2"/>
  <c r="BM479" i="2"/>
  <c r="BN479" i="2"/>
  <c r="BO479" i="2"/>
  <c r="BQ479" i="2"/>
  <c r="Y480" i="2"/>
  <c r="AZ480" i="2" s="1"/>
  <c r="AA480" i="2"/>
  <c r="AE480" i="2"/>
  <c r="AL480" i="2"/>
  <c r="BA480" i="2" s="1"/>
  <c r="AN480" i="2"/>
  <c r="AO480" i="2"/>
  <c r="AM480" i="2" s="1"/>
  <c r="BP480" i="2" s="1"/>
  <c r="AP480" i="2"/>
  <c r="AW480" i="2"/>
  <c r="BE480" i="2"/>
  <c r="BF480" i="2" s="1"/>
  <c r="BG480" i="2"/>
  <c r="BH480" i="2"/>
  <c r="BL480" i="2"/>
  <c r="BM480" i="2"/>
  <c r="BN480" i="2"/>
  <c r="BO480" i="2"/>
  <c r="BQ480" i="2"/>
  <c r="S481" i="2"/>
  <c r="Y481" i="2"/>
  <c r="AZ481" i="2" s="1"/>
  <c r="AA481" i="2"/>
  <c r="AE481" i="2"/>
  <c r="AL481" i="2"/>
  <c r="AN481" i="2"/>
  <c r="AO481" i="2"/>
  <c r="AP481" i="2"/>
  <c r="AW481" i="2"/>
  <c r="BE481" i="2"/>
  <c r="BF481" i="2" s="1"/>
  <c r="BG481" i="2"/>
  <c r="BH481" i="2"/>
  <c r="BL481" i="2"/>
  <c r="BM481" i="2"/>
  <c r="BN481" i="2"/>
  <c r="BO481" i="2"/>
  <c r="S482" i="2"/>
  <c r="Y482" i="2"/>
  <c r="AZ482" i="2" s="1"/>
  <c r="AA482" i="2"/>
  <c r="AE482" i="2"/>
  <c r="AL482" i="2"/>
  <c r="AN482" i="2"/>
  <c r="AM482" i="2" s="1"/>
  <c r="AO482" i="2"/>
  <c r="AP482" i="2"/>
  <c r="AW482" i="2"/>
  <c r="BE482" i="2"/>
  <c r="BF482" i="2"/>
  <c r="BG482" i="2"/>
  <c r="BH482" i="2"/>
  <c r="BL482" i="2"/>
  <c r="BM482" i="2"/>
  <c r="BN482" i="2"/>
  <c r="BO482" i="2"/>
  <c r="BQ482" i="2"/>
  <c r="S483" i="2"/>
  <c r="Y483" i="2"/>
  <c r="AZ483" i="2" s="1"/>
  <c r="AA483" i="2"/>
  <c r="AE483" i="2"/>
  <c r="AL483" i="2"/>
  <c r="AN483" i="2"/>
  <c r="AO483" i="2"/>
  <c r="AP483" i="2"/>
  <c r="AW483" i="2"/>
  <c r="BA483" i="2" s="1"/>
  <c r="BE483" i="2"/>
  <c r="BF483" i="2" s="1"/>
  <c r="BG483" i="2"/>
  <c r="BH483" i="2"/>
  <c r="BL483" i="2"/>
  <c r="BM483" i="2"/>
  <c r="BN483" i="2"/>
  <c r="BO483" i="2"/>
  <c r="BQ483" i="2"/>
  <c r="S484" i="2"/>
  <c r="Y484" i="2"/>
  <c r="AZ484" i="2" s="1"/>
  <c r="AA484" i="2"/>
  <c r="AE484" i="2"/>
  <c r="AL484" i="2"/>
  <c r="AN484" i="2"/>
  <c r="AO484" i="2"/>
  <c r="AP484" i="2"/>
  <c r="AW484" i="2"/>
  <c r="BE484" i="2"/>
  <c r="BF484" i="2"/>
  <c r="BG484" i="2"/>
  <c r="BH484" i="2"/>
  <c r="BL484" i="2"/>
  <c r="BM484" i="2"/>
  <c r="BN484" i="2"/>
  <c r="BO484" i="2"/>
  <c r="BQ484" i="2"/>
  <c r="S485" i="2"/>
  <c r="AE485" i="2"/>
  <c r="AL485" i="2"/>
  <c r="AN485" i="2"/>
  <c r="AO485" i="2"/>
  <c r="AP485" i="2"/>
  <c r="AW485" i="2"/>
  <c r="AZ485" i="2"/>
  <c r="BE485" i="2"/>
  <c r="BF485" i="2" s="1"/>
  <c r="BG485" i="2"/>
  <c r="BH485" i="2"/>
  <c r="BL485" i="2"/>
  <c r="BM485" i="2"/>
  <c r="BN485" i="2"/>
  <c r="BO485" i="2"/>
  <c r="BQ485" i="2"/>
  <c r="S486" i="2"/>
  <c r="AE486" i="2"/>
  <c r="AL486" i="2"/>
  <c r="AN486" i="2"/>
  <c r="AO486" i="2"/>
  <c r="AP486" i="2"/>
  <c r="AW486" i="2"/>
  <c r="AZ486" i="2"/>
  <c r="BA486" i="2"/>
  <c r="BE486" i="2"/>
  <c r="BF486" i="2" s="1"/>
  <c r="BG486" i="2"/>
  <c r="BH486" i="2"/>
  <c r="BL486" i="2"/>
  <c r="BM486" i="2"/>
  <c r="BN486" i="2"/>
  <c r="BO486" i="2"/>
  <c r="BQ486" i="2"/>
  <c r="S487" i="2"/>
  <c r="AE487" i="2"/>
  <c r="AL487" i="2"/>
  <c r="AN487" i="2"/>
  <c r="AO487" i="2"/>
  <c r="AP487" i="2"/>
  <c r="AW487" i="2"/>
  <c r="AZ487" i="2"/>
  <c r="BE487" i="2"/>
  <c r="BF487" i="2" s="1"/>
  <c r="BG487" i="2"/>
  <c r="BH487" i="2"/>
  <c r="BL487" i="2"/>
  <c r="BM487" i="2"/>
  <c r="BN487" i="2"/>
  <c r="BO487" i="2"/>
  <c r="BQ487" i="2"/>
  <c r="S488" i="2"/>
  <c r="AE488" i="2"/>
  <c r="AL488" i="2"/>
  <c r="AN488" i="2"/>
  <c r="AO488" i="2"/>
  <c r="AP488" i="2"/>
  <c r="AW488" i="2"/>
  <c r="AZ488" i="2"/>
  <c r="BE488" i="2"/>
  <c r="BF488" i="2" s="1"/>
  <c r="BG488" i="2"/>
  <c r="BH488" i="2"/>
  <c r="BL488" i="2"/>
  <c r="BM488" i="2"/>
  <c r="BN488" i="2"/>
  <c r="BO488" i="2"/>
  <c r="S489" i="2"/>
  <c r="AE489" i="2"/>
  <c r="AL489" i="2"/>
  <c r="AN489" i="2"/>
  <c r="AM489" i="2" s="1"/>
  <c r="AO489" i="2"/>
  <c r="AP489" i="2"/>
  <c r="AW489" i="2"/>
  <c r="AZ489" i="2"/>
  <c r="BE489" i="2"/>
  <c r="BF489" i="2"/>
  <c r="BG489" i="2"/>
  <c r="BH489" i="2"/>
  <c r="BL489" i="2"/>
  <c r="BM489" i="2"/>
  <c r="BN489" i="2"/>
  <c r="BO489" i="2"/>
  <c r="S490" i="2"/>
  <c r="AE490" i="2"/>
  <c r="AL490" i="2"/>
  <c r="AN490" i="2"/>
  <c r="AO490" i="2"/>
  <c r="AP490" i="2"/>
  <c r="AW490" i="2"/>
  <c r="AZ490" i="2"/>
  <c r="BA490" i="2"/>
  <c r="BE490" i="2"/>
  <c r="BF490" i="2" s="1"/>
  <c r="BG490" i="2"/>
  <c r="BH490" i="2"/>
  <c r="BL490" i="2"/>
  <c r="BM490" i="2"/>
  <c r="BN490" i="2"/>
  <c r="BO490" i="2"/>
  <c r="BQ490" i="2"/>
  <c r="S491" i="2"/>
  <c r="AE491" i="2"/>
  <c r="AL491" i="2"/>
  <c r="AN491" i="2"/>
  <c r="AO491" i="2"/>
  <c r="AP491" i="2"/>
  <c r="AW491" i="2"/>
  <c r="AZ491" i="2"/>
  <c r="BE491" i="2"/>
  <c r="BF491" i="2" s="1"/>
  <c r="BG491" i="2"/>
  <c r="BH491" i="2"/>
  <c r="BL491" i="2"/>
  <c r="BM491" i="2"/>
  <c r="BN491" i="2"/>
  <c r="BO491" i="2"/>
  <c r="BQ491" i="2"/>
  <c r="S492" i="2"/>
  <c r="AE492" i="2"/>
  <c r="AL492" i="2"/>
  <c r="AN492" i="2"/>
  <c r="AM492" i="2" s="1"/>
  <c r="AO492" i="2"/>
  <c r="AP492" i="2"/>
  <c r="AW492" i="2"/>
  <c r="AZ492" i="2"/>
  <c r="BE492" i="2"/>
  <c r="BF492" i="2"/>
  <c r="BG492" i="2"/>
  <c r="BH492" i="2"/>
  <c r="BL492" i="2"/>
  <c r="BM492" i="2"/>
  <c r="BN492" i="2"/>
  <c r="BO492" i="2"/>
  <c r="BQ492" i="2"/>
  <c r="S493" i="2"/>
  <c r="AE493" i="2"/>
  <c r="AL493" i="2"/>
  <c r="AN493" i="2"/>
  <c r="AM493" i="2" s="1"/>
  <c r="BP493" i="2" s="1"/>
  <c r="AO493" i="2"/>
  <c r="AP493" i="2"/>
  <c r="AQ493" i="2"/>
  <c r="AR493" i="2"/>
  <c r="AW493" i="2"/>
  <c r="BB493" i="2" s="1"/>
  <c r="AZ493" i="2"/>
  <c r="BE493" i="2"/>
  <c r="BF493" i="2" s="1"/>
  <c r="BG493" i="2"/>
  <c r="BH493" i="2"/>
  <c r="BL493" i="2"/>
  <c r="BM493" i="2"/>
  <c r="BN493" i="2"/>
  <c r="BO493" i="2"/>
  <c r="BQ493" i="2"/>
  <c r="S494" i="2"/>
  <c r="AE494" i="2"/>
  <c r="AL494" i="2"/>
  <c r="AN494" i="2"/>
  <c r="AO494" i="2"/>
  <c r="AP494" i="2"/>
  <c r="AW494" i="2"/>
  <c r="AZ494" i="2"/>
  <c r="BE494" i="2"/>
  <c r="BF494" i="2" s="1"/>
  <c r="BG494" i="2"/>
  <c r="BH494" i="2"/>
  <c r="BL494" i="2"/>
  <c r="BM494" i="2"/>
  <c r="BN494" i="2"/>
  <c r="BO494" i="2"/>
  <c r="BQ494" i="2"/>
  <c r="S495" i="2"/>
  <c r="AE495" i="2"/>
  <c r="AL495" i="2"/>
  <c r="AN495" i="2"/>
  <c r="AO495" i="2"/>
  <c r="AP495" i="2"/>
  <c r="AW495" i="2"/>
  <c r="AZ495" i="2"/>
  <c r="BE495" i="2"/>
  <c r="BF495" i="2" s="1"/>
  <c r="BG495" i="2"/>
  <c r="BH495" i="2"/>
  <c r="BL495" i="2"/>
  <c r="BM495" i="2"/>
  <c r="BN495" i="2"/>
  <c r="BO495" i="2"/>
  <c r="BQ495" i="2"/>
  <c r="S496" i="2"/>
  <c r="AE496" i="2"/>
  <c r="AL496" i="2"/>
  <c r="AN496" i="2"/>
  <c r="AM496" i="2" s="1"/>
  <c r="BP496" i="2" s="1"/>
  <c r="AO496" i="2"/>
  <c r="AP496" i="2"/>
  <c r="AW496" i="2"/>
  <c r="AZ496" i="2"/>
  <c r="BE496" i="2"/>
  <c r="BF496" i="2" s="1"/>
  <c r="BG496" i="2"/>
  <c r="BH496" i="2"/>
  <c r="BL496" i="2"/>
  <c r="BM496" i="2"/>
  <c r="BN496" i="2"/>
  <c r="BO496" i="2"/>
  <c r="BQ496" i="2"/>
  <c r="S497" i="2"/>
  <c r="AE497" i="2"/>
  <c r="AL497" i="2"/>
  <c r="BB497" i="2" s="1"/>
  <c r="AN497" i="2"/>
  <c r="AO497" i="2"/>
  <c r="AP497" i="2"/>
  <c r="AW497" i="2"/>
  <c r="AZ497" i="2"/>
  <c r="BE497" i="2"/>
  <c r="BF497" i="2" s="1"/>
  <c r="BG497" i="2"/>
  <c r="BH497" i="2"/>
  <c r="BL497" i="2"/>
  <c r="BM497" i="2"/>
  <c r="BN497" i="2"/>
  <c r="BO497" i="2"/>
  <c r="BQ497" i="2"/>
  <c r="S498" i="2"/>
  <c r="AE498" i="2"/>
  <c r="AL498" i="2"/>
  <c r="AN498" i="2"/>
  <c r="AO498" i="2"/>
  <c r="AP498" i="2"/>
  <c r="AW498" i="2"/>
  <c r="AZ498" i="2"/>
  <c r="BE498" i="2"/>
  <c r="BF498" i="2" s="1"/>
  <c r="BG498" i="2"/>
  <c r="BH498" i="2"/>
  <c r="BL498" i="2"/>
  <c r="BM498" i="2"/>
  <c r="BN498" i="2"/>
  <c r="BO498" i="2"/>
  <c r="BQ498" i="2"/>
  <c r="S499" i="2"/>
  <c r="AE499" i="2"/>
  <c r="AL499" i="2"/>
  <c r="BA499" i="2" s="1"/>
  <c r="AN499" i="2"/>
  <c r="AO499" i="2"/>
  <c r="AP499" i="2"/>
  <c r="AW499" i="2"/>
  <c r="AZ499" i="2"/>
  <c r="BE499" i="2"/>
  <c r="BF499" i="2" s="1"/>
  <c r="BG499" i="2"/>
  <c r="BH499" i="2"/>
  <c r="BL499" i="2"/>
  <c r="BM499" i="2"/>
  <c r="BN499" i="2"/>
  <c r="BO499" i="2"/>
  <c r="S500" i="2"/>
  <c r="AE500" i="2"/>
  <c r="AL500" i="2"/>
  <c r="BA500" i="2" s="1"/>
  <c r="AN500" i="2"/>
  <c r="AO500" i="2"/>
  <c r="AP500" i="2"/>
  <c r="AW500" i="2"/>
  <c r="AZ500" i="2"/>
  <c r="BE500" i="2"/>
  <c r="BF500" i="2" s="1"/>
  <c r="BG500" i="2"/>
  <c r="BH500" i="2"/>
  <c r="BL500" i="2"/>
  <c r="BM500" i="2"/>
  <c r="BN500" i="2"/>
  <c r="BO500" i="2"/>
  <c r="BQ500" i="2"/>
  <c r="S501" i="2"/>
  <c r="AE501" i="2"/>
  <c r="AL501" i="2"/>
  <c r="AN501" i="2"/>
  <c r="AM501" i="2" s="1"/>
  <c r="AO501" i="2"/>
  <c r="AP501" i="2"/>
  <c r="AW501" i="2"/>
  <c r="AZ501" i="2"/>
  <c r="BE501" i="2"/>
  <c r="BF501" i="2" s="1"/>
  <c r="BG501" i="2"/>
  <c r="BH501" i="2"/>
  <c r="BL501" i="2"/>
  <c r="BM501" i="2"/>
  <c r="BN501" i="2"/>
  <c r="BO501" i="2"/>
  <c r="BQ501" i="2"/>
  <c r="S502" i="2"/>
  <c r="AE502" i="2"/>
  <c r="AL502" i="2"/>
  <c r="AN502" i="2"/>
  <c r="AO502" i="2"/>
  <c r="AP502" i="2"/>
  <c r="AW502" i="2"/>
  <c r="AZ502" i="2"/>
  <c r="BE502" i="2"/>
  <c r="BF502" i="2" s="1"/>
  <c r="BG502" i="2"/>
  <c r="BH502" i="2"/>
  <c r="BL502" i="2"/>
  <c r="BM502" i="2"/>
  <c r="BN502" i="2"/>
  <c r="BO502" i="2"/>
  <c r="BQ502" i="2"/>
  <c r="S503" i="2"/>
  <c r="AE503" i="2"/>
  <c r="AL503" i="2"/>
  <c r="AN503" i="2"/>
  <c r="AM503" i="2" s="1"/>
  <c r="AO503" i="2"/>
  <c r="AP503" i="2"/>
  <c r="AW503" i="2"/>
  <c r="AZ503" i="2"/>
  <c r="BE503" i="2"/>
  <c r="BF503" i="2" s="1"/>
  <c r="BG503" i="2"/>
  <c r="BH503" i="2"/>
  <c r="BL503" i="2"/>
  <c r="BM503" i="2"/>
  <c r="BN503" i="2"/>
  <c r="BO503" i="2"/>
  <c r="BQ503" i="2"/>
  <c r="S504" i="2"/>
  <c r="AE504" i="2"/>
  <c r="AL504" i="2"/>
  <c r="AN504" i="2"/>
  <c r="AO504" i="2"/>
  <c r="AP504" i="2"/>
  <c r="AW504" i="2"/>
  <c r="BA504" i="2" s="1"/>
  <c r="AZ504" i="2"/>
  <c r="BB504" i="2" s="1"/>
  <c r="BE504" i="2"/>
  <c r="BF504" i="2" s="1"/>
  <c r="BG504" i="2"/>
  <c r="BH504" i="2"/>
  <c r="BL504" i="2"/>
  <c r="BM504" i="2"/>
  <c r="BN504" i="2"/>
  <c r="BO504" i="2"/>
  <c r="BQ504" i="2"/>
  <c r="S505" i="2"/>
  <c r="AL505" i="2"/>
  <c r="AN505" i="2"/>
  <c r="AO505" i="2"/>
  <c r="AP505" i="2"/>
  <c r="AW505" i="2"/>
  <c r="AZ505" i="2"/>
  <c r="BE505" i="2"/>
  <c r="BF505" i="2" s="1"/>
  <c r="BG505" i="2"/>
  <c r="BH505" i="2"/>
  <c r="BL505" i="2"/>
  <c r="BM505" i="2"/>
  <c r="BN505" i="2"/>
  <c r="BO505" i="2"/>
  <c r="BQ505" i="2"/>
  <c r="S506" i="2"/>
  <c r="AE506" i="2"/>
  <c r="AL506" i="2"/>
  <c r="AN506" i="2"/>
  <c r="AO506" i="2"/>
  <c r="AP506" i="2"/>
  <c r="AW506" i="2"/>
  <c r="AZ506" i="2"/>
  <c r="BE506" i="2"/>
  <c r="BF506" i="2" s="1"/>
  <c r="BG506" i="2"/>
  <c r="BH506" i="2"/>
  <c r="BL506" i="2"/>
  <c r="BM506" i="2"/>
  <c r="BN506" i="2"/>
  <c r="BO506" i="2"/>
  <c r="BQ506" i="2"/>
  <c r="S507" i="2"/>
  <c r="AE507" i="2"/>
  <c r="AL507" i="2"/>
  <c r="AN507" i="2"/>
  <c r="AO507" i="2"/>
  <c r="AP507" i="2"/>
  <c r="AW507" i="2"/>
  <c r="AZ507" i="2"/>
  <c r="BE507" i="2"/>
  <c r="BF507" i="2"/>
  <c r="BG507" i="2"/>
  <c r="BH507" i="2"/>
  <c r="BL507" i="2"/>
  <c r="BM507" i="2"/>
  <c r="BN507" i="2"/>
  <c r="BO507" i="2"/>
  <c r="BQ507" i="2"/>
  <c r="S508" i="2"/>
  <c r="AE508" i="2"/>
  <c r="AL508" i="2"/>
  <c r="AN508" i="2"/>
  <c r="AO508" i="2"/>
  <c r="AP508" i="2"/>
  <c r="AW508" i="2"/>
  <c r="BB508" i="2" s="1"/>
  <c r="AZ508" i="2"/>
  <c r="BE508" i="2"/>
  <c r="BF508" i="2" s="1"/>
  <c r="BG508" i="2"/>
  <c r="BH508" i="2"/>
  <c r="BL508" i="2"/>
  <c r="BM508" i="2"/>
  <c r="BN508" i="2"/>
  <c r="BO508" i="2"/>
  <c r="BQ508" i="2"/>
  <c r="S509" i="2"/>
  <c r="AE509" i="2"/>
  <c r="AL509" i="2"/>
  <c r="AN509" i="2"/>
  <c r="AO509" i="2"/>
  <c r="AP509" i="2"/>
  <c r="AW509" i="2"/>
  <c r="AZ509" i="2"/>
  <c r="BB509" i="2"/>
  <c r="BE509" i="2"/>
  <c r="BF509" i="2" s="1"/>
  <c r="BG509" i="2"/>
  <c r="BH509" i="2"/>
  <c r="BL509" i="2"/>
  <c r="BM509" i="2"/>
  <c r="BN509" i="2"/>
  <c r="BO509" i="2"/>
  <c r="BQ509" i="2"/>
  <c r="S510" i="2"/>
  <c r="AE510" i="2"/>
  <c r="AL510" i="2"/>
  <c r="AN510" i="2"/>
  <c r="AO510" i="2"/>
  <c r="AP510" i="2"/>
  <c r="AW510" i="2"/>
  <c r="AZ510" i="2"/>
  <c r="BE510" i="2"/>
  <c r="BF510" i="2" s="1"/>
  <c r="BG510" i="2"/>
  <c r="BH510" i="2"/>
  <c r="BL510" i="2"/>
  <c r="BM510" i="2"/>
  <c r="BN510" i="2"/>
  <c r="BO510" i="2"/>
  <c r="BQ510" i="2"/>
  <c r="S511" i="2"/>
  <c r="AE511" i="2"/>
  <c r="AL511" i="2"/>
  <c r="AN511" i="2"/>
  <c r="AO511" i="2"/>
  <c r="AP511" i="2"/>
  <c r="AW511" i="2"/>
  <c r="AZ511" i="2"/>
  <c r="BE511" i="2"/>
  <c r="BF511" i="2" s="1"/>
  <c r="BG511" i="2"/>
  <c r="BH511" i="2"/>
  <c r="BL511" i="2"/>
  <c r="BM511" i="2"/>
  <c r="BN511" i="2"/>
  <c r="BO511" i="2"/>
  <c r="S512" i="2"/>
  <c r="AE512" i="2"/>
  <c r="AL512" i="2"/>
  <c r="AN512" i="2"/>
  <c r="AO512" i="2"/>
  <c r="AP512" i="2"/>
  <c r="AW512" i="2"/>
  <c r="AZ512" i="2"/>
  <c r="BE512" i="2"/>
  <c r="BF512" i="2" s="1"/>
  <c r="BG512" i="2"/>
  <c r="BH512" i="2"/>
  <c r="BL512" i="2"/>
  <c r="BM512" i="2"/>
  <c r="BN512" i="2"/>
  <c r="BO512" i="2"/>
  <c r="BQ512" i="2"/>
  <c r="S513" i="2"/>
  <c r="AE513" i="2"/>
  <c r="AL513" i="2"/>
  <c r="AN513" i="2"/>
  <c r="AO513" i="2"/>
  <c r="AP513" i="2"/>
  <c r="AW513" i="2"/>
  <c r="BA513" i="2" s="1"/>
  <c r="AZ513" i="2"/>
  <c r="BE513" i="2"/>
  <c r="BF513" i="2" s="1"/>
  <c r="BG513" i="2"/>
  <c r="BH513" i="2"/>
  <c r="BL513" i="2"/>
  <c r="BM513" i="2"/>
  <c r="BN513" i="2"/>
  <c r="BO513" i="2"/>
  <c r="S514" i="2"/>
  <c r="AE514" i="2"/>
  <c r="AL514" i="2"/>
  <c r="AN514" i="2"/>
  <c r="AO514" i="2"/>
  <c r="AP514" i="2"/>
  <c r="AW514" i="2"/>
  <c r="AZ514" i="2"/>
  <c r="BE514" i="2"/>
  <c r="BF514" i="2" s="1"/>
  <c r="BG514" i="2"/>
  <c r="BH514" i="2"/>
  <c r="BL514" i="2"/>
  <c r="BM514" i="2"/>
  <c r="BN514" i="2"/>
  <c r="BO514" i="2"/>
  <c r="S515" i="2"/>
  <c r="AE515" i="2"/>
  <c r="AL515" i="2"/>
  <c r="AN515" i="2"/>
  <c r="AO515" i="2"/>
  <c r="AP515" i="2"/>
  <c r="AW515" i="2"/>
  <c r="AZ515" i="2"/>
  <c r="BE515" i="2"/>
  <c r="BF515" i="2" s="1"/>
  <c r="BG515" i="2"/>
  <c r="BH515" i="2"/>
  <c r="BL515" i="2"/>
  <c r="BM515" i="2"/>
  <c r="BN515" i="2"/>
  <c r="BO515" i="2"/>
  <c r="BQ515" i="2"/>
  <c r="S516" i="2"/>
  <c r="AE516" i="2"/>
  <c r="AL516" i="2"/>
  <c r="AN516" i="2"/>
  <c r="AO516" i="2"/>
  <c r="AP516" i="2"/>
  <c r="AW516" i="2"/>
  <c r="AZ516" i="2"/>
  <c r="BE516" i="2"/>
  <c r="BF516" i="2" s="1"/>
  <c r="BG516" i="2"/>
  <c r="BH516" i="2"/>
  <c r="BL516" i="2"/>
  <c r="BM516" i="2"/>
  <c r="BN516" i="2"/>
  <c r="BO516" i="2"/>
  <c r="BQ516" i="2"/>
  <c r="S517" i="2"/>
  <c r="AE517" i="2"/>
  <c r="AL517" i="2"/>
  <c r="AN517" i="2"/>
  <c r="AO517" i="2"/>
  <c r="AP517" i="2"/>
  <c r="AW517" i="2"/>
  <c r="AZ517" i="2"/>
  <c r="BE517" i="2"/>
  <c r="BF517" i="2" s="1"/>
  <c r="BG517" i="2"/>
  <c r="BH517" i="2"/>
  <c r="BL517" i="2"/>
  <c r="BM517" i="2"/>
  <c r="BN517" i="2"/>
  <c r="BO517" i="2"/>
  <c r="BQ517" i="2"/>
  <c r="S518" i="2"/>
  <c r="AE518" i="2"/>
  <c r="AL518" i="2"/>
  <c r="AN518" i="2"/>
  <c r="AM518" i="2" s="1"/>
  <c r="AO518" i="2"/>
  <c r="AP518" i="2"/>
  <c r="AW518" i="2"/>
  <c r="AZ518" i="2"/>
  <c r="BE518" i="2"/>
  <c r="BF518" i="2" s="1"/>
  <c r="BG518" i="2"/>
  <c r="BH518" i="2"/>
  <c r="BL518" i="2"/>
  <c r="BM518" i="2"/>
  <c r="BN518" i="2"/>
  <c r="BO518" i="2"/>
  <c r="BQ518" i="2"/>
  <c r="S519" i="2"/>
  <c r="AE519" i="2"/>
  <c r="AL519" i="2"/>
  <c r="AN519" i="2"/>
  <c r="AO519" i="2"/>
  <c r="AP519" i="2"/>
  <c r="AW519" i="2"/>
  <c r="AZ519" i="2"/>
  <c r="BE519" i="2"/>
  <c r="BF519" i="2" s="1"/>
  <c r="BG519" i="2"/>
  <c r="BH519" i="2"/>
  <c r="BL519" i="2"/>
  <c r="BM519" i="2"/>
  <c r="BN519" i="2"/>
  <c r="BO519" i="2"/>
  <c r="BQ519" i="2"/>
  <c r="S520" i="2"/>
  <c r="AE520" i="2"/>
  <c r="AL520" i="2"/>
  <c r="AN520" i="2"/>
  <c r="AO520" i="2"/>
  <c r="AP520" i="2"/>
  <c r="AW520" i="2"/>
  <c r="AZ520" i="2"/>
  <c r="BE520" i="2"/>
  <c r="BF520" i="2" s="1"/>
  <c r="BG520" i="2"/>
  <c r="BH520" i="2"/>
  <c r="BL520" i="2"/>
  <c r="BM520" i="2"/>
  <c r="BN520" i="2"/>
  <c r="BO520" i="2"/>
  <c r="BQ520" i="2"/>
  <c r="S521" i="2"/>
  <c r="AE521" i="2"/>
  <c r="AL521" i="2"/>
  <c r="AN521" i="2"/>
  <c r="AO521" i="2"/>
  <c r="AP521" i="2"/>
  <c r="AW521" i="2"/>
  <c r="AZ521" i="2"/>
  <c r="BE521" i="2"/>
  <c r="BF521" i="2" s="1"/>
  <c r="BG521" i="2"/>
  <c r="BH521" i="2"/>
  <c r="BL521" i="2"/>
  <c r="BM521" i="2"/>
  <c r="BN521" i="2"/>
  <c r="BO521" i="2"/>
  <c r="BQ521" i="2"/>
  <c r="S522" i="2"/>
  <c r="AE522" i="2"/>
  <c r="AL522" i="2"/>
  <c r="AN522" i="2"/>
  <c r="AO522" i="2"/>
  <c r="AM522" i="2" s="1"/>
  <c r="AP522" i="2"/>
  <c r="AW522" i="2"/>
  <c r="AZ522" i="2"/>
  <c r="BE522" i="2"/>
  <c r="BF522" i="2"/>
  <c r="BG522" i="2"/>
  <c r="BH522" i="2"/>
  <c r="BL522" i="2"/>
  <c r="BM522" i="2"/>
  <c r="BN522" i="2"/>
  <c r="BO522" i="2"/>
  <c r="BQ522" i="2"/>
  <c r="S523" i="2"/>
  <c r="AL523" i="2"/>
  <c r="AN523" i="2"/>
  <c r="AO523" i="2"/>
  <c r="AP523" i="2"/>
  <c r="AW523" i="2"/>
  <c r="AZ523" i="2"/>
  <c r="BE523" i="2"/>
  <c r="BF523" i="2"/>
  <c r="BG523" i="2"/>
  <c r="BH523" i="2"/>
  <c r="BL523" i="2"/>
  <c r="BM523" i="2"/>
  <c r="BN523" i="2"/>
  <c r="BO523" i="2"/>
  <c r="S524" i="2"/>
  <c r="AL524" i="2"/>
  <c r="AN524" i="2"/>
  <c r="AO524" i="2"/>
  <c r="AP524" i="2"/>
  <c r="AW524" i="2"/>
  <c r="AZ524" i="2"/>
  <c r="BE524" i="2"/>
  <c r="BF524" i="2" s="1"/>
  <c r="BG524" i="2"/>
  <c r="BH524" i="2"/>
  <c r="BL524" i="2"/>
  <c r="BM524" i="2"/>
  <c r="BN524" i="2"/>
  <c r="BO524" i="2"/>
  <c r="BQ524" i="2"/>
  <c r="S525" i="2"/>
  <c r="AL525" i="2"/>
  <c r="AN525" i="2"/>
  <c r="AO525" i="2"/>
  <c r="AM525" i="2" s="1"/>
  <c r="AP525" i="2"/>
  <c r="AW525" i="2"/>
  <c r="AZ525" i="2"/>
  <c r="BE525" i="2"/>
  <c r="BF525" i="2" s="1"/>
  <c r="BG525" i="2"/>
  <c r="BH525" i="2"/>
  <c r="BL525" i="2"/>
  <c r="BM525" i="2"/>
  <c r="BN525" i="2"/>
  <c r="BO525" i="2"/>
  <c r="S526" i="2"/>
  <c r="AL526" i="2"/>
  <c r="AN526" i="2"/>
  <c r="AO526" i="2"/>
  <c r="AP526" i="2"/>
  <c r="AW526" i="2"/>
  <c r="AZ526" i="2"/>
  <c r="BE526" i="2"/>
  <c r="BF526" i="2" s="1"/>
  <c r="BG526" i="2"/>
  <c r="BH526" i="2"/>
  <c r="BL526" i="2"/>
  <c r="BM526" i="2"/>
  <c r="BN526" i="2"/>
  <c r="BO526" i="2"/>
  <c r="S527" i="2"/>
  <c r="AL527" i="2"/>
  <c r="AN527" i="2"/>
  <c r="AM527" i="2" s="1"/>
  <c r="AO527" i="2"/>
  <c r="AP527" i="2"/>
  <c r="AW527" i="2"/>
  <c r="AZ527" i="2"/>
  <c r="BE527" i="2"/>
  <c r="BF527" i="2" s="1"/>
  <c r="BG527" i="2"/>
  <c r="BH527" i="2"/>
  <c r="BL527" i="2"/>
  <c r="BM527" i="2"/>
  <c r="BN527" i="2"/>
  <c r="BO527" i="2"/>
  <c r="BQ527" i="2"/>
  <c r="S528" i="2"/>
  <c r="AL528" i="2"/>
  <c r="AN528" i="2"/>
  <c r="AO528" i="2"/>
  <c r="AP528" i="2"/>
  <c r="AW528" i="2"/>
  <c r="AZ528" i="2"/>
  <c r="BE528" i="2"/>
  <c r="BF528" i="2" s="1"/>
  <c r="BG528" i="2"/>
  <c r="BH528" i="2"/>
  <c r="BL528" i="2"/>
  <c r="BM528" i="2"/>
  <c r="BN528" i="2"/>
  <c r="BO528" i="2"/>
  <c r="S529" i="2"/>
  <c r="AE529" i="2"/>
  <c r="AL529" i="2"/>
  <c r="AN529" i="2"/>
  <c r="AO529" i="2"/>
  <c r="AP529" i="2"/>
  <c r="AW529" i="2"/>
  <c r="AZ529" i="2"/>
  <c r="BE529" i="2"/>
  <c r="BF529" i="2" s="1"/>
  <c r="BG529" i="2"/>
  <c r="BH529" i="2"/>
  <c r="BL529" i="2"/>
  <c r="BM529" i="2"/>
  <c r="BN529" i="2"/>
  <c r="BO529" i="2"/>
  <c r="BQ529" i="2"/>
  <c r="S530" i="2"/>
  <c r="AL530" i="2"/>
  <c r="BB530" i="2" s="1"/>
  <c r="AN530" i="2"/>
  <c r="AO530" i="2"/>
  <c r="AM530" i="2" s="1"/>
  <c r="AP530" i="2"/>
  <c r="AW530" i="2"/>
  <c r="AZ530" i="2"/>
  <c r="BE530" i="2"/>
  <c r="BF530" i="2"/>
  <c r="BG530" i="2"/>
  <c r="BH530" i="2"/>
  <c r="BL530" i="2"/>
  <c r="BM530" i="2"/>
  <c r="BN530" i="2"/>
  <c r="BO530" i="2"/>
  <c r="S531" i="2"/>
  <c r="AL531" i="2"/>
  <c r="AN531" i="2"/>
  <c r="AO531" i="2"/>
  <c r="AP531" i="2"/>
  <c r="AW531" i="2"/>
  <c r="AZ531" i="2"/>
  <c r="BE531" i="2"/>
  <c r="BF531" i="2" s="1"/>
  <c r="BG531" i="2"/>
  <c r="BH531" i="2"/>
  <c r="BL531" i="2"/>
  <c r="BM531" i="2"/>
  <c r="BN531" i="2"/>
  <c r="BO531" i="2"/>
  <c r="S532" i="2"/>
  <c r="AL532" i="2"/>
  <c r="AN532" i="2"/>
  <c r="AO532" i="2"/>
  <c r="AP532" i="2"/>
  <c r="AW532" i="2"/>
  <c r="AZ532" i="2"/>
  <c r="BE532" i="2"/>
  <c r="BF532" i="2" s="1"/>
  <c r="BG532" i="2"/>
  <c r="BH532" i="2"/>
  <c r="BL532" i="2"/>
  <c r="BM532" i="2"/>
  <c r="BN532" i="2"/>
  <c r="BO532" i="2"/>
  <c r="S533" i="2"/>
  <c r="AL533" i="2"/>
  <c r="AN533" i="2"/>
  <c r="AO533" i="2"/>
  <c r="AP533" i="2"/>
  <c r="AW533" i="2"/>
  <c r="AZ533" i="2"/>
  <c r="BE533" i="2"/>
  <c r="BF533" i="2"/>
  <c r="BG533" i="2"/>
  <c r="BH533" i="2"/>
  <c r="BL533" i="2"/>
  <c r="BM533" i="2"/>
  <c r="BN533" i="2"/>
  <c r="BO533" i="2"/>
  <c r="S534" i="2"/>
  <c r="AL534" i="2"/>
  <c r="AN534" i="2"/>
  <c r="AO534" i="2"/>
  <c r="AP534" i="2"/>
  <c r="AW534" i="2"/>
  <c r="AZ534" i="2"/>
  <c r="BE534" i="2"/>
  <c r="BF534" i="2"/>
  <c r="BG534" i="2"/>
  <c r="BH534" i="2"/>
  <c r="BL534" i="2"/>
  <c r="BM534" i="2"/>
  <c r="BN534" i="2"/>
  <c r="BO534" i="2"/>
  <c r="S535" i="2"/>
  <c r="AL535" i="2"/>
  <c r="AN535" i="2"/>
  <c r="AO535" i="2"/>
  <c r="AP535" i="2"/>
  <c r="AW535" i="2"/>
  <c r="AZ535" i="2"/>
  <c r="BE535" i="2"/>
  <c r="BF535" i="2"/>
  <c r="BG535" i="2"/>
  <c r="BH535" i="2"/>
  <c r="BL535" i="2"/>
  <c r="BM535" i="2"/>
  <c r="BN535" i="2"/>
  <c r="BO535" i="2"/>
  <c r="S536" i="2"/>
  <c r="AL536" i="2"/>
  <c r="AN536" i="2"/>
  <c r="AO536" i="2"/>
  <c r="AP536" i="2"/>
  <c r="AW536" i="2"/>
  <c r="AZ536" i="2"/>
  <c r="BE536" i="2"/>
  <c r="BF536" i="2" s="1"/>
  <c r="BG536" i="2"/>
  <c r="BH536" i="2"/>
  <c r="BL536" i="2"/>
  <c r="BM536" i="2"/>
  <c r="BN536" i="2"/>
  <c r="BO536" i="2"/>
  <c r="S537" i="2"/>
  <c r="AL537" i="2"/>
  <c r="AN537" i="2"/>
  <c r="AM537" i="2" s="1"/>
  <c r="AO537" i="2"/>
  <c r="AP537" i="2"/>
  <c r="AW537" i="2"/>
  <c r="AZ537" i="2"/>
  <c r="BE537" i="2"/>
  <c r="BF537" i="2" s="1"/>
  <c r="BG537" i="2"/>
  <c r="BH537" i="2"/>
  <c r="BL537" i="2"/>
  <c r="BM537" i="2"/>
  <c r="BN537" i="2"/>
  <c r="BO537" i="2"/>
  <c r="S538" i="2"/>
  <c r="AL538" i="2"/>
  <c r="AN538" i="2"/>
  <c r="AO538" i="2"/>
  <c r="AP538" i="2"/>
  <c r="AW538" i="2"/>
  <c r="AZ538" i="2"/>
  <c r="BE538" i="2"/>
  <c r="BF538" i="2"/>
  <c r="BG538" i="2"/>
  <c r="BH538" i="2"/>
  <c r="BL538" i="2"/>
  <c r="BM538" i="2"/>
  <c r="BN538" i="2"/>
  <c r="BO538" i="2"/>
  <c r="S539" i="2"/>
  <c r="AL539" i="2"/>
  <c r="AN539" i="2"/>
  <c r="AO539" i="2"/>
  <c r="AP539" i="2"/>
  <c r="AW539" i="2"/>
  <c r="AZ539" i="2"/>
  <c r="BE539" i="2"/>
  <c r="BF539" i="2"/>
  <c r="BG539" i="2"/>
  <c r="BH539" i="2"/>
  <c r="BL539" i="2"/>
  <c r="BM539" i="2"/>
  <c r="BN539" i="2"/>
  <c r="BO539" i="2"/>
  <c r="S540" i="2"/>
  <c r="AL540" i="2"/>
  <c r="AN540" i="2"/>
  <c r="AO540" i="2"/>
  <c r="AP540" i="2"/>
  <c r="AW540" i="2"/>
  <c r="AZ540" i="2"/>
  <c r="BE540" i="2"/>
  <c r="BF540" i="2"/>
  <c r="BG540" i="2"/>
  <c r="BH540" i="2"/>
  <c r="BL540" i="2"/>
  <c r="BM540" i="2"/>
  <c r="BN540" i="2"/>
  <c r="BO540" i="2"/>
  <c r="S541" i="2"/>
  <c r="AL541" i="2"/>
  <c r="AN541" i="2"/>
  <c r="AO541" i="2"/>
  <c r="AP541" i="2"/>
  <c r="AW541" i="2"/>
  <c r="AZ541" i="2"/>
  <c r="BE541" i="2"/>
  <c r="BF541" i="2"/>
  <c r="BG541" i="2"/>
  <c r="BH541" i="2"/>
  <c r="BL541" i="2"/>
  <c r="BM541" i="2"/>
  <c r="BN541" i="2"/>
  <c r="BO541" i="2"/>
  <c r="S542" i="2"/>
  <c r="AL542" i="2"/>
  <c r="BB542" i="2" s="1"/>
  <c r="AN542" i="2"/>
  <c r="AO542" i="2"/>
  <c r="AP542" i="2"/>
  <c r="AW542" i="2"/>
  <c r="AZ542" i="2"/>
  <c r="BE542" i="2"/>
  <c r="BF542" i="2"/>
  <c r="BG542" i="2"/>
  <c r="BH542" i="2"/>
  <c r="BL542" i="2"/>
  <c r="BM542" i="2"/>
  <c r="BN542" i="2"/>
  <c r="BO542" i="2"/>
  <c r="S543" i="2"/>
  <c r="AL543" i="2"/>
  <c r="AN543" i="2"/>
  <c r="AO543" i="2"/>
  <c r="AP543" i="2"/>
  <c r="AW543" i="2"/>
  <c r="AZ543" i="2"/>
  <c r="BE543" i="2"/>
  <c r="BF543" i="2"/>
  <c r="BG543" i="2"/>
  <c r="BH543" i="2"/>
  <c r="BL543" i="2"/>
  <c r="BM543" i="2"/>
  <c r="BN543" i="2"/>
  <c r="BO543" i="2"/>
  <c r="S544" i="2"/>
  <c r="AL544" i="2"/>
  <c r="AN544" i="2"/>
  <c r="AO544" i="2"/>
  <c r="AM544" i="2" s="1"/>
  <c r="AP544" i="2"/>
  <c r="AW544" i="2"/>
  <c r="AZ544" i="2"/>
  <c r="BE544" i="2"/>
  <c r="BF544" i="2"/>
  <c r="BG544" i="2"/>
  <c r="BH544" i="2"/>
  <c r="BL544" i="2"/>
  <c r="BM544" i="2"/>
  <c r="BN544" i="2"/>
  <c r="BO544" i="2"/>
  <c r="S545" i="2"/>
  <c r="AL545" i="2"/>
  <c r="BB545" i="2" s="1"/>
  <c r="AN545" i="2"/>
  <c r="AM545" i="2" s="1"/>
  <c r="AO545" i="2"/>
  <c r="AP545" i="2"/>
  <c r="AW545" i="2"/>
  <c r="AZ545" i="2"/>
  <c r="BE545" i="2"/>
  <c r="BF545" i="2"/>
  <c r="BG545" i="2"/>
  <c r="BH545" i="2"/>
  <c r="BL545" i="2"/>
  <c r="BM545" i="2"/>
  <c r="BN545" i="2"/>
  <c r="BO545" i="2"/>
  <c r="S546" i="2"/>
  <c r="AL546" i="2"/>
  <c r="BA546" i="2" s="1"/>
  <c r="AN546" i="2"/>
  <c r="AO546" i="2"/>
  <c r="AP546" i="2"/>
  <c r="AW546" i="2"/>
  <c r="AZ546" i="2"/>
  <c r="BE546" i="2"/>
  <c r="BF546" i="2"/>
  <c r="BG546" i="2"/>
  <c r="BH546" i="2"/>
  <c r="BL546" i="2"/>
  <c r="BM546" i="2"/>
  <c r="BN546" i="2"/>
  <c r="BO546" i="2"/>
  <c r="S547" i="2"/>
  <c r="AL547" i="2"/>
  <c r="AN547" i="2"/>
  <c r="AO547" i="2"/>
  <c r="AP547" i="2"/>
  <c r="AW547" i="2"/>
  <c r="AZ547" i="2"/>
  <c r="BE547" i="2"/>
  <c r="BF547" i="2"/>
  <c r="BG547" i="2"/>
  <c r="BH547" i="2"/>
  <c r="BL547" i="2"/>
  <c r="BM547" i="2"/>
  <c r="BN547" i="2"/>
  <c r="BO547" i="2"/>
  <c r="S548" i="2"/>
  <c r="AL548" i="2"/>
  <c r="AN548" i="2"/>
  <c r="AO548" i="2"/>
  <c r="AP548" i="2"/>
  <c r="AW548" i="2"/>
  <c r="AZ548" i="2"/>
  <c r="BE548" i="2"/>
  <c r="BF548" i="2"/>
  <c r="BG548" i="2"/>
  <c r="BH548" i="2"/>
  <c r="BL548" i="2"/>
  <c r="BM548" i="2"/>
  <c r="BN548" i="2"/>
  <c r="BO548" i="2"/>
  <c r="S549" i="2"/>
  <c r="AL549" i="2"/>
  <c r="AN549" i="2"/>
  <c r="AO549" i="2"/>
  <c r="AP549" i="2"/>
  <c r="AW549" i="2"/>
  <c r="AZ549" i="2"/>
  <c r="BE549" i="2"/>
  <c r="BF549" i="2"/>
  <c r="BG549" i="2"/>
  <c r="BH549" i="2"/>
  <c r="BL549" i="2"/>
  <c r="BM549" i="2"/>
  <c r="BN549" i="2"/>
  <c r="BO549" i="2"/>
  <c r="S550" i="2"/>
  <c r="AL550" i="2"/>
  <c r="AN550" i="2"/>
  <c r="AO550" i="2"/>
  <c r="AP550" i="2"/>
  <c r="AW550" i="2"/>
  <c r="AZ550" i="2"/>
  <c r="BE550" i="2"/>
  <c r="BF550" i="2"/>
  <c r="BG550" i="2"/>
  <c r="BH550" i="2"/>
  <c r="BL550" i="2"/>
  <c r="BM550" i="2"/>
  <c r="BN550" i="2"/>
  <c r="BO550" i="2"/>
  <c r="S551" i="2"/>
  <c r="AL551" i="2"/>
  <c r="AN551" i="2"/>
  <c r="AO551" i="2"/>
  <c r="AM551" i="2" s="1"/>
  <c r="BP551" i="2" s="1"/>
  <c r="AP551" i="2"/>
  <c r="AW551" i="2"/>
  <c r="AZ551" i="2"/>
  <c r="BE551" i="2"/>
  <c r="BF551" i="2"/>
  <c r="BG551" i="2"/>
  <c r="BH551" i="2"/>
  <c r="BL551" i="2"/>
  <c r="BM551" i="2"/>
  <c r="BN551" i="2"/>
  <c r="BO551" i="2"/>
  <c r="S552" i="2"/>
  <c r="AL552" i="2"/>
  <c r="AN552" i="2"/>
  <c r="AO552" i="2"/>
  <c r="AP552" i="2"/>
  <c r="AW552" i="2"/>
  <c r="AZ552" i="2"/>
  <c r="BE552" i="2"/>
  <c r="BF552" i="2"/>
  <c r="BG552" i="2"/>
  <c r="BH552" i="2"/>
  <c r="BL552" i="2"/>
  <c r="BM552" i="2"/>
  <c r="BN552" i="2"/>
  <c r="BO552" i="2"/>
  <c r="S553" i="2"/>
  <c r="AL553" i="2"/>
  <c r="AN553" i="2"/>
  <c r="AO553" i="2"/>
  <c r="AP553" i="2"/>
  <c r="AW553" i="2"/>
  <c r="AZ553" i="2"/>
  <c r="BE553" i="2"/>
  <c r="BF553" i="2"/>
  <c r="BG553" i="2"/>
  <c r="BH553" i="2"/>
  <c r="BL553" i="2"/>
  <c r="BM553" i="2"/>
  <c r="BN553" i="2"/>
  <c r="BO553" i="2"/>
  <c r="S554" i="2"/>
  <c r="AL554" i="2"/>
  <c r="AN554" i="2"/>
  <c r="AO554" i="2"/>
  <c r="AP554" i="2"/>
  <c r="AW554" i="2"/>
  <c r="AZ554" i="2"/>
  <c r="BE554" i="2"/>
  <c r="BF554" i="2"/>
  <c r="BG554" i="2"/>
  <c r="BH554" i="2"/>
  <c r="BL554" i="2"/>
  <c r="BM554" i="2"/>
  <c r="BN554" i="2"/>
  <c r="BO554" i="2"/>
  <c r="S555" i="2"/>
  <c r="AL555" i="2"/>
  <c r="AN555" i="2"/>
  <c r="AO555" i="2"/>
  <c r="AP555" i="2"/>
  <c r="AW555" i="2"/>
  <c r="AZ555" i="2"/>
  <c r="BE555" i="2"/>
  <c r="BF555" i="2"/>
  <c r="BG555" i="2"/>
  <c r="BH555" i="2"/>
  <c r="BL555" i="2"/>
  <c r="BM555" i="2"/>
  <c r="BN555" i="2"/>
  <c r="BO555" i="2"/>
  <c r="S556" i="2"/>
  <c r="AL556" i="2"/>
  <c r="AN556" i="2"/>
  <c r="AO556" i="2"/>
  <c r="AP556" i="2"/>
  <c r="AW556" i="2"/>
  <c r="AZ556" i="2"/>
  <c r="BE556" i="2"/>
  <c r="BF556" i="2"/>
  <c r="BG556" i="2"/>
  <c r="BH556" i="2"/>
  <c r="BL556" i="2"/>
  <c r="BM556" i="2"/>
  <c r="BN556" i="2"/>
  <c r="BO556" i="2"/>
  <c r="S557" i="2"/>
  <c r="AL557" i="2"/>
  <c r="AN557" i="2"/>
  <c r="AO557" i="2"/>
  <c r="AP557" i="2"/>
  <c r="AW557" i="2"/>
  <c r="AZ557" i="2"/>
  <c r="BE557" i="2"/>
  <c r="BF557" i="2"/>
  <c r="BG557" i="2"/>
  <c r="BH557" i="2"/>
  <c r="BL557" i="2"/>
  <c r="BM557" i="2"/>
  <c r="BN557" i="2"/>
  <c r="BO557" i="2"/>
  <c r="S558" i="2"/>
  <c r="AL558" i="2"/>
  <c r="AN558" i="2"/>
  <c r="AO558" i="2"/>
  <c r="AP558" i="2"/>
  <c r="AW558" i="2"/>
  <c r="AZ558" i="2"/>
  <c r="BE558" i="2"/>
  <c r="BF558" i="2"/>
  <c r="BG558" i="2"/>
  <c r="BH558" i="2"/>
  <c r="BL558" i="2"/>
  <c r="BM558" i="2"/>
  <c r="BN558" i="2"/>
  <c r="BO558" i="2"/>
  <c r="S559" i="2"/>
  <c r="AL559" i="2"/>
  <c r="AN559" i="2"/>
  <c r="AO559" i="2"/>
  <c r="AP559" i="2"/>
  <c r="AW559" i="2"/>
  <c r="AZ559" i="2"/>
  <c r="BE559" i="2"/>
  <c r="BF559" i="2"/>
  <c r="BG559" i="2"/>
  <c r="BH559" i="2"/>
  <c r="BL559" i="2"/>
  <c r="BM559" i="2"/>
  <c r="BN559" i="2"/>
  <c r="BO559" i="2"/>
  <c r="S560" i="2"/>
  <c r="AL560" i="2"/>
  <c r="AN560" i="2"/>
  <c r="AO560" i="2"/>
  <c r="AP560" i="2"/>
  <c r="AW560" i="2"/>
  <c r="AZ560" i="2"/>
  <c r="BE560" i="2"/>
  <c r="BF560" i="2"/>
  <c r="BG560" i="2"/>
  <c r="BH560" i="2"/>
  <c r="BL560" i="2"/>
  <c r="BM560" i="2"/>
  <c r="BN560" i="2"/>
  <c r="BO560" i="2"/>
  <c r="S561" i="2"/>
  <c r="AL561" i="2"/>
  <c r="BA561" i="2" s="1"/>
  <c r="AN561" i="2"/>
  <c r="AO561" i="2"/>
  <c r="AP561" i="2"/>
  <c r="AW561" i="2"/>
  <c r="AZ561" i="2"/>
  <c r="BE561" i="2"/>
  <c r="BF561" i="2"/>
  <c r="BG561" i="2"/>
  <c r="BH561" i="2"/>
  <c r="BL561" i="2"/>
  <c r="BM561" i="2"/>
  <c r="BN561" i="2"/>
  <c r="BO561" i="2"/>
  <c r="S562" i="2"/>
  <c r="AL562" i="2"/>
  <c r="AN562" i="2"/>
  <c r="AO562" i="2"/>
  <c r="AP562" i="2"/>
  <c r="AW562" i="2"/>
  <c r="AZ562" i="2"/>
  <c r="BE562" i="2"/>
  <c r="BF562" i="2"/>
  <c r="BG562" i="2"/>
  <c r="BH562" i="2"/>
  <c r="BL562" i="2"/>
  <c r="BM562" i="2"/>
  <c r="BN562" i="2"/>
  <c r="BO562" i="2"/>
  <c r="S563" i="2"/>
  <c r="AL563" i="2"/>
  <c r="AN563" i="2"/>
  <c r="AO563" i="2"/>
  <c r="AP563" i="2"/>
  <c r="AW563" i="2"/>
  <c r="AZ563" i="2"/>
  <c r="BE563" i="2"/>
  <c r="BF563" i="2"/>
  <c r="BG563" i="2"/>
  <c r="BH563" i="2"/>
  <c r="BL563" i="2"/>
  <c r="BM563" i="2"/>
  <c r="BN563" i="2"/>
  <c r="BO563" i="2"/>
  <c r="S564" i="2"/>
  <c r="AL564" i="2"/>
  <c r="AN564" i="2"/>
  <c r="AO564" i="2"/>
  <c r="AP564" i="2"/>
  <c r="AW564" i="2"/>
  <c r="AZ564" i="2"/>
  <c r="BE564" i="2"/>
  <c r="BF564" i="2"/>
  <c r="BG564" i="2"/>
  <c r="BH564" i="2"/>
  <c r="BL564" i="2"/>
  <c r="BM564" i="2"/>
  <c r="BN564" i="2"/>
  <c r="BO564" i="2"/>
  <c r="S565" i="2"/>
  <c r="AL565" i="2"/>
  <c r="AN565" i="2"/>
  <c r="AM565" i="2" s="1"/>
  <c r="AO565" i="2"/>
  <c r="AP565" i="2"/>
  <c r="AW565" i="2"/>
  <c r="AZ565" i="2"/>
  <c r="BE565" i="2"/>
  <c r="BF565" i="2"/>
  <c r="BG565" i="2"/>
  <c r="BH565" i="2"/>
  <c r="BL565" i="2"/>
  <c r="BM565" i="2"/>
  <c r="BN565" i="2"/>
  <c r="BO565" i="2"/>
  <c r="S566" i="2"/>
  <c r="AL566" i="2"/>
  <c r="AN566" i="2"/>
  <c r="AM566" i="2" s="1"/>
  <c r="AO566" i="2"/>
  <c r="AP566" i="2"/>
  <c r="AW566" i="2"/>
  <c r="AZ566" i="2"/>
  <c r="BE566" i="2"/>
  <c r="BF566" i="2"/>
  <c r="BG566" i="2"/>
  <c r="BH566" i="2"/>
  <c r="BL566" i="2"/>
  <c r="BM566" i="2"/>
  <c r="BN566" i="2"/>
  <c r="BO566" i="2"/>
  <c r="S567" i="2"/>
  <c r="AL567" i="2"/>
  <c r="AN567" i="2"/>
  <c r="AO567" i="2"/>
  <c r="AP567" i="2"/>
  <c r="AW567" i="2"/>
  <c r="AZ567" i="2"/>
  <c r="BE567" i="2"/>
  <c r="BF567" i="2"/>
  <c r="BG567" i="2"/>
  <c r="BH567" i="2"/>
  <c r="BL567" i="2"/>
  <c r="BM567" i="2"/>
  <c r="BN567" i="2"/>
  <c r="BO567" i="2"/>
  <c r="S568" i="2"/>
  <c r="AL568" i="2"/>
  <c r="AN568" i="2"/>
  <c r="AO568" i="2"/>
  <c r="AP568" i="2"/>
  <c r="AW568" i="2"/>
  <c r="AZ568" i="2"/>
  <c r="BE568" i="2"/>
  <c r="BF568" i="2"/>
  <c r="BG568" i="2"/>
  <c r="BH568" i="2"/>
  <c r="BL568" i="2"/>
  <c r="BM568" i="2"/>
  <c r="BN568" i="2"/>
  <c r="BO568" i="2"/>
  <c r="S569" i="2"/>
  <c r="AL569" i="2"/>
  <c r="AN569" i="2"/>
  <c r="AO569" i="2"/>
  <c r="AP569" i="2"/>
  <c r="AW569" i="2"/>
  <c r="AZ569" i="2"/>
  <c r="BE569" i="2"/>
  <c r="BF569" i="2"/>
  <c r="BG569" i="2"/>
  <c r="BH569" i="2"/>
  <c r="BL569" i="2"/>
  <c r="BM569" i="2"/>
  <c r="BN569" i="2"/>
  <c r="BO569" i="2"/>
  <c r="S570" i="2"/>
  <c r="AL570" i="2"/>
  <c r="AN570" i="2"/>
  <c r="AO570" i="2"/>
  <c r="AP570" i="2"/>
  <c r="AW570" i="2"/>
  <c r="AZ570" i="2"/>
  <c r="BE570" i="2"/>
  <c r="BF570" i="2"/>
  <c r="BG570" i="2"/>
  <c r="BH570" i="2"/>
  <c r="BL570" i="2"/>
  <c r="BM570" i="2"/>
  <c r="BN570" i="2"/>
  <c r="BO570" i="2"/>
  <c r="S571" i="2"/>
  <c r="AL571" i="2"/>
  <c r="AN571" i="2"/>
  <c r="AO571" i="2"/>
  <c r="AP571" i="2"/>
  <c r="AW571" i="2"/>
  <c r="BA571" i="2" s="1"/>
  <c r="AZ571" i="2"/>
  <c r="BE571" i="2"/>
  <c r="BF571" i="2"/>
  <c r="BG571" i="2"/>
  <c r="BH571" i="2"/>
  <c r="BL571" i="2"/>
  <c r="BM571" i="2"/>
  <c r="BN571" i="2"/>
  <c r="BO571" i="2"/>
  <c r="S572" i="2"/>
  <c r="AL572" i="2"/>
  <c r="AN572" i="2"/>
  <c r="AO572" i="2"/>
  <c r="AP572" i="2"/>
  <c r="AW572" i="2"/>
  <c r="AZ572" i="2"/>
  <c r="BE572" i="2"/>
  <c r="BF572" i="2"/>
  <c r="BG572" i="2"/>
  <c r="BH572" i="2"/>
  <c r="BL572" i="2"/>
  <c r="BM572" i="2"/>
  <c r="BN572" i="2"/>
  <c r="BO572" i="2"/>
  <c r="S573" i="2"/>
  <c r="AL573" i="2"/>
  <c r="AN573" i="2"/>
  <c r="AM573" i="2" s="1"/>
  <c r="AO573" i="2"/>
  <c r="AP573" i="2"/>
  <c r="AW573" i="2"/>
  <c r="AZ573" i="2"/>
  <c r="BE573" i="2"/>
  <c r="BF573" i="2"/>
  <c r="BG573" i="2"/>
  <c r="BH573" i="2"/>
  <c r="BL573" i="2"/>
  <c r="BM573" i="2"/>
  <c r="BN573" i="2"/>
  <c r="BO573" i="2"/>
  <c r="S574" i="2"/>
  <c r="AL574" i="2"/>
  <c r="AN574" i="2"/>
  <c r="AO574" i="2"/>
  <c r="AP574" i="2"/>
  <c r="AW574" i="2"/>
  <c r="AZ574" i="2"/>
  <c r="BE574" i="2"/>
  <c r="BF574" i="2"/>
  <c r="BG574" i="2"/>
  <c r="BH574" i="2"/>
  <c r="BL574" i="2"/>
  <c r="BM574" i="2"/>
  <c r="BN574" i="2"/>
  <c r="BO574" i="2"/>
  <c r="S575" i="2"/>
  <c r="AL575" i="2"/>
  <c r="AN575" i="2"/>
  <c r="AM575" i="2" s="1"/>
  <c r="AO575" i="2"/>
  <c r="AP575" i="2"/>
  <c r="AW575" i="2"/>
  <c r="BA575" i="2" s="1"/>
  <c r="AZ575" i="2"/>
  <c r="BB575" i="2"/>
  <c r="BE575" i="2"/>
  <c r="BF575" i="2"/>
  <c r="BG575" i="2"/>
  <c r="BH575" i="2"/>
  <c r="BL575" i="2"/>
  <c r="BM575" i="2"/>
  <c r="BN575" i="2"/>
  <c r="BO575" i="2"/>
  <c r="S576" i="2"/>
  <c r="AL576" i="2"/>
  <c r="BA576" i="2" s="1"/>
  <c r="AN576" i="2"/>
  <c r="AO576" i="2"/>
  <c r="AM576" i="2" s="1"/>
  <c r="AP576" i="2"/>
  <c r="AW576" i="2"/>
  <c r="AZ576" i="2"/>
  <c r="BE576" i="2"/>
  <c r="BF576" i="2"/>
  <c r="BG576" i="2"/>
  <c r="BH576" i="2"/>
  <c r="BL576" i="2"/>
  <c r="BM576" i="2"/>
  <c r="BN576" i="2"/>
  <c r="BO576" i="2"/>
  <c r="S577" i="2"/>
  <c r="AL577" i="2"/>
  <c r="AN577" i="2"/>
  <c r="AO577" i="2"/>
  <c r="AP577" i="2"/>
  <c r="AW577" i="2"/>
  <c r="AZ577" i="2"/>
  <c r="BA577" i="2"/>
  <c r="BE577" i="2"/>
  <c r="BF577" i="2"/>
  <c r="BG577" i="2"/>
  <c r="BH577" i="2"/>
  <c r="BL577" i="2"/>
  <c r="BM577" i="2"/>
  <c r="BN577" i="2"/>
  <c r="BO577" i="2"/>
  <c r="S578" i="2"/>
  <c r="AL578" i="2"/>
  <c r="AN578" i="2"/>
  <c r="AO578" i="2"/>
  <c r="AP578" i="2"/>
  <c r="AW578" i="2"/>
  <c r="AZ578" i="2"/>
  <c r="BE578" i="2"/>
  <c r="BF578" i="2"/>
  <c r="BG578" i="2"/>
  <c r="BH578" i="2"/>
  <c r="BL578" i="2"/>
  <c r="BM578" i="2"/>
  <c r="BN578" i="2"/>
  <c r="BO578" i="2"/>
  <c r="S579" i="2"/>
  <c r="AL579" i="2"/>
  <c r="AN579" i="2"/>
  <c r="AO579" i="2"/>
  <c r="AP579" i="2"/>
  <c r="AW579" i="2"/>
  <c r="AZ579" i="2"/>
  <c r="BE579" i="2"/>
  <c r="BF579" i="2"/>
  <c r="BG579" i="2"/>
  <c r="BH579" i="2"/>
  <c r="BL579" i="2"/>
  <c r="BM579" i="2"/>
  <c r="BN579" i="2"/>
  <c r="BO579" i="2"/>
  <c r="S580" i="2"/>
  <c r="AL580" i="2"/>
  <c r="AN580" i="2"/>
  <c r="AM580" i="2" s="1"/>
  <c r="AO580" i="2"/>
  <c r="AP580" i="2"/>
  <c r="AW580" i="2"/>
  <c r="AZ580" i="2"/>
  <c r="BE580" i="2"/>
  <c r="BF580" i="2"/>
  <c r="BG580" i="2"/>
  <c r="BH580" i="2"/>
  <c r="BL580" i="2"/>
  <c r="BM580" i="2"/>
  <c r="BN580" i="2"/>
  <c r="BO580" i="2"/>
  <c r="S581" i="2"/>
  <c r="AL581" i="2"/>
  <c r="AN581" i="2"/>
  <c r="AO581" i="2"/>
  <c r="AP581" i="2"/>
  <c r="AW581" i="2"/>
  <c r="AZ581" i="2"/>
  <c r="BE581" i="2"/>
  <c r="BF581" i="2"/>
  <c r="BG581" i="2"/>
  <c r="BH581" i="2"/>
  <c r="BL581" i="2"/>
  <c r="BM581" i="2"/>
  <c r="BN581" i="2"/>
  <c r="BO581" i="2"/>
  <c r="S582" i="2"/>
  <c r="AL582" i="2"/>
  <c r="AN582" i="2"/>
  <c r="AM582" i="2" s="1"/>
  <c r="AO582" i="2"/>
  <c r="AP582" i="2"/>
  <c r="AW582" i="2"/>
  <c r="AZ582" i="2"/>
  <c r="BE582" i="2"/>
  <c r="BF582" i="2"/>
  <c r="BG582" i="2"/>
  <c r="BH582" i="2"/>
  <c r="BL582" i="2"/>
  <c r="BM582" i="2"/>
  <c r="BN582" i="2"/>
  <c r="BO582" i="2"/>
  <c r="S583" i="2"/>
  <c r="AL583" i="2"/>
  <c r="AN583" i="2"/>
  <c r="AO583" i="2"/>
  <c r="AP583" i="2"/>
  <c r="AW583" i="2"/>
  <c r="AZ583" i="2"/>
  <c r="BE583" i="2"/>
  <c r="BF583" i="2"/>
  <c r="BG583" i="2"/>
  <c r="BH583" i="2"/>
  <c r="BL583" i="2"/>
  <c r="BM583" i="2"/>
  <c r="BN583" i="2"/>
  <c r="BO583" i="2"/>
  <c r="S584" i="2"/>
  <c r="AL584" i="2"/>
  <c r="AN584" i="2"/>
  <c r="AO584" i="2"/>
  <c r="AM584" i="2" s="1"/>
  <c r="AQ584" i="2" s="1"/>
  <c r="AP584" i="2"/>
  <c r="AW584" i="2"/>
  <c r="AZ584" i="2"/>
  <c r="BE584" i="2"/>
  <c r="BF584" i="2"/>
  <c r="BG584" i="2"/>
  <c r="BH584" i="2"/>
  <c r="BL584" i="2"/>
  <c r="BM584" i="2"/>
  <c r="BN584" i="2"/>
  <c r="BO584" i="2"/>
  <c r="S585" i="2"/>
  <c r="AL585" i="2"/>
  <c r="AN585" i="2"/>
  <c r="AO585" i="2"/>
  <c r="AP585" i="2"/>
  <c r="AW585" i="2"/>
  <c r="BB585" i="2" s="1"/>
  <c r="AZ585" i="2"/>
  <c r="BE585" i="2"/>
  <c r="BF585" i="2"/>
  <c r="BG585" i="2"/>
  <c r="BH585" i="2"/>
  <c r="BL585" i="2"/>
  <c r="BM585" i="2"/>
  <c r="BN585" i="2"/>
  <c r="BO585" i="2"/>
  <c r="S586" i="2"/>
  <c r="AE586" i="2"/>
  <c r="AL586" i="2"/>
  <c r="AN586" i="2"/>
  <c r="AO586" i="2"/>
  <c r="AP586" i="2"/>
  <c r="AW586" i="2"/>
  <c r="AZ586" i="2"/>
  <c r="BE586" i="2"/>
  <c r="BF586" i="2"/>
  <c r="BG586" i="2"/>
  <c r="BH586" i="2"/>
  <c r="BJ586" i="2"/>
  <c r="BL586" i="2"/>
  <c r="BM586" i="2"/>
  <c r="BN586" i="2"/>
  <c r="BO586" i="2"/>
  <c r="S587" i="2"/>
  <c r="AL587" i="2"/>
  <c r="BA587" i="2" s="1"/>
  <c r="AN587" i="2"/>
  <c r="AO587" i="2"/>
  <c r="AM587" i="2" s="1"/>
  <c r="BP587" i="2" s="1"/>
  <c r="AP587" i="2"/>
  <c r="AW587" i="2"/>
  <c r="AZ587" i="2"/>
  <c r="BB587" i="2"/>
  <c r="BE587" i="2"/>
  <c r="BF587" i="2"/>
  <c r="BG587" i="2"/>
  <c r="BH587" i="2"/>
  <c r="BJ587" i="2"/>
  <c r="BL587" i="2"/>
  <c r="BM587" i="2"/>
  <c r="BN587" i="2"/>
  <c r="BO587" i="2"/>
  <c r="S588" i="2"/>
  <c r="AE588" i="2"/>
  <c r="AL588" i="2"/>
  <c r="AN588" i="2"/>
  <c r="AM588" i="2" s="1"/>
  <c r="AO588" i="2"/>
  <c r="AP588" i="2"/>
  <c r="AW588" i="2"/>
  <c r="AZ588" i="2"/>
  <c r="BE588" i="2"/>
  <c r="BF588" i="2"/>
  <c r="BG588" i="2"/>
  <c r="BH588" i="2"/>
  <c r="BJ588" i="2"/>
  <c r="BL588" i="2"/>
  <c r="BM588" i="2"/>
  <c r="BN588" i="2"/>
  <c r="BO588" i="2"/>
  <c r="S589" i="2"/>
  <c r="AE589" i="2"/>
  <c r="AL589" i="2"/>
  <c r="AN589" i="2"/>
  <c r="AO589" i="2"/>
  <c r="AP589" i="2"/>
  <c r="AW589" i="2"/>
  <c r="AZ589" i="2"/>
  <c r="BE589" i="2"/>
  <c r="BF589" i="2"/>
  <c r="BG589" i="2"/>
  <c r="BH589" i="2"/>
  <c r="BJ589" i="2"/>
  <c r="BL589" i="2"/>
  <c r="BM589" i="2"/>
  <c r="BN589" i="2"/>
  <c r="BO589" i="2"/>
  <c r="S590" i="2"/>
  <c r="AE590" i="2"/>
  <c r="AL590" i="2"/>
  <c r="AN590" i="2"/>
  <c r="AM590" i="2" s="1"/>
  <c r="AO590" i="2"/>
  <c r="AP590" i="2"/>
  <c r="AW590" i="2"/>
  <c r="AZ590" i="2"/>
  <c r="BE590" i="2"/>
  <c r="BF590" i="2"/>
  <c r="BG590" i="2"/>
  <c r="BH590" i="2"/>
  <c r="BJ590" i="2"/>
  <c r="BL590" i="2"/>
  <c r="BM590" i="2"/>
  <c r="BN590" i="2"/>
  <c r="BO590" i="2"/>
  <c r="S591" i="2"/>
  <c r="AE591" i="2"/>
  <c r="AL591" i="2"/>
  <c r="AN591" i="2"/>
  <c r="AO591" i="2"/>
  <c r="AP591" i="2"/>
  <c r="AW591" i="2"/>
  <c r="AZ591" i="2"/>
  <c r="BE591" i="2"/>
  <c r="BF591" i="2"/>
  <c r="BG591" i="2"/>
  <c r="BH591" i="2"/>
  <c r="BJ591" i="2"/>
  <c r="BL591" i="2"/>
  <c r="BM591" i="2"/>
  <c r="BN591" i="2"/>
  <c r="BO591" i="2"/>
  <c r="S592" i="2"/>
  <c r="AE592" i="2"/>
  <c r="AL592" i="2"/>
  <c r="AN592" i="2"/>
  <c r="AO592" i="2"/>
  <c r="AP592" i="2"/>
  <c r="AW592" i="2"/>
  <c r="AZ592" i="2"/>
  <c r="BE592" i="2"/>
  <c r="BF592" i="2"/>
  <c r="BG592" i="2"/>
  <c r="BH592" i="2"/>
  <c r="BJ592" i="2"/>
  <c r="BL592" i="2"/>
  <c r="BM592" i="2"/>
  <c r="BN592" i="2"/>
  <c r="BO592" i="2"/>
  <c r="S593" i="2"/>
  <c r="AE593" i="2"/>
  <c r="AL593" i="2"/>
  <c r="AN593" i="2"/>
  <c r="AO593" i="2"/>
  <c r="AP593" i="2"/>
  <c r="AW593" i="2"/>
  <c r="AZ593" i="2"/>
  <c r="BE593" i="2"/>
  <c r="BF593" i="2"/>
  <c r="BG593" i="2"/>
  <c r="BH593" i="2"/>
  <c r="BJ593" i="2"/>
  <c r="BL593" i="2"/>
  <c r="BM593" i="2"/>
  <c r="BN593" i="2"/>
  <c r="BO593" i="2"/>
  <c r="S594" i="2"/>
  <c r="AE594" i="2"/>
  <c r="AL594" i="2"/>
  <c r="AN594" i="2"/>
  <c r="AO594" i="2"/>
  <c r="AP594" i="2"/>
  <c r="AW594" i="2"/>
  <c r="AZ594" i="2"/>
  <c r="BE594" i="2"/>
  <c r="BF594" i="2"/>
  <c r="BG594" i="2"/>
  <c r="BH594" i="2"/>
  <c r="BJ594" i="2"/>
  <c r="BL594" i="2"/>
  <c r="BM594" i="2"/>
  <c r="BN594" i="2"/>
  <c r="BO594" i="2"/>
  <c r="S595" i="2"/>
  <c r="AE595" i="2"/>
  <c r="AL595" i="2"/>
  <c r="AN595" i="2"/>
  <c r="AO595" i="2"/>
  <c r="AP595" i="2"/>
  <c r="AW595" i="2"/>
  <c r="AZ595" i="2"/>
  <c r="BE595" i="2"/>
  <c r="BF595" i="2"/>
  <c r="BG595" i="2"/>
  <c r="BH595" i="2"/>
  <c r="BJ595" i="2"/>
  <c r="BL595" i="2"/>
  <c r="BM595" i="2"/>
  <c r="BN595" i="2"/>
  <c r="BO595" i="2"/>
  <c r="S596" i="2"/>
  <c r="AE596" i="2"/>
  <c r="AL596" i="2"/>
  <c r="AN596" i="2"/>
  <c r="AO596" i="2"/>
  <c r="AP596" i="2"/>
  <c r="AW596" i="2"/>
  <c r="AZ596" i="2"/>
  <c r="BA596" i="2"/>
  <c r="BE596" i="2"/>
  <c r="BF596" i="2"/>
  <c r="BG596" i="2"/>
  <c r="BH596" i="2"/>
  <c r="BJ596" i="2"/>
  <c r="BL596" i="2"/>
  <c r="BM596" i="2"/>
  <c r="BN596" i="2"/>
  <c r="BO596" i="2"/>
  <c r="S597" i="2"/>
  <c r="AE597" i="2"/>
  <c r="AL597" i="2"/>
  <c r="AN597" i="2"/>
  <c r="AO597" i="2"/>
  <c r="AP597" i="2"/>
  <c r="AW597" i="2"/>
  <c r="AZ597" i="2"/>
  <c r="BE597" i="2"/>
  <c r="BF597" i="2"/>
  <c r="BG597" i="2"/>
  <c r="BH597" i="2"/>
  <c r="BJ597" i="2"/>
  <c r="BL597" i="2"/>
  <c r="BM597" i="2"/>
  <c r="BN597" i="2"/>
  <c r="BO597" i="2"/>
  <c r="S598" i="2"/>
  <c r="AE598" i="2"/>
  <c r="AL598" i="2"/>
  <c r="AN598" i="2"/>
  <c r="AO598" i="2"/>
  <c r="AP598" i="2"/>
  <c r="AW598" i="2"/>
  <c r="AZ598" i="2"/>
  <c r="BE598" i="2"/>
  <c r="BF598" i="2"/>
  <c r="BG598" i="2"/>
  <c r="BH598" i="2"/>
  <c r="BJ598" i="2"/>
  <c r="BL598" i="2"/>
  <c r="BM598" i="2"/>
  <c r="BN598" i="2"/>
  <c r="BO598" i="2"/>
  <c r="S599" i="2"/>
  <c r="AE599" i="2"/>
  <c r="AL599" i="2"/>
  <c r="BA599" i="2" s="1"/>
  <c r="AN599" i="2"/>
  <c r="AO599" i="2"/>
  <c r="AP599" i="2"/>
  <c r="AW599" i="2"/>
  <c r="AZ599" i="2"/>
  <c r="BE599" i="2"/>
  <c r="BF599" i="2"/>
  <c r="BG599" i="2"/>
  <c r="BH599" i="2"/>
  <c r="BJ599" i="2"/>
  <c r="BL599" i="2"/>
  <c r="BM599" i="2"/>
  <c r="BN599" i="2"/>
  <c r="BO599" i="2"/>
  <c r="S600" i="2"/>
  <c r="AE600" i="2"/>
  <c r="AL600" i="2"/>
  <c r="BB600" i="2" s="1"/>
  <c r="AN600" i="2"/>
  <c r="AO600" i="2"/>
  <c r="AP600" i="2"/>
  <c r="AW600" i="2"/>
  <c r="AZ600" i="2"/>
  <c r="BE600" i="2"/>
  <c r="BF600" i="2"/>
  <c r="BG600" i="2"/>
  <c r="BH600" i="2"/>
  <c r="BJ600" i="2"/>
  <c r="BL600" i="2"/>
  <c r="BM600" i="2"/>
  <c r="BN600" i="2"/>
  <c r="BO600" i="2"/>
  <c r="S601" i="2"/>
  <c r="AE601" i="2"/>
  <c r="AL601" i="2"/>
  <c r="AN601" i="2"/>
  <c r="AO601" i="2"/>
  <c r="AP601" i="2"/>
  <c r="AW601" i="2"/>
  <c r="BA601" i="2" s="1"/>
  <c r="AZ601" i="2"/>
  <c r="BE601" i="2"/>
  <c r="BF601" i="2"/>
  <c r="BG601" i="2"/>
  <c r="BH601" i="2"/>
  <c r="BJ601" i="2"/>
  <c r="BL601" i="2"/>
  <c r="BM601" i="2"/>
  <c r="BN601" i="2"/>
  <c r="BO601" i="2"/>
  <c r="S602" i="2"/>
  <c r="AE602" i="2"/>
  <c r="AL602" i="2"/>
  <c r="AN602" i="2"/>
  <c r="AO602" i="2"/>
  <c r="AP602" i="2"/>
  <c r="AW602" i="2"/>
  <c r="AZ602" i="2"/>
  <c r="BE602" i="2"/>
  <c r="BF602" i="2"/>
  <c r="BG602" i="2"/>
  <c r="BH602" i="2"/>
  <c r="BJ602" i="2"/>
  <c r="BL602" i="2"/>
  <c r="BM602" i="2"/>
  <c r="BN602" i="2"/>
  <c r="BO602" i="2"/>
  <c r="S603" i="2"/>
  <c r="AE603" i="2"/>
  <c r="AL603" i="2"/>
  <c r="AM603" i="2"/>
  <c r="BP603" i="2" s="1"/>
  <c r="AN603" i="2"/>
  <c r="AO603" i="2"/>
  <c r="AP603" i="2"/>
  <c r="AW603" i="2"/>
  <c r="AZ603" i="2"/>
  <c r="BE603" i="2"/>
  <c r="BF603" i="2"/>
  <c r="BG603" i="2"/>
  <c r="BH603" i="2"/>
  <c r="BJ603" i="2"/>
  <c r="BL603" i="2"/>
  <c r="BM603" i="2"/>
  <c r="BN603" i="2"/>
  <c r="BO603" i="2"/>
  <c r="S604" i="2"/>
  <c r="AE604" i="2"/>
  <c r="AL604" i="2"/>
  <c r="AN604" i="2"/>
  <c r="AO604" i="2"/>
  <c r="AP604" i="2"/>
  <c r="AW604" i="2"/>
  <c r="AZ604" i="2"/>
  <c r="BE604" i="2"/>
  <c r="BF604" i="2"/>
  <c r="BG604" i="2"/>
  <c r="BH604" i="2"/>
  <c r="BJ604" i="2"/>
  <c r="BL604" i="2"/>
  <c r="BM604" i="2"/>
  <c r="BN604" i="2"/>
  <c r="BO604" i="2"/>
  <c r="S605" i="2"/>
  <c r="AE605" i="2"/>
  <c r="AL605" i="2"/>
  <c r="AN605" i="2"/>
  <c r="AM605" i="2" s="1"/>
  <c r="AO605" i="2"/>
  <c r="AP605" i="2"/>
  <c r="AW605" i="2"/>
  <c r="AZ605" i="2"/>
  <c r="BE605" i="2"/>
  <c r="BF605" i="2"/>
  <c r="BG605" i="2"/>
  <c r="BH605" i="2"/>
  <c r="BJ605" i="2"/>
  <c r="BL605" i="2"/>
  <c r="BM605" i="2"/>
  <c r="BN605" i="2"/>
  <c r="BO605" i="2"/>
  <c r="S606" i="2"/>
  <c r="AE606" i="2"/>
  <c r="AL606" i="2"/>
  <c r="AN606" i="2"/>
  <c r="AO606" i="2"/>
  <c r="AM606" i="2" s="1"/>
  <c r="AP606" i="2"/>
  <c r="AW606" i="2"/>
  <c r="AZ606" i="2"/>
  <c r="BE606" i="2"/>
  <c r="BF606" i="2"/>
  <c r="BG606" i="2"/>
  <c r="BH606" i="2"/>
  <c r="BJ606" i="2"/>
  <c r="BL606" i="2"/>
  <c r="BM606" i="2"/>
  <c r="BN606" i="2"/>
  <c r="BO606" i="2"/>
  <c r="S607" i="2"/>
  <c r="AE607" i="2"/>
  <c r="AL607" i="2"/>
  <c r="AN607" i="2"/>
  <c r="AO607" i="2"/>
  <c r="AP607" i="2"/>
  <c r="AW607" i="2"/>
  <c r="AZ607" i="2"/>
  <c r="BE607" i="2"/>
  <c r="BF607" i="2"/>
  <c r="BG607" i="2"/>
  <c r="BH607" i="2"/>
  <c r="BJ607" i="2"/>
  <c r="BL607" i="2"/>
  <c r="BM607" i="2"/>
  <c r="BN607" i="2"/>
  <c r="BO607" i="2"/>
  <c r="S608" i="2"/>
  <c r="AE608" i="2"/>
  <c r="AL608" i="2"/>
  <c r="AN608" i="2"/>
  <c r="AO608" i="2"/>
  <c r="AP608" i="2"/>
  <c r="AW608" i="2"/>
  <c r="AZ608" i="2"/>
  <c r="BE608" i="2"/>
  <c r="BF608" i="2"/>
  <c r="BG608" i="2"/>
  <c r="BH608" i="2"/>
  <c r="BJ608" i="2"/>
  <c r="BL608" i="2"/>
  <c r="BM608" i="2"/>
  <c r="BN608" i="2"/>
  <c r="BO608" i="2"/>
  <c r="S609" i="2"/>
  <c r="AL609" i="2"/>
  <c r="AN609" i="2"/>
  <c r="AO609" i="2"/>
  <c r="AP609" i="2"/>
  <c r="AS609" i="2"/>
  <c r="AT609" i="2"/>
  <c r="AW609" i="2"/>
  <c r="AZ609" i="2"/>
  <c r="BE609" i="2"/>
  <c r="BF609" i="2" s="1"/>
  <c r="BG609" i="2"/>
  <c r="BH609" i="2"/>
  <c r="BL609" i="2"/>
  <c r="BM609" i="2"/>
  <c r="BN609" i="2"/>
  <c r="BO609" i="2"/>
  <c r="S610" i="2"/>
  <c r="AL610" i="2"/>
  <c r="AN610" i="2"/>
  <c r="AO610" i="2"/>
  <c r="AP610" i="2"/>
  <c r="AW610" i="2"/>
  <c r="BA610" i="2" s="1"/>
  <c r="AZ610" i="2"/>
  <c r="BE610" i="2"/>
  <c r="BF610" i="2"/>
  <c r="BG610" i="2"/>
  <c r="BH610" i="2"/>
  <c r="BL610" i="2"/>
  <c r="BM610" i="2"/>
  <c r="BN610" i="2"/>
  <c r="BO610" i="2"/>
  <c r="BQ610" i="2"/>
  <c r="S611" i="2"/>
  <c r="AL611" i="2"/>
  <c r="AN611" i="2"/>
  <c r="AO611" i="2"/>
  <c r="AP611" i="2"/>
  <c r="AW611" i="2"/>
  <c r="AZ611" i="2"/>
  <c r="BA611" i="2"/>
  <c r="BE611" i="2"/>
  <c r="BF611" i="2" s="1"/>
  <c r="BG611" i="2"/>
  <c r="BH611" i="2"/>
  <c r="BL611" i="2"/>
  <c r="BM611" i="2"/>
  <c r="BN611" i="2"/>
  <c r="BO611" i="2"/>
  <c r="S612" i="2"/>
  <c r="AL612" i="2"/>
  <c r="AN612" i="2"/>
  <c r="AO612" i="2"/>
  <c r="AP612" i="2"/>
  <c r="AW612" i="2"/>
  <c r="BA612" i="2" s="1"/>
  <c r="AZ612" i="2"/>
  <c r="BE612" i="2"/>
  <c r="BF612" i="2" s="1"/>
  <c r="BG612" i="2"/>
  <c r="BH612" i="2"/>
  <c r="BL612" i="2"/>
  <c r="BM612" i="2"/>
  <c r="BN612" i="2"/>
  <c r="BO612" i="2"/>
  <c r="BQ612" i="2"/>
  <c r="S613" i="2"/>
  <c r="AL613" i="2"/>
  <c r="AN613" i="2"/>
  <c r="AO613" i="2"/>
  <c r="AP613" i="2"/>
  <c r="AW613" i="2"/>
  <c r="AZ613" i="2"/>
  <c r="BE613" i="2"/>
  <c r="BF613" i="2"/>
  <c r="BG613" i="2"/>
  <c r="BH613" i="2"/>
  <c r="BL613" i="2"/>
  <c r="BM613" i="2"/>
  <c r="BN613" i="2"/>
  <c r="BO613" i="2"/>
  <c r="BQ613" i="2"/>
  <c r="S614" i="2"/>
  <c r="AL614" i="2"/>
  <c r="AN614" i="2"/>
  <c r="AO614" i="2"/>
  <c r="AP614" i="2"/>
  <c r="AW614" i="2"/>
  <c r="BA614" i="2" s="1"/>
  <c r="AZ614" i="2"/>
  <c r="BE614" i="2"/>
  <c r="BF614" i="2" s="1"/>
  <c r="BG614" i="2"/>
  <c r="BH614" i="2"/>
  <c r="BL614" i="2"/>
  <c r="BM614" i="2"/>
  <c r="BN614" i="2"/>
  <c r="BO614" i="2"/>
  <c r="S615" i="2"/>
  <c r="AL615" i="2"/>
  <c r="AN615" i="2"/>
  <c r="AO615" i="2"/>
  <c r="AP615" i="2"/>
  <c r="AW615" i="2"/>
  <c r="AZ615" i="2"/>
  <c r="BE615" i="2"/>
  <c r="BF615" i="2" s="1"/>
  <c r="BG615" i="2"/>
  <c r="BH615" i="2"/>
  <c r="BL615" i="2"/>
  <c r="BM615" i="2"/>
  <c r="BN615" i="2"/>
  <c r="BO615" i="2"/>
  <c r="S616" i="2"/>
  <c r="AL616" i="2"/>
  <c r="AN616" i="2"/>
  <c r="AO616" i="2"/>
  <c r="AP616" i="2"/>
  <c r="AW616" i="2"/>
  <c r="AZ616" i="2"/>
  <c r="BE616" i="2"/>
  <c r="BF616" i="2" s="1"/>
  <c r="BG616" i="2"/>
  <c r="BH616" i="2"/>
  <c r="BL616" i="2"/>
  <c r="BM616" i="2"/>
  <c r="BN616" i="2"/>
  <c r="BO616" i="2"/>
  <c r="S617" i="2"/>
  <c r="AL617" i="2"/>
  <c r="AN617" i="2"/>
  <c r="AO617" i="2"/>
  <c r="AM617" i="2" s="1"/>
  <c r="AP617" i="2"/>
  <c r="AW617" i="2"/>
  <c r="AZ617" i="2"/>
  <c r="BE617" i="2"/>
  <c r="BF617" i="2" s="1"/>
  <c r="BG617" i="2"/>
  <c r="BH617" i="2"/>
  <c r="BL617" i="2"/>
  <c r="BM617" i="2"/>
  <c r="BN617" i="2"/>
  <c r="BO617" i="2"/>
  <c r="S618" i="2"/>
  <c r="AL618" i="2"/>
  <c r="AN618" i="2"/>
  <c r="AO618" i="2"/>
  <c r="AP618" i="2"/>
  <c r="AW618" i="2"/>
  <c r="AZ618" i="2"/>
  <c r="BA618" i="2"/>
  <c r="BE618" i="2"/>
  <c r="BF618" i="2" s="1"/>
  <c r="BG618" i="2"/>
  <c r="BH618" i="2"/>
  <c r="BL618" i="2"/>
  <c r="BM618" i="2"/>
  <c r="BN618" i="2"/>
  <c r="BO618" i="2"/>
  <c r="S619" i="2"/>
  <c r="AL619" i="2"/>
  <c r="AN619" i="2"/>
  <c r="AO619" i="2"/>
  <c r="AP619" i="2"/>
  <c r="AW619" i="2"/>
  <c r="BA619" i="2" s="1"/>
  <c r="AZ619" i="2"/>
  <c r="BE619" i="2"/>
  <c r="BF619" i="2" s="1"/>
  <c r="BG619" i="2"/>
  <c r="BH619" i="2"/>
  <c r="BL619" i="2"/>
  <c r="BM619" i="2"/>
  <c r="BN619" i="2"/>
  <c r="BO619" i="2"/>
  <c r="BQ619" i="2"/>
  <c r="S620" i="2"/>
  <c r="AL620" i="2"/>
  <c r="AN620" i="2"/>
  <c r="AO620" i="2"/>
  <c r="AP620" i="2"/>
  <c r="AW620" i="2"/>
  <c r="AZ620" i="2"/>
  <c r="BE620" i="2"/>
  <c r="BF620" i="2" s="1"/>
  <c r="BG620" i="2"/>
  <c r="BH620" i="2"/>
  <c r="BL620" i="2"/>
  <c r="BM620" i="2"/>
  <c r="BN620" i="2"/>
  <c r="BO620" i="2"/>
  <c r="BQ620" i="2"/>
  <c r="S621" i="2"/>
  <c r="AL621" i="2"/>
  <c r="AN621" i="2"/>
  <c r="AO621" i="2"/>
  <c r="AP621" i="2"/>
  <c r="AW621" i="2"/>
  <c r="AZ621" i="2"/>
  <c r="BE621" i="2"/>
  <c r="BF621" i="2" s="1"/>
  <c r="BG621" i="2"/>
  <c r="BH621" i="2"/>
  <c r="BL621" i="2"/>
  <c r="BM621" i="2"/>
  <c r="BN621" i="2"/>
  <c r="BO621" i="2"/>
  <c r="BQ621" i="2"/>
  <c r="S622" i="2"/>
  <c r="AL622" i="2"/>
  <c r="AN622" i="2"/>
  <c r="AO622" i="2"/>
  <c r="AP622" i="2"/>
  <c r="AW622" i="2"/>
  <c r="AZ622" i="2"/>
  <c r="BE622" i="2"/>
  <c r="BF622" i="2" s="1"/>
  <c r="BG622" i="2"/>
  <c r="BH622" i="2"/>
  <c r="BL622" i="2"/>
  <c r="BM622" i="2"/>
  <c r="BN622" i="2"/>
  <c r="BO622" i="2"/>
  <c r="AL623" i="2"/>
  <c r="AN623" i="2"/>
  <c r="AO623" i="2"/>
  <c r="AP623" i="2"/>
  <c r="AW623" i="2"/>
  <c r="AZ623" i="2"/>
  <c r="BE623" i="2"/>
  <c r="BF623" i="2" s="1"/>
  <c r="BG623" i="2"/>
  <c r="BH623" i="2"/>
  <c r="BL623" i="2"/>
  <c r="BM623" i="2"/>
  <c r="BN623" i="2"/>
  <c r="BO623" i="2"/>
  <c r="BQ623" i="2"/>
  <c r="S624" i="2"/>
  <c r="AH624" i="2"/>
  <c r="BL624" i="2" s="1"/>
  <c r="AN624" i="2"/>
  <c r="AO624" i="2"/>
  <c r="AP624" i="2"/>
  <c r="AW624" i="2"/>
  <c r="AZ624" i="2"/>
  <c r="BE624" i="2"/>
  <c r="BF624" i="2"/>
  <c r="BG624" i="2"/>
  <c r="BH624" i="2"/>
  <c r="BM624" i="2"/>
  <c r="BN624" i="2"/>
  <c r="BO624" i="2"/>
  <c r="S625" i="2"/>
  <c r="AH625" i="2"/>
  <c r="BL625" i="2" s="1"/>
  <c r="AL625" i="2"/>
  <c r="AN625" i="2"/>
  <c r="AM625" i="2" s="1"/>
  <c r="BP625" i="2" s="1"/>
  <c r="AO625" i="2"/>
  <c r="AP625" i="2"/>
  <c r="AW625" i="2"/>
  <c r="AZ625" i="2"/>
  <c r="BE625" i="2"/>
  <c r="BF625" i="2"/>
  <c r="BG625" i="2"/>
  <c r="BH625" i="2"/>
  <c r="BM625" i="2"/>
  <c r="BN625" i="2"/>
  <c r="BO625" i="2"/>
  <c r="S626" i="2"/>
  <c r="AH626" i="2"/>
  <c r="BL626" i="2" s="1"/>
  <c r="AL626" i="2"/>
  <c r="AN626" i="2"/>
  <c r="AO626" i="2"/>
  <c r="AP626" i="2"/>
  <c r="AW626" i="2"/>
  <c r="AZ626" i="2"/>
  <c r="BE626" i="2"/>
  <c r="BF626" i="2"/>
  <c r="BG626" i="2"/>
  <c r="BH626" i="2"/>
  <c r="BM626" i="2"/>
  <c r="BN626" i="2"/>
  <c r="BO626" i="2"/>
  <c r="S627" i="2"/>
  <c r="AH627" i="2"/>
  <c r="AN627" i="2"/>
  <c r="AO627" i="2"/>
  <c r="AP627" i="2"/>
  <c r="AW627" i="2"/>
  <c r="AZ627" i="2"/>
  <c r="BE627" i="2"/>
  <c r="BF627" i="2"/>
  <c r="BG627" i="2"/>
  <c r="BH627" i="2"/>
  <c r="BN627" i="2"/>
  <c r="BO627" i="2"/>
  <c r="S628" i="2"/>
  <c r="AH628" i="2"/>
  <c r="BL628" i="2" s="1"/>
  <c r="AL628" i="2"/>
  <c r="AN628" i="2"/>
  <c r="AO628" i="2"/>
  <c r="AP628" i="2"/>
  <c r="AW628" i="2"/>
  <c r="AZ628" i="2"/>
  <c r="BE628" i="2"/>
  <c r="BF628" i="2"/>
  <c r="BG628" i="2"/>
  <c r="BH628" i="2"/>
  <c r="BM628" i="2"/>
  <c r="BN628" i="2"/>
  <c r="BO628" i="2"/>
  <c r="S629" i="2"/>
  <c r="AH629" i="2"/>
  <c r="AL629" i="2" s="1"/>
  <c r="AN629" i="2"/>
  <c r="AO629" i="2"/>
  <c r="BK629" i="2" s="1"/>
  <c r="AP629" i="2"/>
  <c r="AW629" i="2"/>
  <c r="AZ629" i="2"/>
  <c r="BE629" i="2"/>
  <c r="BF629" i="2"/>
  <c r="BG629" i="2"/>
  <c r="BH629" i="2"/>
  <c r="BL629" i="2"/>
  <c r="BN629" i="2"/>
  <c r="BO629" i="2"/>
  <c r="S630" i="2"/>
  <c r="AH630" i="2"/>
  <c r="BL630" i="2" s="1"/>
  <c r="AL630" i="2"/>
  <c r="AN630" i="2"/>
  <c r="AO630" i="2"/>
  <c r="AP630" i="2"/>
  <c r="AW630" i="2"/>
  <c r="AZ630" i="2"/>
  <c r="BE630" i="2"/>
  <c r="BF630" i="2"/>
  <c r="BG630" i="2"/>
  <c r="BH630" i="2"/>
  <c r="BM630" i="2"/>
  <c r="BN630" i="2"/>
  <c r="BO630" i="2"/>
  <c r="S631" i="2"/>
  <c r="AH631" i="2"/>
  <c r="AL631" i="2" s="1"/>
  <c r="AN631" i="2"/>
  <c r="AO631" i="2"/>
  <c r="AP631" i="2"/>
  <c r="AW631" i="2"/>
  <c r="AZ631" i="2"/>
  <c r="BE631" i="2"/>
  <c r="BF631" i="2"/>
  <c r="BG631" i="2"/>
  <c r="BH631" i="2"/>
  <c r="BL631" i="2"/>
  <c r="BM631" i="2"/>
  <c r="BN631" i="2"/>
  <c r="BO631" i="2"/>
  <c r="S632" i="2"/>
  <c r="AH632" i="2"/>
  <c r="BL632" i="2" s="1"/>
  <c r="AN632" i="2"/>
  <c r="AO632" i="2"/>
  <c r="AP632" i="2"/>
  <c r="AW632" i="2"/>
  <c r="AZ632" i="2"/>
  <c r="BE632" i="2"/>
  <c r="BF632" i="2"/>
  <c r="BG632" i="2"/>
  <c r="BH632" i="2"/>
  <c r="BM632" i="2"/>
  <c r="BN632" i="2"/>
  <c r="BO632" i="2"/>
  <c r="S633" i="2"/>
  <c r="AH633" i="2"/>
  <c r="AL633" i="2"/>
  <c r="AN633" i="2"/>
  <c r="AO633" i="2"/>
  <c r="AP633" i="2"/>
  <c r="AW633" i="2"/>
  <c r="AZ633" i="2"/>
  <c r="BE633" i="2"/>
  <c r="BF633" i="2"/>
  <c r="BG633" i="2"/>
  <c r="BH633" i="2"/>
  <c r="BL633" i="2"/>
  <c r="BM633" i="2"/>
  <c r="BN633" i="2"/>
  <c r="BO633" i="2"/>
  <c r="S634" i="2"/>
  <c r="AH634" i="2"/>
  <c r="BL634" i="2" s="1"/>
  <c r="AN634" i="2"/>
  <c r="AM634" i="2" s="1"/>
  <c r="AO634" i="2"/>
  <c r="AP634" i="2"/>
  <c r="AW634" i="2"/>
  <c r="AZ634" i="2"/>
  <c r="BE634" i="2"/>
  <c r="BF634" i="2"/>
  <c r="BG634" i="2"/>
  <c r="BH634" i="2"/>
  <c r="BM634" i="2"/>
  <c r="BN634" i="2"/>
  <c r="BO634" i="2"/>
  <c r="S635" i="2"/>
  <c r="AH635" i="2"/>
  <c r="AN635" i="2"/>
  <c r="AO635" i="2"/>
  <c r="AP635" i="2"/>
  <c r="AW635" i="2"/>
  <c r="AZ635" i="2"/>
  <c r="BE635" i="2"/>
  <c r="BF635" i="2"/>
  <c r="BG635" i="2"/>
  <c r="BH635" i="2"/>
  <c r="BM635" i="2"/>
  <c r="BN635" i="2"/>
  <c r="BO635" i="2"/>
  <c r="S636" i="2"/>
  <c r="AH636" i="2"/>
  <c r="AN636" i="2"/>
  <c r="AO636" i="2"/>
  <c r="AP636" i="2"/>
  <c r="AW636" i="2"/>
  <c r="AZ636" i="2"/>
  <c r="BE636" i="2"/>
  <c r="BF636" i="2"/>
  <c r="BG636" i="2"/>
  <c r="BH636" i="2"/>
  <c r="BM636" i="2"/>
  <c r="BN636" i="2"/>
  <c r="BO636" i="2"/>
  <c r="S637" i="2"/>
  <c r="AH637" i="2"/>
  <c r="BL637" i="2" s="1"/>
  <c r="AL637" i="2"/>
  <c r="AN637" i="2"/>
  <c r="AM637" i="2" s="1"/>
  <c r="AO637" i="2"/>
  <c r="BK637" i="2" s="1"/>
  <c r="AP637" i="2"/>
  <c r="AW637" i="2"/>
  <c r="AZ637" i="2"/>
  <c r="BE637" i="2"/>
  <c r="BF637" i="2"/>
  <c r="BG637" i="2"/>
  <c r="BH637" i="2"/>
  <c r="BN637" i="2"/>
  <c r="BO637" i="2"/>
  <c r="S638" i="2"/>
  <c r="AH638" i="2"/>
  <c r="AL638" i="2" s="1"/>
  <c r="AN638" i="2"/>
  <c r="AO638" i="2"/>
  <c r="AP638" i="2"/>
  <c r="AW638" i="2"/>
  <c r="AZ638" i="2"/>
  <c r="BE638" i="2"/>
  <c r="BF638" i="2"/>
  <c r="BG638" i="2"/>
  <c r="BH638" i="2"/>
  <c r="BL638" i="2"/>
  <c r="BM638" i="2"/>
  <c r="BN638" i="2"/>
  <c r="BO638" i="2"/>
  <c r="S639" i="2"/>
  <c r="AH639" i="2"/>
  <c r="AL639" i="2" s="1"/>
  <c r="AN639" i="2"/>
  <c r="AO639" i="2"/>
  <c r="AM639" i="2" s="1"/>
  <c r="AP639" i="2"/>
  <c r="AW639" i="2"/>
  <c r="AZ639" i="2"/>
  <c r="BE639" i="2"/>
  <c r="BF639" i="2"/>
  <c r="BG639" i="2"/>
  <c r="BH639" i="2"/>
  <c r="BL639" i="2"/>
  <c r="BM639" i="2"/>
  <c r="BN639" i="2"/>
  <c r="BO639" i="2"/>
  <c r="S640" i="2"/>
  <c r="AH640" i="2"/>
  <c r="AL640" i="2" s="1"/>
  <c r="AN640" i="2"/>
  <c r="AO640" i="2"/>
  <c r="AP640" i="2"/>
  <c r="AW640" i="2"/>
  <c r="AZ640" i="2"/>
  <c r="BE640" i="2"/>
  <c r="BF640" i="2"/>
  <c r="BG640" i="2"/>
  <c r="BH640" i="2"/>
  <c r="BM640" i="2"/>
  <c r="BN640" i="2"/>
  <c r="BO640" i="2"/>
  <c r="S641" i="2"/>
  <c r="AH641" i="2"/>
  <c r="AL641" i="2" s="1"/>
  <c r="AN641" i="2"/>
  <c r="AO641" i="2"/>
  <c r="AP641" i="2"/>
  <c r="AW641" i="2"/>
  <c r="AZ641" i="2"/>
  <c r="BE641" i="2"/>
  <c r="BF641" i="2"/>
  <c r="BG641" i="2"/>
  <c r="BH641" i="2"/>
  <c r="BM641" i="2"/>
  <c r="BN641" i="2"/>
  <c r="BO641" i="2"/>
  <c r="S642" i="2"/>
  <c r="AH642" i="2"/>
  <c r="AN642" i="2"/>
  <c r="AO642" i="2"/>
  <c r="AP642" i="2"/>
  <c r="AW642" i="2"/>
  <c r="AZ642" i="2"/>
  <c r="BE642" i="2"/>
  <c r="BF642" i="2"/>
  <c r="BG642" i="2"/>
  <c r="BH642" i="2"/>
  <c r="BM642" i="2"/>
  <c r="BN642" i="2"/>
  <c r="BO642" i="2"/>
  <c r="S643" i="2"/>
  <c r="AH643" i="2"/>
  <c r="BL643" i="2" s="1"/>
  <c r="AL643" i="2"/>
  <c r="AN643" i="2"/>
  <c r="AO643" i="2"/>
  <c r="AM643" i="2" s="1"/>
  <c r="AP643" i="2"/>
  <c r="AW643" i="2"/>
  <c r="AZ643" i="2"/>
  <c r="BE643" i="2"/>
  <c r="BF643" i="2"/>
  <c r="BG643" i="2"/>
  <c r="BH643" i="2"/>
  <c r="BM643" i="2"/>
  <c r="BN643" i="2"/>
  <c r="BO643" i="2"/>
  <c r="S644" i="2"/>
  <c r="AH644" i="2"/>
  <c r="AN644" i="2"/>
  <c r="AM644" i="2" s="1"/>
  <c r="AO644" i="2"/>
  <c r="AP644" i="2"/>
  <c r="AW644" i="2"/>
  <c r="AZ644" i="2"/>
  <c r="BE644" i="2"/>
  <c r="BF644" i="2"/>
  <c r="BG644" i="2"/>
  <c r="BH644" i="2"/>
  <c r="BM644" i="2"/>
  <c r="BN644" i="2"/>
  <c r="BO644" i="2"/>
  <c r="S645" i="2"/>
  <c r="AH645" i="2"/>
  <c r="BL645" i="2" s="1"/>
  <c r="AN645" i="2"/>
  <c r="AM645" i="2" s="1"/>
  <c r="AO645" i="2"/>
  <c r="AP645" i="2"/>
  <c r="AW645" i="2"/>
  <c r="AZ645" i="2"/>
  <c r="BE645" i="2"/>
  <c r="BF645" i="2"/>
  <c r="BG645" i="2"/>
  <c r="BH645" i="2"/>
  <c r="BM645" i="2"/>
  <c r="BN645" i="2"/>
  <c r="BO645" i="2"/>
  <c r="S646" i="2"/>
  <c r="AH646" i="2"/>
  <c r="BL646" i="2" s="1"/>
  <c r="AN646" i="2"/>
  <c r="AO646" i="2"/>
  <c r="AP646" i="2"/>
  <c r="AW646" i="2"/>
  <c r="AZ646" i="2"/>
  <c r="BE646" i="2"/>
  <c r="BF646" i="2"/>
  <c r="BG646" i="2"/>
  <c r="BH646" i="2"/>
  <c r="BM646" i="2"/>
  <c r="BN646" i="2"/>
  <c r="BO646" i="2"/>
  <c r="S647" i="2"/>
  <c r="AH647" i="2"/>
  <c r="AL647" i="2" s="1"/>
  <c r="AN647" i="2"/>
  <c r="AO647" i="2"/>
  <c r="AP647" i="2"/>
  <c r="AW647" i="2"/>
  <c r="AZ647" i="2"/>
  <c r="BE647" i="2"/>
  <c r="BF647" i="2"/>
  <c r="BG647" i="2"/>
  <c r="BH647" i="2"/>
  <c r="BM647" i="2"/>
  <c r="BN647" i="2"/>
  <c r="BO647" i="2"/>
  <c r="S648" i="2"/>
  <c r="AH648" i="2"/>
  <c r="AL648" i="2" s="1"/>
  <c r="AN648" i="2"/>
  <c r="AO648" i="2"/>
  <c r="BK648" i="2" s="1"/>
  <c r="AP648" i="2"/>
  <c r="AW648" i="2"/>
  <c r="BA648" i="2" s="1"/>
  <c r="AZ648" i="2"/>
  <c r="BE648" i="2"/>
  <c r="BF648" i="2"/>
  <c r="BG648" i="2"/>
  <c r="BH648" i="2"/>
  <c r="BN648" i="2"/>
  <c r="BO648" i="2"/>
  <c r="S649" i="2"/>
  <c r="AH649" i="2"/>
  <c r="AL649" i="2" s="1"/>
  <c r="AN649" i="2"/>
  <c r="AO649" i="2"/>
  <c r="AP649" i="2"/>
  <c r="AW649" i="2"/>
  <c r="AZ649" i="2"/>
  <c r="BE649" i="2"/>
  <c r="BF649" i="2"/>
  <c r="BG649" i="2"/>
  <c r="BH649" i="2"/>
  <c r="BM649" i="2"/>
  <c r="BN649" i="2"/>
  <c r="BO649" i="2"/>
  <c r="AL650" i="2"/>
  <c r="AN650" i="2"/>
  <c r="AO650" i="2"/>
  <c r="AP650" i="2"/>
  <c r="AW650" i="2"/>
  <c r="AZ650" i="2"/>
  <c r="BE650" i="2"/>
  <c r="BF650" i="2" s="1"/>
  <c r="BG650" i="2"/>
  <c r="BH650" i="2"/>
  <c r="BL650" i="2"/>
  <c r="BM650" i="2"/>
  <c r="BN650" i="2"/>
  <c r="BO650" i="2"/>
  <c r="AL651" i="2"/>
  <c r="AN651" i="2"/>
  <c r="AO651" i="2"/>
  <c r="AP651" i="2"/>
  <c r="AW651" i="2"/>
  <c r="AZ651" i="2"/>
  <c r="BE651" i="2"/>
  <c r="BF651" i="2" s="1"/>
  <c r="BG651" i="2"/>
  <c r="BH651" i="2"/>
  <c r="BL651" i="2"/>
  <c r="BM651" i="2"/>
  <c r="BN651" i="2"/>
  <c r="BO651" i="2"/>
  <c r="AL652" i="2"/>
  <c r="AN652" i="2"/>
  <c r="AO652" i="2"/>
  <c r="AP652" i="2"/>
  <c r="AW652" i="2"/>
  <c r="AZ652" i="2"/>
  <c r="BE652" i="2"/>
  <c r="BF652" i="2" s="1"/>
  <c r="BG652" i="2"/>
  <c r="BH652" i="2"/>
  <c r="BL652" i="2"/>
  <c r="BN652" i="2"/>
  <c r="BO652" i="2"/>
  <c r="AL653" i="2"/>
  <c r="AN653" i="2"/>
  <c r="AO653" i="2"/>
  <c r="AP653" i="2"/>
  <c r="AW653" i="2"/>
  <c r="AZ653" i="2"/>
  <c r="BE653" i="2"/>
  <c r="BF653" i="2"/>
  <c r="BG653" i="2"/>
  <c r="BH653" i="2"/>
  <c r="BL653" i="2"/>
  <c r="BM653" i="2"/>
  <c r="BN653" i="2"/>
  <c r="BO653" i="2"/>
  <c r="S654" i="2"/>
  <c r="AL654" i="2"/>
  <c r="AN654" i="2"/>
  <c r="AM654" i="2" s="1"/>
  <c r="AO654" i="2"/>
  <c r="AP654" i="2"/>
  <c r="AW654" i="2"/>
  <c r="AZ654" i="2"/>
  <c r="BE654" i="2"/>
  <c r="BF654" i="2" s="1"/>
  <c r="BG654" i="2"/>
  <c r="BH654" i="2"/>
  <c r="BL654" i="2"/>
  <c r="BM654" i="2"/>
  <c r="BN654" i="2"/>
  <c r="BO654" i="2"/>
  <c r="BQ654" i="2"/>
  <c r="S655" i="2"/>
  <c r="AL655" i="2"/>
  <c r="AN655" i="2"/>
  <c r="AO655" i="2"/>
  <c r="AP655" i="2"/>
  <c r="AW655" i="2"/>
  <c r="AZ655" i="2"/>
  <c r="BE655" i="2"/>
  <c r="BF655" i="2" s="1"/>
  <c r="BG655" i="2"/>
  <c r="BH655" i="2"/>
  <c r="BL655" i="2"/>
  <c r="BM655" i="2"/>
  <c r="BN655" i="2"/>
  <c r="BO655" i="2"/>
  <c r="BQ655" i="2"/>
  <c r="AL656" i="2"/>
  <c r="AN656" i="2"/>
  <c r="AM656" i="2" s="1"/>
  <c r="AO656" i="2"/>
  <c r="AP656" i="2"/>
  <c r="AW656" i="2"/>
  <c r="AZ656" i="2"/>
  <c r="BE656" i="2"/>
  <c r="BF656" i="2"/>
  <c r="BG656" i="2"/>
  <c r="BH656" i="2"/>
  <c r="BL656" i="2"/>
  <c r="BM656" i="2"/>
  <c r="BN656" i="2"/>
  <c r="BO656" i="2"/>
  <c r="BQ656" i="2"/>
  <c r="AL657" i="2"/>
  <c r="AN657" i="2"/>
  <c r="AO657" i="2"/>
  <c r="AP657" i="2"/>
  <c r="AW657" i="2"/>
  <c r="AZ657" i="2"/>
  <c r="BE657" i="2"/>
  <c r="BF657" i="2" s="1"/>
  <c r="BG657" i="2"/>
  <c r="BH657" i="2"/>
  <c r="BL657" i="2"/>
  <c r="BN657" i="2"/>
  <c r="BO657" i="2"/>
  <c r="S658" i="2"/>
  <c r="AL658" i="2"/>
  <c r="AN658" i="2"/>
  <c r="AO658" i="2"/>
  <c r="AP658" i="2"/>
  <c r="AW658" i="2"/>
  <c r="AZ658" i="2"/>
  <c r="BE658" i="2"/>
  <c r="BF658" i="2" s="1"/>
  <c r="BG658" i="2"/>
  <c r="BH658" i="2"/>
  <c r="BL658" i="2"/>
  <c r="BN658" i="2"/>
  <c r="BO658" i="2"/>
  <c r="BQ658" i="2"/>
  <c r="S659" i="2"/>
  <c r="AL659" i="2"/>
  <c r="AN659" i="2"/>
  <c r="AO659" i="2"/>
  <c r="AP659" i="2"/>
  <c r="AW659" i="2"/>
  <c r="AZ659" i="2"/>
  <c r="BE659" i="2"/>
  <c r="BF659" i="2" s="1"/>
  <c r="BG659" i="2"/>
  <c r="BH659" i="2"/>
  <c r="BL659" i="2"/>
  <c r="BN659" i="2"/>
  <c r="BO659" i="2"/>
  <c r="AL660" i="2"/>
  <c r="AN660" i="2"/>
  <c r="AO660" i="2"/>
  <c r="AP660" i="2"/>
  <c r="AW660" i="2"/>
  <c r="AZ660" i="2"/>
  <c r="BE660" i="2"/>
  <c r="BF660" i="2" s="1"/>
  <c r="BG660" i="2"/>
  <c r="BH660" i="2"/>
  <c r="BL660" i="2"/>
  <c r="BM660" i="2"/>
  <c r="BN660" i="2"/>
  <c r="BO660" i="2"/>
  <c r="BQ660" i="2"/>
  <c r="S661" i="2"/>
  <c r="AJ661" i="2"/>
  <c r="BL661" i="2" s="1"/>
  <c r="AL661" i="2"/>
  <c r="AN661" i="2"/>
  <c r="AO661" i="2"/>
  <c r="AP661" i="2"/>
  <c r="AW661" i="2"/>
  <c r="AZ661" i="2"/>
  <c r="BE661" i="2"/>
  <c r="BF661" i="2" s="1"/>
  <c r="BG661" i="2"/>
  <c r="BH661" i="2"/>
  <c r="BM661" i="2"/>
  <c r="BN661" i="2"/>
  <c r="BO661" i="2"/>
  <c r="S662" i="2"/>
  <c r="AL662" i="2"/>
  <c r="AN662" i="2"/>
  <c r="AO662" i="2"/>
  <c r="AP662" i="2"/>
  <c r="AW662" i="2"/>
  <c r="AZ662" i="2"/>
  <c r="BE662" i="2"/>
  <c r="BF662" i="2" s="1"/>
  <c r="BG662" i="2"/>
  <c r="BH662" i="2"/>
  <c r="BL662" i="2"/>
  <c r="BM662" i="2"/>
  <c r="BN662" i="2"/>
  <c r="BO662" i="2"/>
  <c r="BQ662" i="2"/>
  <c r="S663" i="2"/>
  <c r="AJ663" i="2"/>
  <c r="AL663" i="2" s="1"/>
  <c r="AN663" i="2"/>
  <c r="AO663" i="2"/>
  <c r="AP663" i="2"/>
  <c r="AW663" i="2"/>
  <c r="AZ663" i="2"/>
  <c r="BE663" i="2"/>
  <c r="BF663" i="2"/>
  <c r="BG663" i="2"/>
  <c r="BH663" i="2"/>
  <c r="BM663" i="2"/>
  <c r="BN663" i="2"/>
  <c r="BO663" i="2"/>
  <c r="BQ663" i="2"/>
  <c r="AL664" i="2"/>
  <c r="AN664" i="2"/>
  <c r="AO664" i="2"/>
  <c r="AP664" i="2"/>
  <c r="AW664" i="2"/>
  <c r="AZ664" i="2"/>
  <c r="BE664" i="2"/>
  <c r="BF664" i="2" s="1"/>
  <c r="BG664" i="2"/>
  <c r="BH664" i="2"/>
  <c r="BL664" i="2"/>
  <c r="BM664" i="2"/>
  <c r="BN664" i="2"/>
  <c r="BO664" i="2"/>
  <c r="BQ664" i="2"/>
  <c r="S665" i="2"/>
  <c r="AJ665" i="2"/>
  <c r="AL665" i="2" s="1"/>
  <c r="AN665" i="2"/>
  <c r="AO665" i="2"/>
  <c r="AP665" i="2"/>
  <c r="AW665" i="2"/>
  <c r="AZ665" i="2"/>
  <c r="BE665" i="2"/>
  <c r="BF665" i="2" s="1"/>
  <c r="BG665" i="2"/>
  <c r="BH665" i="2"/>
  <c r="BL665" i="2"/>
  <c r="BM665" i="2"/>
  <c r="BN665" i="2"/>
  <c r="BO665" i="2"/>
  <c r="BQ665" i="2"/>
  <c r="S666" i="2"/>
  <c r="AL666" i="2"/>
  <c r="AN666" i="2"/>
  <c r="AO666" i="2"/>
  <c r="AP666" i="2"/>
  <c r="AW666" i="2"/>
  <c r="AZ666" i="2"/>
  <c r="BE666" i="2"/>
  <c r="BF666" i="2"/>
  <c r="BG666" i="2"/>
  <c r="BH666" i="2"/>
  <c r="BL666" i="2"/>
  <c r="BM666" i="2"/>
  <c r="BN666" i="2"/>
  <c r="BO666" i="2"/>
  <c r="BQ666" i="2"/>
  <c r="S667" i="2"/>
  <c r="AL667" i="2"/>
  <c r="AN667" i="2"/>
  <c r="AO667" i="2"/>
  <c r="AP667" i="2"/>
  <c r="AW667" i="2"/>
  <c r="AZ667" i="2"/>
  <c r="BE667" i="2"/>
  <c r="BF667" i="2"/>
  <c r="BG667" i="2"/>
  <c r="BH667" i="2"/>
  <c r="BL667" i="2"/>
  <c r="BM667" i="2"/>
  <c r="BN667" i="2"/>
  <c r="BO667" i="2"/>
  <c r="S668" i="2"/>
  <c r="AL668" i="2"/>
  <c r="BA668" i="2" s="1"/>
  <c r="AN668" i="2"/>
  <c r="AO668" i="2"/>
  <c r="AP668" i="2"/>
  <c r="AW668" i="2"/>
  <c r="AZ668" i="2"/>
  <c r="BE668" i="2"/>
  <c r="BF668" i="2" s="1"/>
  <c r="BG668" i="2"/>
  <c r="BH668" i="2"/>
  <c r="BL668" i="2"/>
  <c r="BM668" i="2"/>
  <c r="BN668" i="2"/>
  <c r="BO668" i="2"/>
  <c r="BQ668" i="2"/>
  <c r="S669" i="2"/>
  <c r="AL669" i="2"/>
  <c r="BB669" i="2" s="1"/>
  <c r="AN669" i="2"/>
  <c r="AO669" i="2"/>
  <c r="AP669" i="2"/>
  <c r="AW669" i="2"/>
  <c r="AZ669" i="2"/>
  <c r="BE669" i="2"/>
  <c r="BF669" i="2" s="1"/>
  <c r="BG669" i="2"/>
  <c r="BH669" i="2"/>
  <c r="BL669" i="2"/>
  <c r="BM669" i="2"/>
  <c r="BN669" i="2"/>
  <c r="BO669" i="2"/>
  <c r="BQ669" i="2"/>
  <c r="S670" i="2"/>
  <c r="AL670" i="2"/>
  <c r="BA670" i="2" s="1"/>
  <c r="AN670" i="2"/>
  <c r="AO670" i="2"/>
  <c r="AP670" i="2"/>
  <c r="AW670" i="2"/>
  <c r="AZ670" i="2"/>
  <c r="BE670" i="2"/>
  <c r="BF670" i="2" s="1"/>
  <c r="BG670" i="2"/>
  <c r="BH670" i="2"/>
  <c r="BL670" i="2"/>
  <c r="BM670" i="2"/>
  <c r="BN670" i="2"/>
  <c r="BO670" i="2"/>
  <c r="BQ670" i="2"/>
  <c r="S671" i="2"/>
  <c r="AL671" i="2"/>
  <c r="AN671" i="2"/>
  <c r="AM671" i="2" s="1"/>
  <c r="AO671" i="2"/>
  <c r="AP671" i="2"/>
  <c r="AW671" i="2"/>
  <c r="AZ671" i="2"/>
  <c r="BE671" i="2"/>
  <c r="BF671" i="2"/>
  <c r="BG671" i="2"/>
  <c r="BH671" i="2"/>
  <c r="BL671" i="2"/>
  <c r="BM671" i="2"/>
  <c r="BN671" i="2"/>
  <c r="BO671" i="2"/>
  <c r="BQ671" i="2"/>
  <c r="D672" i="2"/>
  <c r="L672" i="2"/>
  <c r="T672" i="2"/>
  <c r="Y672" i="2"/>
  <c r="AZ672" i="2" s="1"/>
  <c r="Z672" i="2"/>
  <c r="AA672" i="2"/>
  <c r="AL672" i="2"/>
  <c r="AN672" i="2"/>
  <c r="AO672" i="2"/>
  <c r="AP672" i="2"/>
  <c r="AW672" i="2"/>
  <c r="BE672" i="2"/>
  <c r="BF672" i="2"/>
  <c r="BG672" i="2"/>
  <c r="BH672" i="2"/>
  <c r="BL672" i="2"/>
  <c r="BM672" i="2"/>
  <c r="BN672" i="2"/>
  <c r="BO672" i="2"/>
  <c r="BQ672" i="2"/>
  <c r="D673" i="2"/>
  <c r="L673" i="2"/>
  <c r="T673" i="2"/>
  <c r="S673" i="2" s="1"/>
  <c r="Y673" i="2"/>
  <c r="AZ673" i="2" s="1"/>
  <c r="Z673" i="2"/>
  <c r="AA673" i="2"/>
  <c r="AL673" i="2"/>
  <c r="AN673" i="2"/>
  <c r="AO673" i="2"/>
  <c r="AP673" i="2"/>
  <c r="AW673" i="2"/>
  <c r="BE673" i="2"/>
  <c r="BF673" i="2"/>
  <c r="BG673" i="2"/>
  <c r="BH673" i="2"/>
  <c r="BL673" i="2"/>
  <c r="BM673" i="2"/>
  <c r="BN673" i="2"/>
  <c r="BO673" i="2"/>
  <c r="BQ673" i="2"/>
  <c r="D674" i="2"/>
  <c r="L674" i="2"/>
  <c r="S674" i="2"/>
  <c r="AL674" i="2"/>
  <c r="AN674" i="2"/>
  <c r="AO674" i="2"/>
  <c r="AP674" i="2"/>
  <c r="AW674" i="2"/>
  <c r="AZ674" i="2"/>
  <c r="BA674" i="2"/>
  <c r="BE674" i="2"/>
  <c r="BF674" i="2" s="1"/>
  <c r="BG674" i="2"/>
  <c r="BH674" i="2"/>
  <c r="BL674" i="2"/>
  <c r="BM674" i="2"/>
  <c r="BN674" i="2"/>
  <c r="BO674" i="2"/>
  <c r="BQ674" i="2"/>
  <c r="D675" i="2"/>
  <c r="L675" i="2"/>
  <c r="T675" i="2"/>
  <c r="S675" i="2" s="1"/>
  <c r="Y675" i="2"/>
  <c r="AZ675" i="2" s="1"/>
  <c r="Z675" i="2"/>
  <c r="AA675" i="2"/>
  <c r="AL675" i="2"/>
  <c r="BB675" i="2" s="1"/>
  <c r="AN675" i="2"/>
  <c r="AO675" i="2"/>
  <c r="AP675" i="2"/>
  <c r="AW675" i="2"/>
  <c r="BE675" i="2"/>
  <c r="BF675" i="2" s="1"/>
  <c r="BG675" i="2"/>
  <c r="BH675" i="2"/>
  <c r="BL675" i="2"/>
  <c r="BM675" i="2"/>
  <c r="BN675" i="2"/>
  <c r="BO675" i="2"/>
  <c r="BQ675" i="2"/>
  <c r="D676" i="2"/>
  <c r="L676" i="2"/>
  <c r="T676" i="2"/>
  <c r="S676" i="2" s="1"/>
  <c r="Y676" i="2"/>
  <c r="AZ676" i="2" s="1"/>
  <c r="Z676" i="2"/>
  <c r="AA676" i="2"/>
  <c r="AL676" i="2"/>
  <c r="AN676" i="2"/>
  <c r="AO676" i="2"/>
  <c r="AP676" i="2"/>
  <c r="AW676" i="2"/>
  <c r="BE676" i="2"/>
  <c r="BF676" i="2" s="1"/>
  <c r="BG676" i="2"/>
  <c r="BH676" i="2"/>
  <c r="BL676" i="2"/>
  <c r="BM676" i="2"/>
  <c r="BN676" i="2"/>
  <c r="BO676" i="2"/>
  <c r="D677" i="2"/>
  <c r="L677" i="2"/>
  <c r="T677" i="2"/>
  <c r="S677" i="2" s="1"/>
  <c r="Y677" i="2"/>
  <c r="AZ677" i="2" s="1"/>
  <c r="Z677" i="2"/>
  <c r="AA677" i="2"/>
  <c r="AL677" i="2"/>
  <c r="AN677" i="2"/>
  <c r="AO677" i="2"/>
  <c r="AP677" i="2"/>
  <c r="AW677" i="2"/>
  <c r="BE677" i="2"/>
  <c r="BF677" i="2" s="1"/>
  <c r="BG677" i="2"/>
  <c r="BH677" i="2"/>
  <c r="BL677" i="2"/>
  <c r="BM677" i="2"/>
  <c r="BN677" i="2"/>
  <c r="BO677" i="2"/>
  <c r="BQ677" i="2"/>
  <c r="D678" i="2"/>
  <c r="L678" i="2"/>
  <c r="T678" i="2"/>
  <c r="S678" i="2" s="1"/>
  <c r="Y678" i="2"/>
  <c r="AZ678" i="2" s="1"/>
  <c r="Z678" i="2"/>
  <c r="AA678" i="2"/>
  <c r="AL678" i="2"/>
  <c r="AN678" i="2"/>
  <c r="AO678" i="2"/>
  <c r="AP678" i="2"/>
  <c r="AW678" i="2"/>
  <c r="BE678" i="2"/>
  <c r="BF678" i="2"/>
  <c r="BG678" i="2"/>
  <c r="BH678" i="2"/>
  <c r="BL678" i="2"/>
  <c r="BM678" i="2"/>
  <c r="BN678" i="2"/>
  <c r="BO678" i="2"/>
  <c r="BQ678" i="2"/>
  <c r="D679" i="2"/>
  <c r="L679" i="2"/>
  <c r="S679" i="2"/>
  <c r="T679" i="2"/>
  <c r="Y679" i="2"/>
  <c r="AZ679" i="2" s="1"/>
  <c r="Z679" i="2"/>
  <c r="AA679" i="2"/>
  <c r="AL679" i="2"/>
  <c r="AN679" i="2"/>
  <c r="AO679" i="2"/>
  <c r="AP679" i="2"/>
  <c r="AW679" i="2"/>
  <c r="BE679" i="2"/>
  <c r="BF679" i="2" s="1"/>
  <c r="BG679" i="2"/>
  <c r="BH679" i="2"/>
  <c r="BL679" i="2"/>
  <c r="BM679" i="2"/>
  <c r="BN679" i="2"/>
  <c r="BO679" i="2"/>
  <c r="BQ679" i="2"/>
  <c r="D680" i="2"/>
  <c r="L680" i="2"/>
  <c r="T680" i="2"/>
  <c r="S680" i="2" s="1"/>
  <c r="Y680" i="2"/>
  <c r="AZ680" i="2" s="1"/>
  <c r="Z680" i="2"/>
  <c r="AA680" i="2"/>
  <c r="AL680" i="2"/>
  <c r="AN680" i="2"/>
  <c r="AO680" i="2"/>
  <c r="AP680" i="2"/>
  <c r="AW680" i="2"/>
  <c r="BE680" i="2"/>
  <c r="BF680" i="2"/>
  <c r="BG680" i="2"/>
  <c r="BH680" i="2"/>
  <c r="BL680" i="2"/>
  <c r="BM680" i="2"/>
  <c r="BN680" i="2"/>
  <c r="BO680" i="2"/>
  <c r="BQ680" i="2"/>
  <c r="D681" i="2"/>
  <c r="L681" i="2"/>
  <c r="T681" i="2"/>
  <c r="S681" i="2" s="1"/>
  <c r="Y681" i="2"/>
  <c r="AZ681" i="2" s="1"/>
  <c r="Z681" i="2"/>
  <c r="AA681" i="2"/>
  <c r="AL681" i="2"/>
  <c r="AN681" i="2"/>
  <c r="AO681" i="2"/>
  <c r="AP681" i="2"/>
  <c r="AW681" i="2"/>
  <c r="BE681" i="2"/>
  <c r="BF681" i="2" s="1"/>
  <c r="BG681" i="2"/>
  <c r="BH681" i="2"/>
  <c r="BL681" i="2"/>
  <c r="BM681" i="2"/>
  <c r="BN681" i="2"/>
  <c r="BO681" i="2"/>
  <c r="BQ681" i="2"/>
  <c r="D682" i="2"/>
  <c r="L682" i="2"/>
  <c r="T682" i="2"/>
  <c r="S682" i="2" s="1"/>
  <c r="Y682" i="2"/>
  <c r="AZ682" i="2" s="1"/>
  <c r="Z682" i="2"/>
  <c r="AA682" i="2"/>
  <c r="AL682" i="2"/>
  <c r="AN682" i="2"/>
  <c r="AO682" i="2"/>
  <c r="AM682" i="2" s="1"/>
  <c r="AP682" i="2"/>
  <c r="AW682" i="2"/>
  <c r="BB682" i="2" s="1"/>
  <c r="BA682" i="2"/>
  <c r="BE682" i="2"/>
  <c r="BF682" i="2" s="1"/>
  <c r="BG682" i="2"/>
  <c r="BH682" i="2"/>
  <c r="BL682" i="2"/>
  <c r="BM682" i="2"/>
  <c r="BN682" i="2"/>
  <c r="BO682" i="2"/>
  <c r="BQ682" i="2"/>
  <c r="D683" i="2"/>
  <c r="L683" i="2"/>
  <c r="T683" i="2"/>
  <c r="Y683" i="2"/>
  <c r="AZ683" i="2" s="1"/>
  <c r="Z683" i="2"/>
  <c r="AA683" i="2"/>
  <c r="AL683" i="2"/>
  <c r="AN683" i="2"/>
  <c r="AM683" i="2" s="1"/>
  <c r="BP683" i="2" s="1"/>
  <c r="AO683" i="2"/>
  <c r="AP683" i="2"/>
  <c r="AW683" i="2"/>
  <c r="BE683" i="2"/>
  <c r="BF683" i="2" s="1"/>
  <c r="BG683" i="2"/>
  <c r="BH683" i="2"/>
  <c r="BL683" i="2"/>
  <c r="BM683" i="2"/>
  <c r="BN683" i="2"/>
  <c r="BO683" i="2"/>
  <c r="BQ683" i="2"/>
  <c r="D684" i="2"/>
  <c r="L684" i="2"/>
  <c r="T684" i="2"/>
  <c r="S684" i="2" s="1"/>
  <c r="Y684" i="2"/>
  <c r="AZ684" i="2" s="1"/>
  <c r="Z684" i="2"/>
  <c r="AA684" i="2"/>
  <c r="AL684" i="2"/>
  <c r="AN684" i="2"/>
  <c r="AO684" i="2"/>
  <c r="AP684" i="2"/>
  <c r="AW684" i="2"/>
  <c r="BE684" i="2"/>
  <c r="BF684" i="2" s="1"/>
  <c r="BG684" i="2"/>
  <c r="BH684" i="2"/>
  <c r="BL684" i="2"/>
  <c r="BM684" i="2"/>
  <c r="BN684" i="2"/>
  <c r="BO684" i="2"/>
  <c r="BQ684" i="2"/>
  <c r="D685" i="2"/>
  <c r="L685" i="2"/>
  <c r="T685" i="2"/>
  <c r="S685" i="2" s="1"/>
  <c r="Y685" i="2"/>
  <c r="Z685" i="2"/>
  <c r="AA685" i="2"/>
  <c r="AL685" i="2"/>
  <c r="AN685" i="2"/>
  <c r="AO685" i="2"/>
  <c r="AP685" i="2"/>
  <c r="AW685" i="2"/>
  <c r="AZ685" i="2"/>
  <c r="BE685" i="2"/>
  <c r="BF685" i="2"/>
  <c r="BG685" i="2"/>
  <c r="BH685" i="2"/>
  <c r="BL685" i="2"/>
  <c r="BM685" i="2"/>
  <c r="BN685" i="2"/>
  <c r="BO685" i="2"/>
  <c r="D686" i="2"/>
  <c r="L686" i="2"/>
  <c r="T686" i="2"/>
  <c r="S686" i="2" s="1"/>
  <c r="W686" i="2"/>
  <c r="Y686" i="2"/>
  <c r="Z686" i="2"/>
  <c r="AA686" i="2"/>
  <c r="AL686" i="2"/>
  <c r="AN686" i="2"/>
  <c r="AO686" i="2"/>
  <c r="AP686" i="2"/>
  <c r="AW686" i="2"/>
  <c r="AZ686" i="2"/>
  <c r="BL686" i="2"/>
  <c r="BM686" i="2"/>
  <c r="BQ686" i="2"/>
  <c r="D687" i="2"/>
  <c r="AL687" i="2"/>
  <c r="AN687" i="2"/>
  <c r="AO687" i="2"/>
  <c r="AP687" i="2"/>
  <c r="AW687" i="2"/>
  <c r="AZ687" i="2"/>
  <c r="BL687" i="2"/>
  <c r="BM687" i="2"/>
  <c r="BQ687" i="2"/>
  <c r="D688" i="2"/>
  <c r="S688" i="2"/>
  <c r="AF688" i="2"/>
  <c r="AH688" i="2"/>
  <c r="AI688" i="2"/>
  <c r="AI697" i="2" s="1"/>
  <c r="AN688" i="2"/>
  <c r="AO688" i="2"/>
  <c r="AP688" i="2"/>
  <c r="AW688" i="2"/>
  <c r="AZ688" i="2"/>
  <c r="BM688" i="2"/>
  <c r="BQ688" i="2"/>
  <c r="D689" i="2"/>
  <c r="T689" i="2"/>
  <c r="S689" i="2" s="1"/>
  <c r="Y689" i="2"/>
  <c r="AZ689" i="2" s="1"/>
  <c r="Z689" i="2"/>
  <c r="AA689" i="2"/>
  <c r="AL689" i="2"/>
  <c r="AN689" i="2"/>
  <c r="AO689" i="2"/>
  <c r="AP689" i="2"/>
  <c r="AW689" i="2"/>
  <c r="BL689" i="2"/>
  <c r="BM689" i="2"/>
  <c r="BQ689" i="2"/>
  <c r="D690" i="2"/>
  <c r="T690" i="2"/>
  <c r="S690" i="2" s="1"/>
  <c r="Y690" i="2"/>
  <c r="AZ690" i="2" s="1"/>
  <c r="Z690" i="2"/>
  <c r="AA690" i="2"/>
  <c r="AL690" i="2"/>
  <c r="AN690" i="2"/>
  <c r="AO690" i="2"/>
  <c r="AP690" i="2"/>
  <c r="AW690" i="2"/>
  <c r="BL690" i="2"/>
  <c r="BM690" i="2"/>
  <c r="BQ690" i="2"/>
  <c r="S691" i="2"/>
  <c r="AL691" i="2"/>
  <c r="AN691" i="2"/>
  <c r="AO691" i="2"/>
  <c r="AW691" i="2"/>
  <c r="AZ691" i="2"/>
  <c r="BL691" i="2"/>
  <c r="BM691" i="2"/>
  <c r="BQ691" i="2"/>
  <c r="S692" i="2"/>
  <c r="AL692" i="2"/>
  <c r="BA692" i="2" s="1"/>
  <c r="AN692" i="2"/>
  <c r="AM692" i="2" s="1"/>
  <c r="BP692" i="2" s="1"/>
  <c r="AO692" i="2"/>
  <c r="AW692" i="2"/>
  <c r="AZ692" i="2"/>
  <c r="BL692" i="2"/>
  <c r="BM692" i="2"/>
  <c r="BQ692" i="2"/>
  <c r="S693" i="2"/>
  <c r="AL693" i="2"/>
  <c r="AN693" i="2"/>
  <c r="AO693" i="2"/>
  <c r="AP693" i="2"/>
  <c r="AW693" i="2"/>
  <c r="AZ693" i="2"/>
  <c r="BL693" i="2"/>
  <c r="BM693" i="2"/>
  <c r="BQ693" i="2"/>
  <c r="S694" i="2"/>
  <c r="AL694" i="2"/>
  <c r="AN694" i="2"/>
  <c r="AO694" i="2"/>
  <c r="AP694" i="2"/>
  <c r="AW694" i="2"/>
  <c r="AZ694" i="2"/>
  <c r="BL694" i="2"/>
  <c r="BM694" i="2"/>
  <c r="BQ694" i="2"/>
  <c r="S695" i="2"/>
  <c r="AL695" i="2"/>
  <c r="AN695" i="2"/>
  <c r="AO695" i="2"/>
  <c r="AP695" i="2"/>
  <c r="AW695" i="2"/>
  <c r="AZ695" i="2"/>
  <c r="BL695" i="2"/>
  <c r="BM695" i="2"/>
  <c r="BQ695" i="2"/>
  <c r="S696" i="2"/>
  <c r="AL696" i="2"/>
  <c r="BA696" i="2" s="1"/>
  <c r="AN696" i="2"/>
  <c r="AO696" i="2"/>
  <c r="AP696" i="2"/>
  <c r="AW696" i="2"/>
  <c r="AZ696" i="2"/>
  <c r="BL696" i="2"/>
  <c r="BM696" i="2"/>
  <c r="BQ696" i="2"/>
  <c r="AB697" i="2"/>
  <c r="AC697" i="2"/>
  <c r="AD697" i="2"/>
  <c r="AF697" i="2"/>
  <c r="AG697" i="2"/>
  <c r="AJ697" i="2"/>
  <c r="AK697" i="2"/>
  <c r="AX697" i="2"/>
  <c r="AY697" i="2"/>
  <c r="BC697" i="2"/>
  <c r="BD697" i="2"/>
  <c r="BI697" i="2"/>
  <c r="AM623" i="2" l="1"/>
  <c r="BB614" i="2"/>
  <c r="BA543" i="2"/>
  <c r="BB543" i="2"/>
  <c r="BA531" i="2"/>
  <c r="AM423" i="2"/>
  <c r="BP423" i="2" s="1"/>
  <c r="AM415" i="2"/>
  <c r="AM414" i="2"/>
  <c r="BP414" i="2" s="1"/>
  <c r="AM337" i="2"/>
  <c r="BP337" i="2" s="1"/>
  <c r="AM325" i="2"/>
  <c r="BB323" i="2"/>
  <c r="AM261" i="2"/>
  <c r="BP261" i="2" s="1"/>
  <c r="BA169" i="2"/>
  <c r="AM155" i="2"/>
  <c r="BA113" i="2"/>
  <c r="BB113" i="2"/>
  <c r="AM69" i="2"/>
  <c r="AM63" i="2"/>
  <c r="BA287" i="2"/>
  <c r="BB261" i="2"/>
  <c r="AM212" i="2"/>
  <c r="BB156" i="2"/>
  <c r="BA156" i="2"/>
  <c r="BB107" i="2"/>
  <c r="AQ623" i="2"/>
  <c r="AR623" i="2" s="1"/>
  <c r="AM533" i="2"/>
  <c r="BA497" i="2"/>
  <c r="AM299" i="2"/>
  <c r="AQ299" i="2" s="1"/>
  <c r="AR299" i="2" s="1"/>
  <c r="AT299" i="2" s="1"/>
  <c r="BA264" i="2"/>
  <c r="BB262" i="2"/>
  <c r="BA216" i="2"/>
  <c r="BB216" i="2"/>
  <c r="BB152" i="2"/>
  <c r="BB99" i="2"/>
  <c r="AM408" i="2"/>
  <c r="BP408" i="2" s="1"/>
  <c r="AM369" i="2"/>
  <c r="BP369" i="2" s="1"/>
  <c r="AM368" i="2"/>
  <c r="AM362" i="2"/>
  <c r="BP362" i="2" s="1"/>
  <c r="AM358" i="2"/>
  <c r="BP358" i="2" s="1"/>
  <c r="AM354" i="2"/>
  <c r="AQ354" i="2" s="1"/>
  <c r="AM298" i="2"/>
  <c r="BP298" i="2" s="1"/>
  <c r="AM284" i="2"/>
  <c r="AQ284" i="2" s="1"/>
  <c r="AR284" i="2" s="1"/>
  <c r="AQ151" i="2"/>
  <c r="AR151" i="2" s="1"/>
  <c r="AT151" i="2" s="1"/>
  <c r="BP616" i="2"/>
  <c r="AM456" i="2"/>
  <c r="BP456" i="2" s="1"/>
  <c r="BA651" i="2"/>
  <c r="AL644" i="2"/>
  <c r="AQ644" i="2" s="1"/>
  <c r="BL644" i="2"/>
  <c r="BL688" i="2"/>
  <c r="AM626" i="2"/>
  <c r="BP626" i="2" s="1"/>
  <c r="AM534" i="2"/>
  <c r="BP534" i="2" s="1"/>
  <c r="AM457" i="2"/>
  <c r="AM6" i="2"/>
  <c r="AM675" i="2"/>
  <c r="BP675" i="2" s="1"/>
  <c r="AM679" i="2"/>
  <c r="BP679" i="2" s="1"/>
  <c r="BA405" i="2"/>
  <c r="BB405" i="2"/>
  <c r="AQ285" i="2"/>
  <c r="AR285" i="2" s="1"/>
  <c r="BA661" i="2"/>
  <c r="AM567" i="2"/>
  <c r="AQ567" i="2" s="1"/>
  <c r="BP525" i="2"/>
  <c r="BB596" i="2"/>
  <c r="BL635" i="2"/>
  <c r="AL635" i="2"/>
  <c r="BA562" i="2"/>
  <c r="BB562" i="2"/>
  <c r="BB413" i="2"/>
  <c r="AM591" i="2"/>
  <c r="BP591" i="2" s="1"/>
  <c r="AM377" i="2"/>
  <c r="AM315" i="2"/>
  <c r="BP315" i="2" s="1"/>
  <c r="BP214" i="2"/>
  <c r="BP639" i="2"/>
  <c r="AM638" i="2"/>
  <c r="BP638" i="2" s="1"/>
  <c r="BB618" i="2"/>
  <c r="AM604" i="2"/>
  <c r="AQ604" i="2" s="1"/>
  <c r="BB568" i="2"/>
  <c r="AQ501" i="2"/>
  <c r="AR501" i="2" s="1"/>
  <c r="AS501" i="2" s="1"/>
  <c r="AM386" i="2"/>
  <c r="BP386" i="2" s="1"/>
  <c r="AM384" i="2"/>
  <c r="AM383" i="2"/>
  <c r="AM382" i="2"/>
  <c r="AM381" i="2"/>
  <c r="AM380" i="2"/>
  <c r="AM379" i="2"/>
  <c r="AM378" i="2"/>
  <c r="BP378" i="2" s="1"/>
  <c r="AM314" i="2"/>
  <c r="AQ314" i="2" s="1"/>
  <c r="BA296" i="2"/>
  <c r="AM94" i="2"/>
  <c r="BP94" i="2" s="1"/>
  <c r="AM32" i="2"/>
  <c r="BP32" i="2" s="1"/>
  <c r="AQ693" i="2"/>
  <c r="AR693" i="2" s="1"/>
  <c r="AS693" i="2" s="1"/>
  <c r="BB674" i="2"/>
  <c r="BP501" i="2"/>
  <c r="AM495" i="2"/>
  <c r="BP495" i="2" s="1"/>
  <c r="AM494" i="2"/>
  <c r="BP494" i="2" s="1"/>
  <c r="AM376" i="2"/>
  <c r="BP376" i="2" s="1"/>
  <c r="BB38" i="2"/>
  <c r="BB696" i="2"/>
  <c r="AM690" i="2"/>
  <c r="BP690" i="2" s="1"/>
  <c r="BA695" i="2"/>
  <c r="BB695" i="2"/>
  <c r="BA690" i="2"/>
  <c r="BP654" i="2"/>
  <c r="AM640" i="2"/>
  <c r="AQ640" i="2" s="1"/>
  <c r="AM578" i="2"/>
  <c r="BP578" i="2" s="1"/>
  <c r="BB574" i="2"/>
  <c r="AM570" i="2"/>
  <c r="AQ570" i="2" s="1"/>
  <c r="BB457" i="2"/>
  <c r="BA382" i="2"/>
  <c r="AM313" i="2"/>
  <c r="AQ313" i="2" s="1"/>
  <c r="AM294" i="2"/>
  <c r="BB244" i="2"/>
  <c r="AM190" i="2"/>
  <c r="AQ190" i="2" s="1"/>
  <c r="AR190" i="2" s="1"/>
  <c r="AM650" i="2"/>
  <c r="BP650" i="2" s="1"/>
  <c r="AM642" i="2"/>
  <c r="AM549" i="2"/>
  <c r="BP549" i="2" s="1"/>
  <c r="BA686" i="2"/>
  <c r="BA458" i="2"/>
  <c r="AQ245" i="2"/>
  <c r="AV245" i="2" s="1"/>
  <c r="BA93" i="2"/>
  <c r="AQ49" i="2"/>
  <c r="AM44" i="2"/>
  <c r="AQ44" i="2" s="1"/>
  <c r="AR44" i="2" s="1"/>
  <c r="AV44" i="2" s="1"/>
  <c r="AM43" i="2"/>
  <c r="AQ43" i="2" s="1"/>
  <c r="BA459" i="2"/>
  <c r="BB459" i="2"/>
  <c r="AQ575" i="2"/>
  <c r="AR575" i="2" s="1"/>
  <c r="AM173" i="2"/>
  <c r="AM256" i="2"/>
  <c r="BP256" i="2" s="1"/>
  <c r="AM112" i="2"/>
  <c r="AQ544" i="2"/>
  <c r="BB430" i="2"/>
  <c r="BA430" i="2"/>
  <c r="BB424" i="2"/>
  <c r="BA424" i="2"/>
  <c r="BB334" i="2"/>
  <c r="BA334" i="2"/>
  <c r="BA366" i="2"/>
  <c r="BA362" i="2"/>
  <c r="BA361" i="2"/>
  <c r="BP656" i="2"/>
  <c r="BB628" i="2"/>
  <c r="AM681" i="2"/>
  <c r="AM649" i="2"/>
  <c r="AQ617" i="2"/>
  <c r="AR617" i="2" s="1"/>
  <c r="BA617" i="2"/>
  <c r="AM487" i="2"/>
  <c r="BB450" i="2"/>
  <c r="BB435" i="2"/>
  <c r="BA327" i="2"/>
  <c r="BA310" i="2"/>
  <c r="BA308" i="2"/>
  <c r="AQ246" i="2"/>
  <c r="AR246" i="2" s="1"/>
  <c r="BA190" i="2"/>
  <c r="BB190" i="2"/>
  <c r="AM529" i="2"/>
  <c r="BP529" i="2" s="1"/>
  <c r="AM174" i="2"/>
  <c r="BP174" i="2" s="1"/>
  <c r="AM586" i="2"/>
  <c r="BP586" i="2" s="1"/>
  <c r="BB576" i="2"/>
  <c r="AL636" i="2"/>
  <c r="BA636" i="2" s="1"/>
  <c r="BL636" i="2"/>
  <c r="BA364" i="2"/>
  <c r="BA358" i="2"/>
  <c r="BP272" i="2"/>
  <c r="BP527" i="2"/>
  <c r="AM458" i="2"/>
  <c r="BP458" i="2" s="1"/>
  <c r="BP452" i="2"/>
  <c r="BA448" i="2"/>
  <c r="BB446" i="2"/>
  <c r="BA252" i="2"/>
  <c r="BB252" i="2"/>
  <c r="BB169" i="2"/>
  <c r="BP133" i="2"/>
  <c r="BB122" i="2"/>
  <c r="BA40" i="2"/>
  <c r="AM240" i="2"/>
  <c r="AM211" i="2"/>
  <c r="BA207" i="2"/>
  <c r="BA173" i="2"/>
  <c r="BP136" i="2"/>
  <c r="AM127" i="2"/>
  <c r="AQ127" i="2" s="1"/>
  <c r="AR127" i="2" s="1"/>
  <c r="BB83" i="2"/>
  <c r="AM59" i="2"/>
  <c r="AQ38" i="2"/>
  <c r="AM34" i="2"/>
  <c r="BP34" i="2" s="1"/>
  <c r="AM28" i="2"/>
  <c r="BP28" i="2" s="1"/>
  <c r="BA381" i="2"/>
  <c r="AQ379" i="2"/>
  <c r="AR379" i="2" s="1"/>
  <c r="BB335" i="2"/>
  <c r="AM312" i="2"/>
  <c r="AM297" i="2"/>
  <c r="AM286" i="2"/>
  <c r="AM693" i="2"/>
  <c r="BP693" i="2" s="1"/>
  <c r="AM678" i="2"/>
  <c r="AM660" i="2"/>
  <c r="BA652" i="2"/>
  <c r="BB611" i="2"/>
  <c r="AM600" i="2"/>
  <c r="BP600" i="2" s="1"/>
  <c r="AQ590" i="2"/>
  <c r="AR590" i="2" s="1"/>
  <c r="AM589" i="2"/>
  <c r="BP589" i="2" s="1"/>
  <c r="AM579" i="2"/>
  <c r="AM532" i="2"/>
  <c r="AQ532" i="2" s="1"/>
  <c r="AR532" i="2" s="1"/>
  <c r="AS532" i="2" s="1"/>
  <c r="BB495" i="2"/>
  <c r="BB494" i="2"/>
  <c r="AM477" i="2"/>
  <c r="BP477" i="2" s="1"/>
  <c r="AM476" i="2"/>
  <c r="AM474" i="2"/>
  <c r="BA452" i="2"/>
  <c r="AM451" i="2"/>
  <c r="BP451" i="2" s="1"/>
  <c r="AM410" i="2"/>
  <c r="BP410" i="2" s="1"/>
  <c r="BA404" i="2"/>
  <c r="AM356" i="2"/>
  <c r="BP356" i="2" s="1"/>
  <c r="AM342" i="2"/>
  <c r="BP342" i="2" s="1"/>
  <c r="BB341" i="2"/>
  <c r="AM326" i="2"/>
  <c r="BP326" i="2" s="1"/>
  <c r="BB312" i="2"/>
  <c r="AM311" i="2"/>
  <c r="BP311" i="2" s="1"/>
  <c r="AM308" i="2"/>
  <c r="AQ308" i="2" s="1"/>
  <c r="BA297" i="2"/>
  <c r="AM296" i="2"/>
  <c r="AQ296" i="2" s="1"/>
  <c r="AR296" i="2" s="1"/>
  <c r="AM285" i="2"/>
  <c r="AM266" i="2"/>
  <c r="BB228" i="2"/>
  <c r="AM182" i="2"/>
  <c r="AQ182" i="2" s="1"/>
  <c r="AR182" i="2" s="1"/>
  <c r="AM151" i="2"/>
  <c r="BA127" i="2"/>
  <c r="BB102" i="2"/>
  <c r="AM92" i="2"/>
  <c r="AQ92" i="2" s="1"/>
  <c r="BB82" i="2"/>
  <c r="AM26" i="2"/>
  <c r="AQ26" i="2" s="1"/>
  <c r="BB20" i="2"/>
  <c r="AM104" i="2"/>
  <c r="BP104" i="2" s="1"/>
  <c r="BB52" i="2"/>
  <c r="BB23" i="2"/>
  <c r="AM20" i="2"/>
  <c r="BP20" i="2" s="1"/>
  <c r="BB276" i="2"/>
  <c r="AM202" i="2"/>
  <c r="BP202" i="2" s="1"/>
  <c r="BP182" i="2"/>
  <c r="BB160" i="2"/>
  <c r="BA114" i="2"/>
  <c r="AM101" i="2"/>
  <c r="BP101" i="2" s="1"/>
  <c r="AM100" i="2"/>
  <c r="BA81" i="2"/>
  <c r="AM405" i="2"/>
  <c r="BP405" i="2" s="1"/>
  <c r="AM663" i="2"/>
  <c r="BP663" i="2" s="1"/>
  <c r="BA662" i="2"/>
  <c r="AM632" i="2"/>
  <c r="BP632" i="2" s="1"/>
  <c r="AM610" i="2"/>
  <c r="AQ586" i="2"/>
  <c r="AR586" i="2" s="1"/>
  <c r="AT586" i="2" s="1"/>
  <c r="AU586" i="2" s="1"/>
  <c r="AM536" i="2"/>
  <c r="BP536" i="2" s="1"/>
  <c r="AM521" i="2"/>
  <c r="BP521" i="2" s="1"/>
  <c r="AM520" i="2"/>
  <c r="BP520" i="2" s="1"/>
  <c r="AM519" i="2"/>
  <c r="BP519" i="2" s="1"/>
  <c r="AM511" i="2"/>
  <c r="AM510" i="2"/>
  <c r="AQ510" i="2" s="1"/>
  <c r="AR510" i="2" s="1"/>
  <c r="BB488" i="2"/>
  <c r="BP469" i="2"/>
  <c r="AM446" i="2"/>
  <c r="BA160" i="2"/>
  <c r="BB158" i="2"/>
  <c r="AM122" i="2"/>
  <c r="AQ122" i="2" s="1"/>
  <c r="BA75" i="2"/>
  <c r="AM16" i="2"/>
  <c r="AQ16" i="2" s="1"/>
  <c r="BB515" i="2"/>
  <c r="AM402" i="2"/>
  <c r="BP402" i="2" s="1"/>
  <c r="AM353" i="2"/>
  <c r="BP353" i="2" s="1"/>
  <c r="AM346" i="2"/>
  <c r="AQ346" i="2" s="1"/>
  <c r="AM345" i="2"/>
  <c r="AM691" i="2"/>
  <c r="BP691" i="2" s="1"/>
  <c r="BB677" i="2"/>
  <c r="BL641" i="2"/>
  <c r="AM633" i="2"/>
  <c r="BP633" i="2" s="1"/>
  <c r="AL632" i="2"/>
  <c r="AM619" i="2"/>
  <c r="AM557" i="2"/>
  <c r="BP557" i="2" s="1"/>
  <c r="BA544" i="2"/>
  <c r="BA538" i="2"/>
  <c r="AM524" i="2"/>
  <c r="AQ524" i="2" s="1"/>
  <c r="AM515" i="2"/>
  <c r="BP515" i="2" s="1"/>
  <c r="BB489" i="2"/>
  <c r="BP474" i="2"/>
  <c r="BB394" i="2"/>
  <c r="BP391" i="2"/>
  <c r="BA388" i="2"/>
  <c r="BB349" i="2"/>
  <c r="AM323" i="2"/>
  <c r="BP282" i="2"/>
  <c r="BP200" i="2"/>
  <c r="BA192" i="2"/>
  <c r="BB191" i="2"/>
  <c r="BA99" i="2"/>
  <c r="AM78" i="2"/>
  <c r="BP78" i="2" s="1"/>
  <c r="BA46" i="2"/>
  <c r="BA11" i="2"/>
  <c r="BA10" i="2"/>
  <c r="AM677" i="2"/>
  <c r="BP677" i="2" s="1"/>
  <c r="AM488" i="2"/>
  <c r="BP488" i="2" s="1"/>
  <c r="BB557" i="2"/>
  <c r="BA512" i="2"/>
  <c r="AM468" i="2"/>
  <c r="BP468" i="2" s="1"/>
  <c r="BA443" i="2"/>
  <c r="AM332" i="2"/>
  <c r="BP332" i="2" s="1"/>
  <c r="BA191" i="2"/>
  <c r="AM168" i="2"/>
  <c r="AQ168" i="2" s="1"/>
  <c r="AR168" i="2" s="1"/>
  <c r="BB164" i="2"/>
  <c r="BP161" i="2"/>
  <c r="AM118" i="2"/>
  <c r="AM116" i="2"/>
  <c r="AQ116" i="2" s="1"/>
  <c r="AM115" i="2"/>
  <c r="BP115" i="2" s="1"/>
  <c r="BA97" i="2"/>
  <c r="BB51" i="2"/>
  <c r="BA50" i="2"/>
  <c r="BB664" i="2"/>
  <c r="AM646" i="2"/>
  <c r="BP646" i="2" s="1"/>
  <c r="BP522" i="2"/>
  <c r="AM667" i="2"/>
  <c r="BA658" i="2"/>
  <c r="AM657" i="2"/>
  <c r="AM648" i="2"/>
  <c r="BP648" i="2" s="1"/>
  <c r="AM635" i="2"/>
  <c r="BP635" i="2" s="1"/>
  <c r="AM621" i="2"/>
  <c r="AM616" i="2"/>
  <c r="BB595" i="2"/>
  <c r="AM594" i="2"/>
  <c r="BP594" i="2" s="1"/>
  <c r="BJ697" i="2"/>
  <c r="BA537" i="2"/>
  <c r="BA506" i="2"/>
  <c r="BA505" i="2"/>
  <c r="AM502" i="2"/>
  <c r="BP502" i="2" s="1"/>
  <c r="BB498" i="2"/>
  <c r="BB468" i="2"/>
  <c r="AM464" i="2"/>
  <c r="BP464" i="2" s="1"/>
  <c r="AM462" i="2"/>
  <c r="AM433" i="2"/>
  <c r="AM431" i="2"/>
  <c r="BB425" i="2"/>
  <c r="BA392" i="2"/>
  <c r="BB332" i="2"/>
  <c r="AM322" i="2"/>
  <c r="BB287" i="2"/>
  <c r="AM281" i="2"/>
  <c r="AQ281" i="2" s="1"/>
  <c r="AM276" i="2"/>
  <c r="BP276" i="2" s="1"/>
  <c r="BB253" i="2"/>
  <c r="BB167" i="2"/>
  <c r="BB153" i="2"/>
  <c r="AM139" i="2"/>
  <c r="BP139" i="2" s="1"/>
  <c r="AM138" i="2"/>
  <c r="BP138" i="2" s="1"/>
  <c r="BB118" i="2"/>
  <c r="BA116" i="2"/>
  <c r="AM76" i="2"/>
  <c r="BP76" i="2" s="1"/>
  <c r="AM75" i="2"/>
  <c r="BP75" i="2" s="1"/>
  <c r="AM49" i="2"/>
  <c r="BP49" i="2" s="1"/>
  <c r="BP11" i="2"/>
  <c r="BP10" i="2"/>
  <c r="BA7" i="2"/>
  <c r="BP38" i="2"/>
  <c r="AM630" i="2"/>
  <c r="BP630" i="2" s="1"/>
  <c r="AM555" i="2"/>
  <c r="BP555" i="2" s="1"/>
  <c r="AM636" i="2"/>
  <c r="BP636" i="2" s="1"/>
  <c r="BA603" i="2"/>
  <c r="BA498" i="2"/>
  <c r="BP461" i="2"/>
  <c r="BB419" i="2"/>
  <c r="BB416" i="2"/>
  <c r="BA383" i="2"/>
  <c r="BB366" i="2"/>
  <c r="BP321" i="2"/>
  <c r="BP278" i="2"/>
  <c r="BA249" i="2"/>
  <c r="AM220" i="2"/>
  <c r="BP197" i="2"/>
  <c r="BP194" i="2"/>
  <c r="BA109" i="2"/>
  <c r="BB42" i="2"/>
  <c r="AM12" i="2"/>
  <c r="AQ12" i="2" s="1"/>
  <c r="AR12" i="2" s="1"/>
  <c r="AT12" i="2" s="1"/>
  <c r="AU12" i="2" s="1"/>
  <c r="BA5" i="2"/>
  <c r="AT197" i="2"/>
  <c r="AU197" i="2" s="1"/>
  <c r="AS197" i="2"/>
  <c r="BP619" i="2"/>
  <c r="AQ619" i="2"/>
  <c r="BP503" i="2"/>
  <c r="AQ503" i="2"/>
  <c r="AQ621" i="2"/>
  <c r="AR621" i="2" s="1"/>
  <c r="BP621" i="2"/>
  <c r="BA524" i="2"/>
  <c r="BB524" i="2"/>
  <c r="BA454" i="2"/>
  <c r="BB454" i="2"/>
  <c r="BA377" i="2"/>
  <c r="AQ377" i="2"/>
  <c r="AR377" i="2" s="1"/>
  <c r="AS377" i="2" s="1"/>
  <c r="BA378" i="2"/>
  <c r="BB378" i="2"/>
  <c r="BA363" i="2"/>
  <c r="BB363" i="2"/>
  <c r="AM270" i="2"/>
  <c r="AQ270" i="2" s="1"/>
  <c r="AM274" i="2"/>
  <c r="AM620" i="2"/>
  <c r="BP620" i="2" s="1"/>
  <c r="AM548" i="2"/>
  <c r="BP548" i="2" s="1"/>
  <c r="AM686" i="2"/>
  <c r="BA625" i="2"/>
  <c r="AQ625" i="2"/>
  <c r="AM229" i="2"/>
  <c r="AQ229" i="2" s="1"/>
  <c r="AQ112" i="2"/>
  <c r="AR112" i="2" s="1"/>
  <c r="AV112" i="2" s="1"/>
  <c r="BB112" i="2"/>
  <c r="BA112" i="2"/>
  <c r="AM110" i="2"/>
  <c r="BP110" i="2" s="1"/>
  <c r="AM695" i="2"/>
  <c r="BA693" i="2"/>
  <c r="AM668" i="2"/>
  <c r="BP668" i="2" s="1"/>
  <c r="AM666" i="2"/>
  <c r="BP666" i="2" s="1"/>
  <c r="AM651" i="2"/>
  <c r="BP651" i="2" s="1"/>
  <c r="AL634" i="2"/>
  <c r="AM628" i="2"/>
  <c r="BP628" i="2" s="1"/>
  <c r="AM609" i="2"/>
  <c r="BP609" i="2" s="1"/>
  <c r="AM598" i="2"/>
  <c r="AQ598" i="2" s="1"/>
  <c r="AR598" i="2" s="1"/>
  <c r="AT598" i="2" s="1"/>
  <c r="BP590" i="2"/>
  <c r="AQ559" i="2"/>
  <c r="BA559" i="2"/>
  <c r="AM542" i="2"/>
  <c r="BP542" i="2" s="1"/>
  <c r="BP325" i="2"/>
  <c r="AQ325" i="2"/>
  <c r="AR325" i="2" s="1"/>
  <c r="BP299" i="2"/>
  <c r="AM210" i="2"/>
  <c r="BP210" i="2" s="1"/>
  <c r="AM209" i="2"/>
  <c r="BP209" i="2" s="1"/>
  <c r="AM208" i="2"/>
  <c r="BP208" i="2" s="1"/>
  <c r="AQ133" i="2"/>
  <c r="BA25" i="2"/>
  <c r="BB25" i="2"/>
  <c r="AM553" i="2"/>
  <c r="BP553" i="2" s="1"/>
  <c r="BB399" i="2"/>
  <c r="BA396" i="2"/>
  <c r="BB396" i="2"/>
  <c r="BB129" i="2"/>
  <c r="AQ522" i="2"/>
  <c r="AM95" i="2"/>
  <c r="BP95" i="2" s="1"/>
  <c r="AQ626" i="2"/>
  <c r="AR626" i="2" s="1"/>
  <c r="BB623" i="2"/>
  <c r="BA623" i="2"/>
  <c r="BA588" i="2"/>
  <c r="BB588" i="2"/>
  <c r="AM559" i="2"/>
  <c r="AM541" i="2"/>
  <c r="BP541" i="2" s="1"/>
  <c r="BB538" i="2"/>
  <c r="BA536" i="2"/>
  <c r="BB536" i="2"/>
  <c r="AM463" i="2"/>
  <c r="BP463" i="2" s="1"/>
  <c r="BA343" i="2"/>
  <c r="BB309" i="2"/>
  <c r="BA309" i="2"/>
  <c r="AQ309" i="2"/>
  <c r="AR309" i="2" s="1"/>
  <c r="AM307" i="2"/>
  <c r="AQ307" i="2" s="1"/>
  <c r="AM287" i="2"/>
  <c r="AQ287" i="2" s="1"/>
  <c r="AR287" i="2" s="1"/>
  <c r="AQ234" i="2"/>
  <c r="BB234" i="2"/>
  <c r="BA234" i="2"/>
  <c r="BA211" i="2"/>
  <c r="BB211" i="2"/>
  <c r="AQ211" i="2"/>
  <c r="AR211" i="2" s="1"/>
  <c r="AS211" i="2" s="1"/>
  <c r="BA666" i="2"/>
  <c r="BB666" i="2"/>
  <c r="AM629" i="2"/>
  <c r="BP629" i="2" s="1"/>
  <c r="AM509" i="2"/>
  <c r="BP509" i="2" s="1"/>
  <c r="BA496" i="2"/>
  <c r="BB496" i="2"/>
  <c r="AM426" i="2"/>
  <c r="AQ426" i="2" s="1"/>
  <c r="AM271" i="2"/>
  <c r="BP271" i="2" s="1"/>
  <c r="AM269" i="2"/>
  <c r="BP269" i="2" s="1"/>
  <c r="BA166" i="2"/>
  <c r="BB166" i="2"/>
  <c r="AM160" i="2"/>
  <c r="AQ160" i="2" s="1"/>
  <c r="AM528" i="2"/>
  <c r="BP528" i="2" s="1"/>
  <c r="BA280" i="2"/>
  <c r="BB280" i="2"/>
  <c r="AM661" i="2"/>
  <c r="BP661" i="2" s="1"/>
  <c r="AM676" i="2"/>
  <c r="BP676" i="2" s="1"/>
  <c r="AM672" i="2"/>
  <c r="BP672" i="2" s="1"/>
  <c r="AM449" i="2"/>
  <c r="BP449" i="2" s="1"/>
  <c r="BP377" i="2"/>
  <c r="AM277" i="2"/>
  <c r="BA31" i="2"/>
  <c r="AQ31" i="2"/>
  <c r="AR31" i="2" s="1"/>
  <c r="AQ679" i="2"/>
  <c r="AR679" i="2" s="1"/>
  <c r="AM558" i="2"/>
  <c r="AQ558" i="2" s="1"/>
  <c r="AM556" i="2"/>
  <c r="BP556" i="2" s="1"/>
  <c r="BB553" i="2"/>
  <c r="AM540" i="2"/>
  <c r="AQ540" i="2" s="1"/>
  <c r="AM538" i="2"/>
  <c r="BP538" i="2" s="1"/>
  <c r="BA503" i="2"/>
  <c r="BB503" i="2"/>
  <c r="AM310" i="2"/>
  <c r="AM552" i="2"/>
  <c r="AM233" i="2"/>
  <c r="BA560" i="2"/>
  <c r="BB560" i="2"/>
  <c r="BB512" i="2"/>
  <c r="AQ345" i="2"/>
  <c r="AR345" i="2" s="1"/>
  <c r="AV345" i="2" s="1"/>
  <c r="BA345" i="2"/>
  <c r="BB345" i="2"/>
  <c r="AM669" i="2"/>
  <c r="BP669" i="2" s="1"/>
  <c r="AQ639" i="2"/>
  <c r="AR639" i="2" s="1"/>
  <c r="BP623" i="2"/>
  <c r="BA516" i="2"/>
  <c r="AM500" i="2"/>
  <c r="BP500" i="2" s="1"/>
  <c r="BP476" i="2"/>
  <c r="BA348" i="2"/>
  <c r="BB348" i="2"/>
  <c r="BA306" i="2"/>
  <c r="BP512" i="2"/>
  <c r="AM427" i="2"/>
  <c r="BA427" i="2"/>
  <c r="BB427" i="2"/>
  <c r="AM280" i="2"/>
  <c r="AQ280" i="2" s="1"/>
  <c r="AM273" i="2"/>
  <c r="BP273" i="2" s="1"/>
  <c r="BP643" i="2"/>
  <c r="BP559" i="2"/>
  <c r="BB522" i="2"/>
  <c r="BA485" i="2"/>
  <c r="BB485" i="2"/>
  <c r="BA331" i="2"/>
  <c r="BB331" i="2"/>
  <c r="AQ295" i="2"/>
  <c r="BA295" i="2"/>
  <c r="BB295" i="2"/>
  <c r="BB204" i="2"/>
  <c r="BP176" i="2"/>
  <c r="AQ176" i="2"/>
  <c r="AR176" i="2" s="1"/>
  <c r="AT176" i="2" s="1"/>
  <c r="AU176" i="2" s="1"/>
  <c r="BP147" i="2"/>
  <c r="AQ147" i="2"/>
  <c r="BB655" i="2"/>
  <c r="BA655" i="2"/>
  <c r="BA198" i="2"/>
  <c r="AQ198" i="2"/>
  <c r="AR198" i="2" s="1"/>
  <c r="BB198" i="2"/>
  <c r="BA163" i="2"/>
  <c r="AQ163" i="2"/>
  <c r="AQ656" i="2"/>
  <c r="AM585" i="2"/>
  <c r="BP585" i="2" s="1"/>
  <c r="AM546" i="2"/>
  <c r="AQ546" i="2" s="1"/>
  <c r="BB520" i="2"/>
  <c r="AM279" i="2"/>
  <c r="AQ279" i="2" s="1"/>
  <c r="AQ272" i="2"/>
  <c r="AR272" i="2" s="1"/>
  <c r="AV272" i="2" s="1"/>
  <c r="AM547" i="2"/>
  <c r="AQ547" i="2" s="1"/>
  <c r="AQ275" i="2"/>
  <c r="AV275" i="2" s="1"/>
  <c r="BP275" i="2"/>
  <c r="AM535" i="2"/>
  <c r="BP535" i="2" s="1"/>
  <c r="AM624" i="2"/>
  <c r="BP624" i="2" s="1"/>
  <c r="BB621" i="2"/>
  <c r="BA621" i="2"/>
  <c r="AM554" i="2"/>
  <c r="AQ554" i="2" s="1"/>
  <c r="AM309" i="2"/>
  <c r="AM664" i="2"/>
  <c r="BP664" i="2" s="1"/>
  <c r="BA558" i="2"/>
  <c r="BB558" i="2"/>
  <c r="BA677" i="2"/>
  <c r="BP671" i="2"/>
  <c r="BA669" i="2"/>
  <c r="AM696" i="2"/>
  <c r="BP696" i="2" s="1"/>
  <c r="AT693" i="2"/>
  <c r="AU693" i="2" s="1"/>
  <c r="BA681" i="2"/>
  <c r="BB681" i="2"/>
  <c r="AQ681" i="2"/>
  <c r="AR681" i="2" s="1"/>
  <c r="AQ671" i="2"/>
  <c r="AR671" i="2" s="1"/>
  <c r="BP642" i="2"/>
  <c r="AM568" i="2"/>
  <c r="BP565" i="2"/>
  <c r="BA522" i="2"/>
  <c r="AQ496" i="2"/>
  <c r="AR496" i="2" s="1"/>
  <c r="AS496" i="2" s="1"/>
  <c r="AQ474" i="2"/>
  <c r="AR474" i="2" s="1"/>
  <c r="BA471" i="2"/>
  <c r="BA411" i="2"/>
  <c r="BH697" i="2"/>
  <c r="BG697" i="2"/>
  <c r="AQ387" i="2"/>
  <c r="BB370" i="2"/>
  <c r="AQ260" i="2"/>
  <c r="AR260" i="2" s="1"/>
  <c r="AS260" i="2" s="1"/>
  <c r="AQ248" i="2"/>
  <c r="BB248" i="2"/>
  <c r="BA248" i="2"/>
  <c r="BP67" i="2"/>
  <c r="BB65" i="2"/>
  <c r="AM647" i="2"/>
  <c r="BP647" i="2" s="1"/>
  <c r="AL645" i="2"/>
  <c r="BB645" i="2" s="1"/>
  <c r="BL642" i="2"/>
  <c r="AL642" i="2"/>
  <c r="BA642" i="2" s="1"/>
  <c r="BP580" i="2"/>
  <c r="BA545" i="2"/>
  <c r="BB528" i="2"/>
  <c r="BA495" i="2"/>
  <c r="AM484" i="2"/>
  <c r="BP484" i="2" s="1"/>
  <c r="AM473" i="2"/>
  <c r="BP473" i="2" s="1"/>
  <c r="AM409" i="2"/>
  <c r="AM68" i="2"/>
  <c r="BP68" i="2" s="1"/>
  <c r="AM593" i="2"/>
  <c r="BB612" i="2"/>
  <c r="BA547" i="2"/>
  <c r="BB547" i="2"/>
  <c r="BP584" i="2"/>
  <c r="AL688" i="2"/>
  <c r="BP657" i="2"/>
  <c r="AM655" i="2"/>
  <c r="BP655" i="2" s="1"/>
  <c r="AL646" i="2"/>
  <c r="BP644" i="2"/>
  <c r="BB544" i="2"/>
  <c r="BA494" i="2"/>
  <c r="BA493" i="2"/>
  <c r="BA484" i="2"/>
  <c r="BP429" i="2"/>
  <c r="AM407" i="2"/>
  <c r="BP407" i="2" s="1"/>
  <c r="AM674" i="2"/>
  <c r="BB661" i="2"/>
  <c r="BP582" i="2"/>
  <c r="BA569" i="2"/>
  <c r="BB569" i="2"/>
  <c r="BP566" i="2"/>
  <c r="AQ530" i="2"/>
  <c r="AR530" i="2" s="1"/>
  <c r="BP524" i="2"/>
  <c r="BA523" i="2"/>
  <c r="BB523" i="2"/>
  <c r="BP428" i="2"/>
  <c r="BA399" i="2"/>
  <c r="BP380" i="2"/>
  <c r="BB373" i="2"/>
  <c r="BA373" i="2"/>
  <c r="BA157" i="2"/>
  <c r="BB157" i="2"/>
  <c r="BA49" i="2"/>
  <c r="BB49" i="2"/>
  <c r="BA148" i="2"/>
  <c r="BB148" i="2"/>
  <c r="AQ67" i="2"/>
  <c r="AR67" i="2" s="1"/>
  <c r="BB67" i="2"/>
  <c r="AM66" i="2"/>
  <c r="BA4" i="2"/>
  <c r="BB4" i="2"/>
  <c r="AM196" i="2"/>
  <c r="BP196" i="2" s="1"/>
  <c r="BA69" i="2"/>
  <c r="BB69" i="2"/>
  <c r="AQ472" i="2"/>
  <c r="AR472" i="2" s="1"/>
  <c r="BA462" i="2"/>
  <c r="BB462" i="2"/>
  <c r="BB458" i="2"/>
  <c r="BB408" i="2"/>
  <c r="BB385" i="2"/>
  <c r="BB361" i="2"/>
  <c r="BA246" i="2"/>
  <c r="BB246" i="2"/>
  <c r="BA240" i="2"/>
  <c r="BB240" i="2"/>
  <c r="BA182" i="2"/>
  <c r="BB182" i="2"/>
  <c r="BA159" i="2"/>
  <c r="BB159" i="2"/>
  <c r="BA20" i="2"/>
  <c r="AM422" i="2"/>
  <c r="BP422" i="2" s="1"/>
  <c r="AM406" i="2"/>
  <c r="BP406" i="2" s="1"/>
  <c r="AM320" i="2"/>
  <c r="BP320" i="2" s="1"/>
  <c r="BA225" i="2"/>
  <c r="AQ225" i="2"/>
  <c r="AR225" i="2" s="1"/>
  <c r="AM224" i="2"/>
  <c r="BP224" i="2" s="1"/>
  <c r="BB207" i="2"/>
  <c r="AM206" i="2"/>
  <c r="AQ206" i="2" s="1"/>
  <c r="BP185" i="2"/>
  <c r="AQ185" i="2"/>
  <c r="BP168" i="2"/>
  <c r="BP41" i="2"/>
  <c r="AQ41" i="2"/>
  <c r="AR41" i="2" s="1"/>
  <c r="AT41" i="2" s="1"/>
  <c r="BB672" i="2"/>
  <c r="AM583" i="2"/>
  <c r="BP583" i="2" s="1"/>
  <c r="AM539" i="2"/>
  <c r="BB392" i="2"/>
  <c r="BB245" i="2"/>
  <c r="BP240" i="2"/>
  <c r="BA154" i="2"/>
  <c r="BP126" i="2"/>
  <c r="AM608" i="2"/>
  <c r="BP608" i="2" s="1"/>
  <c r="AM581" i="2"/>
  <c r="AQ581" i="2" s="1"/>
  <c r="AM470" i="2"/>
  <c r="BP470" i="2" s="1"/>
  <c r="BP440" i="2"/>
  <c r="BP437" i="2"/>
  <c r="BB434" i="2"/>
  <c r="AQ420" i="2"/>
  <c r="AM417" i="2"/>
  <c r="BP417" i="2" s="1"/>
  <c r="AM416" i="2"/>
  <c r="BP416" i="2" s="1"/>
  <c r="AQ692" i="2"/>
  <c r="AR692" i="2" s="1"/>
  <c r="AM689" i="2"/>
  <c r="BB660" i="2"/>
  <c r="AM659" i="2"/>
  <c r="AM658" i="2"/>
  <c r="AM652" i="2"/>
  <c r="BP652" i="2" s="1"/>
  <c r="BB609" i="2"/>
  <c r="AQ609" i="2"/>
  <c r="AM607" i="2"/>
  <c r="BP607" i="2" s="1"/>
  <c r="AM597" i="2"/>
  <c r="BP597" i="2" s="1"/>
  <c r="AQ542" i="2"/>
  <c r="BP511" i="2"/>
  <c r="AM479" i="2"/>
  <c r="BP472" i="2"/>
  <c r="BB444" i="2"/>
  <c r="BA444" i="2"/>
  <c r="AM443" i="2"/>
  <c r="BP443" i="2" s="1"/>
  <c r="AM442" i="2"/>
  <c r="AM438" i="2"/>
  <c r="BP438" i="2" s="1"/>
  <c r="BA436" i="2"/>
  <c r="BB436" i="2"/>
  <c r="BA415" i="2"/>
  <c r="BA385" i="2"/>
  <c r="BP341" i="2"/>
  <c r="BP339" i="2"/>
  <c r="BB131" i="2"/>
  <c r="BB116" i="2"/>
  <c r="AM33" i="2"/>
  <c r="AQ33" i="2" s="1"/>
  <c r="BB29" i="2"/>
  <c r="AM684" i="2"/>
  <c r="BP678" i="2"/>
  <c r="BA660" i="2"/>
  <c r="BA659" i="2"/>
  <c r="BB598" i="2"/>
  <c r="BA598" i="2"/>
  <c r="BA557" i="2"/>
  <c r="BB531" i="2"/>
  <c r="BA441" i="2"/>
  <c r="BB441" i="2"/>
  <c r="AM395" i="2"/>
  <c r="BP395" i="2" s="1"/>
  <c r="AM340" i="2"/>
  <c r="BP340" i="2" s="1"/>
  <c r="AM338" i="2"/>
  <c r="AQ338" i="2" s="1"/>
  <c r="AR338" i="2" s="1"/>
  <c r="BA335" i="2"/>
  <c r="BA299" i="2"/>
  <c r="BB299" i="2"/>
  <c r="BA678" i="2"/>
  <c r="BB668" i="2"/>
  <c r="BP645" i="2"/>
  <c r="AM622" i="2"/>
  <c r="AQ622" i="2" s="1"/>
  <c r="BP540" i="2"/>
  <c r="BA530" i="2"/>
  <c r="AM516" i="2"/>
  <c r="BP516" i="2" s="1"/>
  <c r="BB506" i="2"/>
  <c r="BB480" i="2"/>
  <c r="BB469" i="2"/>
  <c r="BP421" i="2"/>
  <c r="BP383" i="2"/>
  <c r="AM343" i="2"/>
  <c r="BP343" i="2" s="1"/>
  <c r="BA302" i="2"/>
  <c r="BB302" i="2"/>
  <c r="BP301" i="2"/>
  <c r="BA272" i="2"/>
  <c r="BA489" i="2"/>
  <c r="AQ489" i="2"/>
  <c r="AR489" i="2" s="1"/>
  <c r="BA487" i="2"/>
  <c r="BP431" i="2"/>
  <c r="BP345" i="2"/>
  <c r="BB344" i="2"/>
  <c r="BA344" i="2"/>
  <c r="BB338" i="2"/>
  <c r="AM300" i="2"/>
  <c r="BB271" i="2"/>
  <c r="AM232" i="2"/>
  <c r="AM219" i="2"/>
  <c r="AM177" i="2"/>
  <c r="AM117" i="2"/>
  <c r="BP117" i="2" s="1"/>
  <c r="BA66" i="2"/>
  <c r="BB66" i="2"/>
  <c r="AM448" i="2"/>
  <c r="AQ448" i="2" s="1"/>
  <c r="BP435" i="2"/>
  <c r="BB401" i="2"/>
  <c r="AQ369" i="2"/>
  <c r="AR369" i="2" s="1"/>
  <c r="AV369" i="2" s="1"/>
  <c r="BA360" i="2"/>
  <c r="AQ321" i="2"/>
  <c r="AR321" i="2" s="1"/>
  <c r="BP309" i="2"/>
  <c r="BA284" i="2"/>
  <c r="BB284" i="2"/>
  <c r="AM193" i="2"/>
  <c r="BP193" i="2" s="1"/>
  <c r="AM175" i="2"/>
  <c r="BP175" i="2" s="1"/>
  <c r="AM154" i="2"/>
  <c r="AQ154" i="2" s="1"/>
  <c r="AM13" i="2"/>
  <c r="BP13" i="2" s="1"/>
  <c r="AM432" i="2"/>
  <c r="AQ432" i="2" s="1"/>
  <c r="AR432" i="2" s="1"/>
  <c r="AQ413" i="2"/>
  <c r="AQ356" i="2"/>
  <c r="AR356" i="2" s="1"/>
  <c r="BB356" i="2"/>
  <c r="AM355" i="2"/>
  <c r="AQ355" i="2" s="1"/>
  <c r="AQ335" i="2"/>
  <c r="AR335" i="2" s="1"/>
  <c r="BP335" i="2"/>
  <c r="AM328" i="2"/>
  <c r="BP328" i="2" s="1"/>
  <c r="AM327" i="2"/>
  <c r="AQ327" i="2" s="1"/>
  <c r="BP322" i="2"/>
  <c r="AP697" i="2"/>
  <c r="AM258" i="2"/>
  <c r="AQ258" i="2" s="1"/>
  <c r="AM243" i="2"/>
  <c r="BP243" i="2" s="1"/>
  <c r="AQ203" i="2"/>
  <c r="BA129" i="2"/>
  <c r="BB80" i="2"/>
  <c r="BA80" i="2"/>
  <c r="BB77" i="2"/>
  <c r="AM60" i="2"/>
  <c r="BP60" i="2" s="1"/>
  <c r="BB364" i="2"/>
  <c r="BB355" i="2"/>
  <c r="AQ317" i="2"/>
  <c r="AR317" i="2" s="1"/>
  <c r="AV317" i="2" s="1"/>
  <c r="BB317" i="2"/>
  <c r="BP215" i="2"/>
  <c r="BP137" i="2"/>
  <c r="AQ105" i="2"/>
  <c r="AR105" i="2" s="1"/>
  <c r="BA105" i="2"/>
  <c r="BP59" i="2"/>
  <c r="AM673" i="2"/>
  <c r="BP673" i="2" s="1"/>
  <c r="BB648" i="2"/>
  <c r="AM614" i="2"/>
  <c r="BP614" i="2" s="1"/>
  <c r="AM613" i="2"/>
  <c r="AQ613" i="2" s="1"/>
  <c r="AM612" i="2"/>
  <c r="BP612" i="2" s="1"/>
  <c r="AM611" i="2"/>
  <c r="AM602" i="2"/>
  <c r="AM596" i="2"/>
  <c r="AQ596" i="2" s="1"/>
  <c r="BB566" i="2"/>
  <c r="BB559" i="2"/>
  <c r="BP530" i="2"/>
  <c r="BA525" i="2"/>
  <c r="BB499" i="2"/>
  <c r="BB490" i="2"/>
  <c r="AM483" i="2"/>
  <c r="BP483" i="2" s="1"/>
  <c r="BA447" i="2"/>
  <c r="BA419" i="2"/>
  <c r="AM412" i="2"/>
  <c r="BA402" i="2"/>
  <c r="AM401" i="2"/>
  <c r="AQ391" i="2"/>
  <c r="BA391" i="2"/>
  <c r="AM367" i="2"/>
  <c r="BP367" i="2" s="1"/>
  <c r="BP333" i="2"/>
  <c r="BB327" i="2"/>
  <c r="BB325" i="2"/>
  <c r="AQ259" i="2"/>
  <c r="BB259" i="2"/>
  <c r="AM254" i="2"/>
  <c r="BP254" i="2" s="1"/>
  <c r="AM238" i="2"/>
  <c r="BP238" i="2" s="1"/>
  <c r="AM189" i="2"/>
  <c r="BP189" i="2" s="1"/>
  <c r="AM169" i="2"/>
  <c r="AQ169" i="2" s="1"/>
  <c r="BA152" i="2"/>
  <c r="AM103" i="2"/>
  <c r="BP103" i="2" s="1"/>
  <c r="BA12" i="2"/>
  <c r="BB9" i="2"/>
  <c r="AQ382" i="2"/>
  <c r="BP382" i="2"/>
  <c r="BA332" i="2"/>
  <c r="BA689" i="2"/>
  <c r="BP649" i="2"/>
  <c r="BP637" i="2"/>
  <c r="BA615" i="2"/>
  <c r="AM571" i="2"/>
  <c r="BP571" i="2" s="1"/>
  <c r="AM563" i="2"/>
  <c r="AQ563" i="2" s="1"/>
  <c r="AM513" i="2"/>
  <c r="AQ513" i="2" s="1"/>
  <c r="AR513" i="2" s="1"/>
  <c r="AM508" i="2"/>
  <c r="AQ508" i="2" s="1"/>
  <c r="AQ458" i="2"/>
  <c r="AR458" i="2" s="1"/>
  <c r="AV458" i="2" s="1"/>
  <c r="AM455" i="2"/>
  <c r="BP455" i="2" s="1"/>
  <c r="BP446" i="2"/>
  <c r="BB431" i="2"/>
  <c r="AM400" i="2"/>
  <c r="BP400" i="2" s="1"/>
  <c r="AM389" i="2"/>
  <c r="BP389" i="2" s="1"/>
  <c r="BA367" i="2"/>
  <c r="AM288" i="2"/>
  <c r="BP288" i="2" s="1"/>
  <c r="BA238" i="2"/>
  <c r="AM237" i="2"/>
  <c r="AQ228" i="2"/>
  <c r="AM227" i="2"/>
  <c r="AQ227" i="2" s="1"/>
  <c r="BP199" i="2"/>
  <c r="BA103" i="2"/>
  <c r="BB97" i="2"/>
  <c r="AM91" i="2"/>
  <c r="BP91" i="2" s="1"/>
  <c r="BB74" i="2"/>
  <c r="AM58" i="2"/>
  <c r="AQ58" i="2" s="1"/>
  <c r="AR58" i="2" s="1"/>
  <c r="AT58" i="2" s="1"/>
  <c r="BP43" i="2"/>
  <c r="BP27" i="2"/>
  <c r="BP617" i="2"/>
  <c r="BP573" i="2"/>
  <c r="BA568" i="2"/>
  <c r="BP518" i="2"/>
  <c r="BP492" i="2"/>
  <c r="BB484" i="2"/>
  <c r="BP482" i="2"/>
  <c r="BP364" i="2"/>
  <c r="BA253" i="2"/>
  <c r="AM249" i="2"/>
  <c r="BP249" i="2" s="1"/>
  <c r="BA237" i="2"/>
  <c r="BB237" i="2"/>
  <c r="BA226" i="2"/>
  <c r="BP212" i="2"/>
  <c r="AM187" i="2"/>
  <c r="BP187" i="2" s="1"/>
  <c r="BA183" i="2"/>
  <c r="AM164" i="2"/>
  <c r="BP164" i="2" s="1"/>
  <c r="BB123" i="2"/>
  <c r="BP102" i="2"/>
  <c r="AQ102" i="2"/>
  <c r="AR102" i="2" s="1"/>
  <c r="AS102" i="2" s="1"/>
  <c r="AM57" i="2"/>
  <c r="BP57" i="2" s="1"/>
  <c r="AM56" i="2"/>
  <c r="BP56" i="2" s="1"/>
  <c r="BB617" i="2"/>
  <c r="AM595" i="2"/>
  <c r="BP595" i="2" s="1"/>
  <c r="AM564" i="2"/>
  <c r="BP564" i="2" s="1"/>
  <c r="AM506" i="2"/>
  <c r="BP506" i="2" s="1"/>
  <c r="BB487" i="2"/>
  <c r="AM481" i="2"/>
  <c r="AQ481" i="2" s="1"/>
  <c r="AM411" i="2"/>
  <c r="BP411" i="2" s="1"/>
  <c r="BB362" i="2"/>
  <c r="AM352" i="2"/>
  <c r="AQ352" i="2" s="1"/>
  <c r="AR352" i="2" s="1"/>
  <c r="AM351" i="2"/>
  <c r="BP351" i="2" s="1"/>
  <c r="AM302" i="2"/>
  <c r="BP302" i="2" s="1"/>
  <c r="BP297" i="2"/>
  <c r="BB293" i="2"/>
  <c r="BP163" i="2"/>
  <c r="BB125" i="2"/>
  <c r="BA42" i="2"/>
  <c r="BB26" i="2"/>
  <c r="BA26" i="2"/>
  <c r="AM231" i="2"/>
  <c r="BP231" i="2" s="1"/>
  <c r="AM230" i="2"/>
  <c r="AQ230" i="2" s="1"/>
  <c r="AM205" i="2"/>
  <c r="BP205" i="2" s="1"/>
  <c r="AM186" i="2"/>
  <c r="BP186" i="2" s="1"/>
  <c r="AM148" i="2"/>
  <c r="AQ148" i="2" s="1"/>
  <c r="AM132" i="2"/>
  <c r="BP132" i="2" s="1"/>
  <c r="BB130" i="2"/>
  <c r="AM85" i="2"/>
  <c r="BP85" i="2" s="1"/>
  <c r="AM84" i="2"/>
  <c r="AQ84" i="2" s="1"/>
  <c r="BB55" i="2"/>
  <c r="AM42" i="2"/>
  <c r="AM30" i="2"/>
  <c r="BP317" i="2"/>
  <c r="BA294" i="2"/>
  <c r="AM283" i="2"/>
  <c r="BB269" i="2"/>
  <c r="BB264" i="2"/>
  <c r="AM255" i="2"/>
  <c r="BA229" i="2"/>
  <c r="BB210" i="2"/>
  <c r="AM195" i="2"/>
  <c r="BP195" i="2" s="1"/>
  <c r="AM135" i="2"/>
  <c r="BB124" i="2"/>
  <c r="AM109" i="2"/>
  <c r="AM93" i="2"/>
  <c r="BP93" i="2" s="1"/>
  <c r="AM83" i="2"/>
  <c r="AQ77" i="2"/>
  <c r="AR77" i="2" s="1"/>
  <c r="BB75" i="2"/>
  <c r="BB63" i="2"/>
  <c r="AM55" i="2"/>
  <c r="AQ55" i="2" s="1"/>
  <c r="BA52" i="2"/>
  <c r="AM47" i="2"/>
  <c r="BA41" i="2"/>
  <c r="BA38" i="2"/>
  <c r="AM517" i="2"/>
  <c r="AM512" i="2"/>
  <c r="AQ512" i="2" s="1"/>
  <c r="BB486" i="2"/>
  <c r="AM475" i="2"/>
  <c r="BP475" i="2" s="1"/>
  <c r="AM447" i="2"/>
  <c r="BA409" i="2"/>
  <c r="AM399" i="2"/>
  <c r="BP399" i="2" s="1"/>
  <c r="AM398" i="2"/>
  <c r="BP398" i="2" s="1"/>
  <c r="AM373" i="2"/>
  <c r="BP373" i="2" s="1"/>
  <c r="AM363" i="2"/>
  <c r="BP363" i="2" s="1"/>
  <c r="BB346" i="2"/>
  <c r="AM324" i="2"/>
  <c r="AM306" i="2"/>
  <c r="BA305" i="2"/>
  <c r="AM293" i="2"/>
  <c r="AQ293" i="2" s="1"/>
  <c r="BB283" i="2"/>
  <c r="BB267" i="2"/>
  <c r="BP245" i="2"/>
  <c r="AM244" i="2"/>
  <c r="AQ244" i="2" s="1"/>
  <c r="AM225" i="2"/>
  <c r="BP225" i="2" s="1"/>
  <c r="AM218" i="2"/>
  <c r="AM201" i="2"/>
  <c r="AQ201" i="2" s="1"/>
  <c r="AM183" i="2"/>
  <c r="BP183" i="2" s="1"/>
  <c r="AM171" i="2"/>
  <c r="BP171" i="2" s="1"/>
  <c r="AM170" i="2"/>
  <c r="BP170" i="2" s="1"/>
  <c r="AM152" i="2"/>
  <c r="AQ152" i="2" s="1"/>
  <c r="AM145" i="2"/>
  <c r="BP145" i="2" s="1"/>
  <c r="AM129" i="2"/>
  <c r="AQ129" i="2" s="1"/>
  <c r="AR129" i="2" s="1"/>
  <c r="AV129" i="2" s="1"/>
  <c r="AM123" i="2"/>
  <c r="AQ123" i="2" s="1"/>
  <c r="AR123" i="2" s="1"/>
  <c r="AM107" i="2"/>
  <c r="BP30" i="2"/>
  <c r="AM29" i="2"/>
  <c r="AM144" i="2"/>
  <c r="AQ144" i="2" s="1"/>
  <c r="AR144" i="2" s="1"/>
  <c r="AS144" i="2" s="1"/>
  <c r="BA123" i="2"/>
  <c r="AM106" i="2"/>
  <c r="BP106" i="2" s="1"/>
  <c r="AM82" i="2"/>
  <c r="AQ82" i="2" s="1"/>
  <c r="AR82" i="2" s="1"/>
  <c r="AM74" i="2"/>
  <c r="BP74" i="2" s="1"/>
  <c r="AM53" i="2"/>
  <c r="BP53" i="2" s="1"/>
  <c r="BA51" i="2"/>
  <c r="AM394" i="2"/>
  <c r="BP394" i="2" s="1"/>
  <c r="AM393" i="2"/>
  <c r="BA369" i="2"/>
  <c r="AM361" i="2"/>
  <c r="BP361" i="2" s="1"/>
  <c r="BA352" i="2"/>
  <c r="BA312" i="2"/>
  <c r="AM305" i="2"/>
  <c r="BP305" i="2" s="1"/>
  <c r="AM292" i="2"/>
  <c r="AQ292" i="2" s="1"/>
  <c r="AM265" i="2"/>
  <c r="BP265" i="2" s="1"/>
  <c r="BA261" i="2"/>
  <c r="AM252" i="2"/>
  <c r="BP252" i="2" s="1"/>
  <c r="AM251" i="2"/>
  <c r="BP251" i="2" s="1"/>
  <c r="AM250" i="2"/>
  <c r="AQ250" i="2" s="1"/>
  <c r="AM192" i="2"/>
  <c r="BP192" i="2" s="1"/>
  <c r="AM143" i="2"/>
  <c r="BP143" i="2" s="1"/>
  <c r="BA82" i="2"/>
  <c r="AM73" i="2"/>
  <c r="BP73" i="2" s="1"/>
  <c r="AM64" i="2"/>
  <c r="BB50" i="2"/>
  <c r="AM8" i="2"/>
  <c r="BP8" i="2" s="1"/>
  <c r="BP281" i="2"/>
  <c r="BP234" i="2"/>
  <c r="BB232" i="2"/>
  <c r="AM121" i="2"/>
  <c r="BP121" i="2" s="1"/>
  <c r="AM98" i="2"/>
  <c r="BP98" i="2" s="1"/>
  <c r="AM89" i="2"/>
  <c r="BP89" i="2" s="1"/>
  <c r="AM81" i="2"/>
  <c r="BP81" i="2" s="1"/>
  <c r="AM46" i="2"/>
  <c r="AQ46" i="2" s="1"/>
  <c r="AM37" i="2"/>
  <c r="BP37" i="2" s="1"/>
  <c r="AM17" i="2"/>
  <c r="BP17" i="2" s="1"/>
  <c r="BP6" i="2"/>
  <c r="BP5" i="2"/>
  <c r="AM444" i="2"/>
  <c r="AM424" i="2"/>
  <c r="BB382" i="2"/>
  <c r="BP372" i="2"/>
  <c r="AQ372" i="2"/>
  <c r="AM370" i="2"/>
  <c r="BP370" i="2" s="1"/>
  <c r="BB358" i="2"/>
  <c r="AM348" i="2"/>
  <c r="BP348" i="2" s="1"/>
  <c r="BP324" i="2"/>
  <c r="BB319" i="2"/>
  <c r="AM291" i="2"/>
  <c r="BP291" i="2" s="1"/>
  <c r="BB286" i="2"/>
  <c r="AM262" i="2"/>
  <c r="AQ262" i="2" s="1"/>
  <c r="BB260" i="2"/>
  <c r="BB219" i="2"/>
  <c r="AM207" i="2"/>
  <c r="BP207" i="2" s="1"/>
  <c r="AM191" i="2"/>
  <c r="BB188" i="2"/>
  <c r="BB179" i="2"/>
  <c r="BP167" i="2"/>
  <c r="BA164" i="2"/>
  <c r="BB163" i="2"/>
  <c r="BP151" i="2"/>
  <c r="BB149" i="2"/>
  <c r="BP141" i="2"/>
  <c r="BP120" i="2"/>
  <c r="BB79" i="2"/>
  <c r="BP63" i="2"/>
  <c r="AM35" i="2"/>
  <c r="BP35" i="2" s="1"/>
  <c r="BB296" i="2"/>
  <c r="BP285" i="2"/>
  <c r="AM181" i="2"/>
  <c r="BP181" i="2" s="1"/>
  <c r="BB154" i="2"/>
  <c r="BA111" i="2"/>
  <c r="BA67" i="2"/>
  <c r="BP51" i="2"/>
  <c r="AM50" i="2"/>
  <c r="BP26" i="2"/>
  <c r="V19" i="3"/>
  <c r="W19" i="3"/>
  <c r="X19" i="3"/>
  <c r="U22" i="3"/>
  <c r="V2" i="3"/>
  <c r="W2" i="3"/>
  <c r="X2" i="3"/>
  <c r="X7" i="3"/>
  <c r="W5" i="3"/>
  <c r="W4" i="3"/>
  <c r="BB663" i="2"/>
  <c r="BA663" i="2"/>
  <c r="BP667" i="2"/>
  <c r="AQ667" i="2"/>
  <c r="BP602" i="2"/>
  <c r="AQ602" i="2"/>
  <c r="BP563" i="2"/>
  <c r="AQ659" i="2"/>
  <c r="BP659" i="2"/>
  <c r="BP695" i="2"/>
  <c r="AQ695" i="2"/>
  <c r="BB640" i="2"/>
  <c r="BA640" i="2"/>
  <c r="AZ697" i="2"/>
  <c r="BP684" i="2"/>
  <c r="AQ684" i="2"/>
  <c r="BP537" i="2"/>
  <c r="AQ537" i="2"/>
  <c r="BP622" i="2"/>
  <c r="BF697" i="2"/>
  <c r="AS510" i="2"/>
  <c r="AT510" i="2"/>
  <c r="AU510" i="2" s="1"/>
  <c r="BA442" i="2"/>
  <c r="BB442" i="2"/>
  <c r="BA694" i="2"/>
  <c r="BB694" i="2"/>
  <c r="AM665" i="2"/>
  <c r="AQ650" i="2"/>
  <c r="BB650" i="2"/>
  <c r="BA650" i="2"/>
  <c r="AQ649" i="2"/>
  <c r="AQ648" i="2"/>
  <c r="BL640" i="2"/>
  <c r="AQ628" i="2"/>
  <c r="AM615" i="2"/>
  <c r="BB583" i="2"/>
  <c r="BP576" i="2"/>
  <c r="AV575" i="2"/>
  <c r="AQ511" i="2"/>
  <c r="BA511" i="2"/>
  <c r="BB511" i="2"/>
  <c r="AT496" i="2"/>
  <c r="AU496" i="2" s="1"/>
  <c r="AM685" i="2"/>
  <c r="BA683" i="2"/>
  <c r="AQ683" i="2"/>
  <c r="BA665" i="2"/>
  <c r="BB665" i="2"/>
  <c r="AQ664" i="2"/>
  <c r="AQ634" i="2"/>
  <c r="BA634" i="2"/>
  <c r="BB634" i="2"/>
  <c r="BB619" i="2"/>
  <c r="AS598" i="2"/>
  <c r="AQ591" i="2"/>
  <c r="BB591" i="2"/>
  <c r="AV586" i="2"/>
  <c r="BA521" i="2"/>
  <c r="BB521" i="2"/>
  <c r="BP450" i="2"/>
  <c r="BB404" i="2"/>
  <c r="AT190" i="2"/>
  <c r="AU190" i="2" s="1"/>
  <c r="AS190" i="2"/>
  <c r="BQ697" i="2"/>
  <c r="BM697" i="2"/>
  <c r="BB44" i="2"/>
  <c r="AW697" i="2"/>
  <c r="AS472" i="2"/>
  <c r="AT472" i="2"/>
  <c r="AU472" i="2" s="1"/>
  <c r="AV472" i="2"/>
  <c r="AQ462" i="2"/>
  <c r="BP462" i="2"/>
  <c r="AM226" i="2"/>
  <c r="BA676" i="2"/>
  <c r="BB676" i="2"/>
  <c r="BA433" i="2"/>
  <c r="BB433" i="2"/>
  <c r="AV510" i="2"/>
  <c r="AQ534" i="2"/>
  <c r="BA534" i="2"/>
  <c r="BB534" i="2"/>
  <c r="BA439" i="2"/>
  <c r="BB439" i="2"/>
  <c r="AR420" i="2"/>
  <c r="BP368" i="2"/>
  <c r="AQ368" i="2"/>
  <c r="AQ120" i="2"/>
  <c r="BB120" i="2"/>
  <c r="BA120" i="2"/>
  <c r="BB582" i="2"/>
  <c r="AQ582" i="2"/>
  <c r="BA675" i="2"/>
  <c r="BE697" i="2"/>
  <c r="AQ574" i="2"/>
  <c r="BA574" i="2"/>
  <c r="BA564" i="2"/>
  <c r="BB564" i="2"/>
  <c r="BA426" i="2"/>
  <c r="BB426" i="2"/>
  <c r="AQ682" i="2"/>
  <c r="BP682" i="2"/>
  <c r="BB647" i="2"/>
  <c r="BA647" i="2"/>
  <c r="BA594" i="2"/>
  <c r="BB594" i="2"/>
  <c r="BB561" i="2"/>
  <c r="BP544" i="2"/>
  <c r="BA514" i="2"/>
  <c r="BB514" i="2"/>
  <c r="BP393" i="2"/>
  <c r="AQ393" i="2"/>
  <c r="BP344" i="2"/>
  <c r="AQ344" i="2"/>
  <c r="BA330" i="2"/>
  <c r="BB330" i="2"/>
  <c r="AQ330" i="2"/>
  <c r="AQ654" i="2"/>
  <c r="BB654" i="2"/>
  <c r="BA654" i="2"/>
  <c r="BA685" i="2"/>
  <c r="BB685" i="2"/>
  <c r="BP681" i="2"/>
  <c r="AQ691" i="2"/>
  <c r="AM670" i="2"/>
  <c r="BA476" i="2"/>
  <c r="BB476" i="2"/>
  <c r="AQ476" i="2"/>
  <c r="BB638" i="2"/>
  <c r="BA633" i="2"/>
  <c r="AQ633" i="2"/>
  <c r="BB593" i="2"/>
  <c r="BA593" i="2"/>
  <c r="AQ672" i="2"/>
  <c r="BA672" i="2"/>
  <c r="BB671" i="2"/>
  <c r="AQ555" i="2"/>
  <c r="BA555" i="2"/>
  <c r="BB555" i="2"/>
  <c r="BA529" i="2"/>
  <c r="BB529" i="2"/>
  <c r="BB502" i="2"/>
  <c r="BA502" i="2"/>
  <c r="BA635" i="2"/>
  <c r="AQ635" i="2"/>
  <c r="BB635" i="2"/>
  <c r="BP444" i="2"/>
  <c r="AQ444" i="2"/>
  <c r="BA604" i="2"/>
  <c r="BB604" i="2"/>
  <c r="BP533" i="2"/>
  <c r="AQ533" i="2"/>
  <c r="AM688" i="2"/>
  <c r="BA679" i="2"/>
  <c r="BB679" i="2"/>
  <c r="AQ637" i="2"/>
  <c r="BA637" i="2"/>
  <c r="BB637" i="2"/>
  <c r="BA671" i="2"/>
  <c r="BL663" i="2"/>
  <c r="AL624" i="2"/>
  <c r="AH697" i="2"/>
  <c r="AQ593" i="2"/>
  <c r="BP593" i="2"/>
  <c r="BA590" i="2"/>
  <c r="BB590" i="2"/>
  <c r="BA583" i="2"/>
  <c r="BA578" i="2"/>
  <c r="BB578" i="2"/>
  <c r="BB516" i="2"/>
  <c r="AQ660" i="2"/>
  <c r="BP660" i="2"/>
  <c r="AQ645" i="2"/>
  <c r="BA645" i="2"/>
  <c r="AS621" i="2"/>
  <c r="AT621" i="2"/>
  <c r="AU621" i="2" s="1"/>
  <c r="AQ616" i="2"/>
  <c r="BB616" i="2"/>
  <c r="BA616" i="2"/>
  <c r="AQ487" i="2"/>
  <c r="BP487" i="2"/>
  <c r="AE697" i="2"/>
  <c r="BA541" i="2"/>
  <c r="BB541" i="2"/>
  <c r="AO697" i="2"/>
  <c r="BB288" i="2"/>
  <c r="BA288" i="2"/>
  <c r="BA581" i="2"/>
  <c r="BB581" i="2"/>
  <c r="AQ449" i="2"/>
  <c r="BA449" i="2"/>
  <c r="BB449" i="2"/>
  <c r="AQ629" i="2"/>
  <c r="BA629" i="2"/>
  <c r="BB629" i="2"/>
  <c r="BA626" i="2"/>
  <c r="BB626" i="2"/>
  <c r="BA532" i="2"/>
  <c r="BB532" i="2"/>
  <c r="BP457" i="2"/>
  <c r="AQ457" i="2"/>
  <c r="BA643" i="2"/>
  <c r="AQ643" i="2"/>
  <c r="BB643" i="2"/>
  <c r="BA607" i="2"/>
  <c r="BB607" i="2"/>
  <c r="BA472" i="2"/>
  <c r="BB472" i="2"/>
  <c r="BP232" i="2"/>
  <c r="AQ232" i="2"/>
  <c r="BN697" i="2"/>
  <c r="BB632" i="2"/>
  <c r="BA632" i="2"/>
  <c r="AM514" i="2"/>
  <c r="BP514" i="2" s="1"/>
  <c r="AQ509" i="2"/>
  <c r="BA509" i="2"/>
  <c r="AQ696" i="2"/>
  <c r="BB690" i="2"/>
  <c r="AQ676" i="2"/>
  <c r="BP674" i="2"/>
  <c r="AQ674" i="2"/>
  <c r="BB652" i="2"/>
  <c r="BL647" i="2"/>
  <c r="AV639" i="2"/>
  <c r="AQ606" i="2"/>
  <c r="BA606" i="2"/>
  <c r="BB606" i="2"/>
  <c r="BA591" i="2"/>
  <c r="AQ585" i="2"/>
  <c r="BA585" i="2"/>
  <c r="AR584" i="2"/>
  <c r="AV584" i="2" s="1"/>
  <c r="BB551" i="2"/>
  <c r="BA551" i="2"/>
  <c r="BA526" i="2"/>
  <c r="BB526" i="2"/>
  <c r="AM507" i="2"/>
  <c r="BP507" i="2" s="1"/>
  <c r="AM460" i="2"/>
  <c r="BP392" i="2"/>
  <c r="AQ392" i="2"/>
  <c r="BB351" i="2"/>
  <c r="BA350" i="2"/>
  <c r="BP264" i="2"/>
  <c r="AQ264" i="2"/>
  <c r="BA680" i="2"/>
  <c r="BB680" i="2"/>
  <c r="AQ678" i="2"/>
  <c r="BB678" i="2"/>
  <c r="AS575" i="2"/>
  <c r="AT575" i="2"/>
  <c r="AU575" i="2" s="1"/>
  <c r="AM531" i="2"/>
  <c r="BA510" i="2"/>
  <c r="BB510" i="2"/>
  <c r="AV496" i="2"/>
  <c r="BP689" i="2"/>
  <c r="AQ689" i="2"/>
  <c r="AM574" i="2"/>
  <c r="BP574" i="2" s="1"/>
  <c r="AQ573" i="2"/>
  <c r="BA573" i="2"/>
  <c r="BB573" i="2"/>
  <c r="BB658" i="2"/>
  <c r="BP640" i="2"/>
  <c r="AV621" i="2"/>
  <c r="BP610" i="2"/>
  <c r="AQ605" i="2"/>
  <c r="BP605" i="2"/>
  <c r="BA582" i="2"/>
  <c r="BA507" i="2"/>
  <c r="BB507" i="2"/>
  <c r="BB460" i="2"/>
  <c r="BA460" i="2"/>
  <c r="AR435" i="2"/>
  <c r="AV435" i="2" s="1"/>
  <c r="AQ429" i="2"/>
  <c r="BB429" i="2"/>
  <c r="BA429" i="2"/>
  <c r="AQ630" i="2"/>
  <c r="BB630" i="2"/>
  <c r="BB549" i="2"/>
  <c r="AQ549" i="2"/>
  <c r="BA549" i="2"/>
  <c r="AM505" i="2"/>
  <c r="BP465" i="2"/>
  <c r="AQ465" i="2"/>
  <c r="AN697" i="2"/>
  <c r="AL627" i="2"/>
  <c r="BL627" i="2"/>
  <c r="BA657" i="2"/>
  <c r="AQ657" i="2"/>
  <c r="BB657" i="2"/>
  <c r="BP545" i="2"/>
  <c r="AQ545" i="2"/>
  <c r="BA620" i="2"/>
  <c r="BB620" i="2"/>
  <c r="AQ620" i="2"/>
  <c r="BA597" i="2"/>
  <c r="BB597" i="2"/>
  <c r="AM491" i="2"/>
  <c r="BP491" i="2" s="1"/>
  <c r="BB456" i="2"/>
  <c r="BA456" i="2"/>
  <c r="BP388" i="2"/>
  <c r="AQ388" i="2"/>
  <c r="AM687" i="2"/>
  <c r="BP687" i="2" s="1"/>
  <c r="BA630" i="2"/>
  <c r="BA565" i="2"/>
  <c r="BB565" i="2"/>
  <c r="AQ565" i="2"/>
  <c r="BA687" i="2"/>
  <c r="BB687" i="2"/>
  <c r="AM694" i="2"/>
  <c r="BB689" i="2"/>
  <c r="BA684" i="2"/>
  <c r="BB684" i="2"/>
  <c r="BB683" i="2"/>
  <c r="BA691" i="2"/>
  <c r="AQ690" i="2"/>
  <c r="AM680" i="2"/>
  <c r="BP680" i="2" s="1"/>
  <c r="BA667" i="2"/>
  <c r="BB667" i="2"/>
  <c r="BA638" i="2"/>
  <c r="BB633" i="2"/>
  <c r="BA622" i="2"/>
  <c r="BB622" i="2"/>
  <c r="AQ610" i="2"/>
  <c r="BB610" i="2"/>
  <c r="BB601" i="2"/>
  <c r="BP596" i="2"/>
  <c r="BP588" i="2"/>
  <c r="AQ588" i="2"/>
  <c r="AM577" i="2"/>
  <c r="AQ576" i="2"/>
  <c r="AM569" i="2"/>
  <c r="AQ568" i="2"/>
  <c r="BP568" i="2"/>
  <c r="AQ500" i="2"/>
  <c r="BB500" i="2"/>
  <c r="AT493" i="2"/>
  <c r="AU493" i="2" s="1"/>
  <c r="AS493" i="2"/>
  <c r="AM466" i="2"/>
  <c r="BP466" i="2" s="1"/>
  <c r="AQ401" i="2"/>
  <c r="BP401" i="2"/>
  <c r="AQ400" i="2"/>
  <c r="AM662" i="2"/>
  <c r="BA567" i="2"/>
  <c r="BB567" i="2"/>
  <c r="BA563" i="2"/>
  <c r="BB563" i="2"/>
  <c r="BA540" i="2"/>
  <c r="AM523" i="2"/>
  <c r="AQ415" i="2"/>
  <c r="BP415" i="2"/>
  <c r="BA376" i="2"/>
  <c r="BB376" i="2"/>
  <c r="AQ376" i="2"/>
  <c r="AQ367" i="2"/>
  <c r="BB367" i="2"/>
  <c r="BA340" i="2"/>
  <c r="BB340" i="2"/>
  <c r="AQ339" i="2"/>
  <c r="BA339" i="2"/>
  <c r="BB339" i="2"/>
  <c r="AM329" i="2"/>
  <c r="BP329" i="2" s="1"/>
  <c r="AR313" i="2"/>
  <c r="AQ278" i="2"/>
  <c r="BA278" i="2"/>
  <c r="BB278" i="2"/>
  <c r="AQ673" i="2"/>
  <c r="BP634" i="2"/>
  <c r="BP606" i="2"/>
  <c r="AM601" i="2"/>
  <c r="AQ580" i="2"/>
  <c r="BB580" i="2"/>
  <c r="BA570" i="2"/>
  <c r="BB570" i="2"/>
  <c r="AM562" i="2"/>
  <c r="BP562" i="2" s="1"/>
  <c r="AQ553" i="2"/>
  <c r="BA553" i="2"/>
  <c r="AQ518" i="2"/>
  <c r="BA481" i="2"/>
  <c r="BB481" i="2"/>
  <c r="AQ464" i="2"/>
  <c r="BA464" i="2"/>
  <c r="BB464" i="2"/>
  <c r="AQ463" i="2"/>
  <c r="AQ440" i="2"/>
  <c r="BA440" i="2"/>
  <c r="BB440" i="2"/>
  <c r="AQ428" i="2"/>
  <c r="BB428" i="2"/>
  <c r="BA428" i="2"/>
  <c r="BA397" i="2"/>
  <c r="BB397" i="2"/>
  <c r="BB333" i="2"/>
  <c r="AQ333" i="2"/>
  <c r="BA333" i="2"/>
  <c r="BA386" i="2"/>
  <c r="AQ386" i="2"/>
  <c r="BB386" i="2"/>
  <c r="BP352" i="2"/>
  <c r="BA273" i="2"/>
  <c r="BB273" i="2"/>
  <c r="AM504" i="2"/>
  <c r="BO697" i="2"/>
  <c r="AM592" i="2"/>
  <c r="AM499" i="2"/>
  <c r="BA482" i="2"/>
  <c r="BB482" i="2"/>
  <c r="AQ482" i="2"/>
  <c r="AQ473" i="2"/>
  <c r="BB473" i="2"/>
  <c r="BA473" i="2"/>
  <c r="BB673" i="2"/>
  <c r="BB659" i="2"/>
  <c r="BB656" i="2"/>
  <c r="BB644" i="2"/>
  <c r="AM631" i="2"/>
  <c r="BA608" i="2"/>
  <c r="BB608" i="2"/>
  <c r="BB599" i="2"/>
  <c r="BB571" i="2"/>
  <c r="AM560" i="2"/>
  <c r="BA539" i="2"/>
  <c r="BB539" i="2"/>
  <c r="BA320" i="2"/>
  <c r="BB320" i="2"/>
  <c r="BB217" i="2"/>
  <c r="BA217" i="2"/>
  <c r="BB214" i="2"/>
  <c r="BA214" i="2"/>
  <c r="BL649" i="2"/>
  <c r="AM572" i="2"/>
  <c r="AM561" i="2"/>
  <c r="BB550" i="2"/>
  <c r="BA550" i="2"/>
  <c r="AQ527" i="2"/>
  <c r="BA527" i="2"/>
  <c r="BB527" i="2"/>
  <c r="BB525" i="2"/>
  <c r="BA519" i="2"/>
  <c r="BB519" i="2"/>
  <c r="AQ519" i="2"/>
  <c r="AQ492" i="2"/>
  <c r="BA492" i="2"/>
  <c r="BB492" i="2"/>
  <c r="BP381" i="2"/>
  <c r="AQ381" i="2"/>
  <c r="BA664" i="2"/>
  <c r="BA653" i="2"/>
  <c r="BB653" i="2"/>
  <c r="AM618" i="2"/>
  <c r="AV617" i="2"/>
  <c r="AQ566" i="2"/>
  <c r="BA566" i="2"/>
  <c r="AM543" i="2"/>
  <c r="BB517" i="2"/>
  <c r="AR503" i="2"/>
  <c r="BA673" i="2"/>
  <c r="AQ666" i="2"/>
  <c r="BA656" i="2"/>
  <c r="AM641" i="2"/>
  <c r="BA631" i="2"/>
  <c r="BA609" i="2"/>
  <c r="AQ600" i="2"/>
  <c r="BA600" i="2"/>
  <c r="BP575" i="2"/>
  <c r="BB540" i="2"/>
  <c r="BA535" i="2"/>
  <c r="BB535" i="2"/>
  <c r="BB518" i="2"/>
  <c r="BA518" i="2"/>
  <c r="BP481" i="2"/>
  <c r="BA455" i="2"/>
  <c r="BB455" i="2"/>
  <c r="AQ421" i="2"/>
  <c r="BB421" i="2"/>
  <c r="BA421" i="2"/>
  <c r="AQ403" i="2"/>
  <c r="BA403" i="2"/>
  <c r="BB403" i="2"/>
  <c r="BP292" i="2"/>
  <c r="AS176" i="2"/>
  <c r="AM653" i="2"/>
  <c r="BL648" i="2"/>
  <c r="BA641" i="2"/>
  <c r="BB641" i="2"/>
  <c r="BB639" i="2"/>
  <c r="BA628" i="2"/>
  <c r="BA595" i="2"/>
  <c r="BA584" i="2"/>
  <c r="BB584" i="2"/>
  <c r="BA580" i="2"/>
  <c r="AM498" i="2"/>
  <c r="BP498" i="2" s="1"/>
  <c r="BA479" i="2"/>
  <c r="BB479" i="2"/>
  <c r="AQ477" i="2"/>
  <c r="BB477" i="2"/>
  <c r="AQ431" i="2"/>
  <c r="BA431" i="2"/>
  <c r="BP223" i="2"/>
  <c r="BA649" i="2"/>
  <c r="BB649" i="2"/>
  <c r="BB686" i="2"/>
  <c r="BA644" i="2"/>
  <c r="BA639" i="2"/>
  <c r="BB636" i="2"/>
  <c r="AM627" i="2"/>
  <c r="BP627" i="2" s="1"/>
  <c r="BK627" i="2"/>
  <c r="BB625" i="2"/>
  <c r="AQ603" i="2"/>
  <c r="BB603" i="2"/>
  <c r="BA556" i="2"/>
  <c r="BB556" i="2"/>
  <c r="AM550" i="2"/>
  <c r="BP550" i="2" s="1"/>
  <c r="AR419" i="2"/>
  <c r="AV419" i="2" s="1"/>
  <c r="BA393" i="2"/>
  <c r="BB393" i="2"/>
  <c r="AS335" i="2"/>
  <c r="AT335" i="2"/>
  <c r="AU335" i="2" s="1"/>
  <c r="BA589" i="2"/>
  <c r="BB589" i="2"/>
  <c r="AQ587" i="2"/>
  <c r="BP513" i="2"/>
  <c r="AQ491" i="2"/>
  <c r="BB491" i="2"/>
  <c r="BA470" i="2"/>
  <c r="BB470" i="2"/>
  <c r="BA453" i="2"/>
  <c r="BB453" i="2"/>
  <c r="AQ425" i="2"/>
  <c r="AQ407" i="2"/>
  <c r="BA407" i="2"/>
  <c r="BB407" i="2"/>
  <c r="BA398" i="2"/>
  <c r="BB398" i="2"/>
  <c r="AM397" i="2"/>
  <c r="BB380" i="2"/>
  <c r="AQ380" i="2"/>
  <c r="AQ375" i="2"/>
  <c r="BA375" i="2"/>
  <c r="BB375" i="2"/>
  <c r="AQ319" i="2"/>
  <c r="BP319" i="2"/>
  <c r="BA265" i="2"/>
  <c r="BB265" i="2"/>
  <c r="BA200" i="2"/>
  <c r="AQ200" i="2"/>
  <c r="BB200" i="2"/>
  <c r="BP61" i="2"/>
  <c r="AQ61" i="2"/>
  <c r="BB466" i="2"/>
  <c r="BA372" i="2"/>
  <c r="BB372" i="2"/>
  <c r="BA307" i="2"/>
  <c r="BB307" i="2"/>
  <c r="BP286" i="2"/>
  <c r="AQ286" i="2"/>
  <c r="BB254" i="2"/>
  <c r="BA254" i="2"/>
  <c r="AQ184" i="2"/>
  <c r="BA184" i="2"/>
  <c r="BB184" i="2"/>
  <c r="AQ173" i="2"/>
  <c r="BP173" i="2"/>
  <c r="BB110" i="2"/>
  <c r="BA110" i="2"/>
  <c r="BP323" i="2"/>
  <c r="AQ323" i="2"/>
  <c r="AQ253" i="2"/>
  <c r="BP253" i="2"/>
  <c r="BA613" i="2"/>
  <c r="BB613" i="2"/>
  <c r="BA602" i="2"/>
  <c r="BB602" i="2"/>
  <c r="BB537" i="2"/>
  <c r="AM490" i="2"/>
  <c r="AM478" i="2"/>
  <c r="BB475" i="2"/>
  <c r="AV474" i="2"/>
  <c r="AM459" i="2"/>
  <c r="BA395" i="2"/>
  <c r="BB395" i="2"/>
  <c r="AM336" i="2"/>
  <c r="BA318" i="2"/>
  <c r="BB318" i="2"/>
  <c r="BA605" i="2"/>
  <c r="BB605" i="2"/>
  <c r="BA592" i="2"/>
  <c r="BB592" i="2"/>
  <c r="BA572" i="2"/>
  <c r="BB572" i="2"/>
  <c r="BA552" i="2"/>
  <c r="BB552" i="2"/>
  <c r="BP510" i="2"/>
  <c r="BA501" i="2"/>
  <c r="BB501" i="2"/>
  <c r="BA478" i="2"/>
  <c r="BB478" i="2"/>
  <c r="AQ469" i="2"/>
  <c r="AQ443" i="2"/>
  <c r="AQ373" i="2"/>
  <c r="BA336" i="2"/>
  <c r="BB336" i="2"/>
  <c r="BA304" i="2"/>
  <c r="BB304" i="2"/>
  <c r="BP294" i="2"/>
  <c r="AQ294" i="2"/>
  <c r="BB670" i="2"/>
  <c r="BB662" i="2"/>
  <c r="BB651" i="2"/>
  <c r="BB631" i="2"/>
  <c r="BB615" i="2"/>
  <c r="AM599" i="2"/>
  <c r="BA586" i="2"/>
  <c r="BB586" i="2"/>
  <c r="AQ557" i="2"/>
  <c r="AQ536" i="2"/>
  <c r="AQ525" i="2"/>
  <c r="BA491" i="2"/>
  <c r="BP489" i="2"/>
  <c r="AM485" i="2"/>
  <c r="BB465" i="2"/>
  <c r="AQ442" i="2"/>
  <c r="BP442" i="2"/>
  <c r="BA425" i="2"/>
  <c r="AQ410" i="2"/>
  <c r="BB410" i="2"/>
  <c r="BA410" i="2"/>
  <c r="BP404" i="2"/>
  <c r="AQ404" i="2"/>
  <c r="BA380" i="2"/>
  <c r="AM365" i="2"/>
  <c r="AR327" i="2"/>
  <c r="AQ239" i="2"/>
  <c r="BP239" i="2"/>
  <c r="BA579" i="2"/>
  <c r="BB579" i="2"/>
  <c r="BA548" i="2"/>
  <c r="BB548" i="2"/>
  <c r="BA474" i="2"/>
  <c r="BB474" i="2"/>
  <c r="AQ468" i="2"/>
  <c r="BA468" i="2"/>
  <c r="BA438" i="2"/>
  <c r="BB438" i="2"/>
  <c r="BA416" i="2"/>
  <c r="BP360" i="2"/>
  <c r="AQ360" i="2"/>
  <c r="AV190" i="2"/>
  <c r="BB577" i="2"/>
  <c r="BA554" i="2"/>
  <c r="BB554" i="2"/>
  <c r="AQ551" i="2"/>
  <c r="BB546" i="2"/>
  <c r="BB533" i="2"/>
  <c r="BA533" i="2"/>
  <c r="AQ520" i="2"/>
  <c r="BA520" i="2"/>
  <c r="BA515" i="2"/>
  <c r="AQ515" i="2"/>
  <c r="AQ433" i="2"/>
  <c r="BP433" i="2"/>
  <c r="AM359" i="2"/>
  <c r="BP359" i="2" s="1"/>
  <c r="BA316" i="2"/>
  <c r="BB316" i="2"/>
  <c r="AM303" i="2"/>
  <c r="BA222" i="2"/>
  <c r="BB222" i="2"/>
  <c r="AQ409" i="2"/>
  <c r="BP409" i="2"/>
  <c r="AQ389" i="2"/>
  <c r="BA389" i="2"/>
  <c r="BB389" i="2"/>
  <c r="BB359" i="2"/>
  <c r="AQ359" i="2"/>
  <c r="BA359" i="2"/>
  <c r="AV335" i="2"/>
  <c r="BP327" i="2"/>
  <c r="BB322" i="2"/>
  <c r="AQ322" i="2"/>
  <c r="BA322" i="2"/>
  <c r="BP190" i="2"/>
  <c r="AQ480" i="2"/>
  <c r="AM453" i="2"/>
  <c r="BP453" i="2" s="1"/>
  <c r="AM445" i="2"/>
  <c r="AQ437" i="2"/>
  <c r="BB437" i="2"/>
  <c r="BA400" i="2"/>
  <c r="BB400" i="2"/>
  <c r="BP379" i="2"/>
  <c r="AQ378" i="2"/>
  <c r="BA223" i="2"/>
  <c r="BB223" i="2"/>
  <c r="AQ223" i="2"/>
  <c r="BA209" i="2"/>
  <c r="BB209" i="2"/>
  <c r="AM471" i="2"/>
  <c r="AM430" i="2"/>
  <c r="BA414" i="2"/>
  <c r="BB414" i="2"/>
  <c r="AQ406" i="2"/>
  <c r="BA406" i="2"/>
  <c r="BB406" i="2"/>
  <c r="BA354" i="2"/>
  <c r="BB354" i="2"/>
  <c r="BB326" i="2"/>
  <c r="BA326" i="2"/>
  <c r="AM318" i="2"/>
  <c r="BB300" i="2"/>
  <c r="BA300" i="2"/>
  <c r="BA298" i="2"/>
  <c r="BB298" i="2"/>
  <c r="BA289" i="2"/>
  <c r="BB289" i="2"/>
  <c r="AQ289" i="2"/>
  <c r="AR275" i="2"/>
  <c r="BP274" i="2"/>
  <c r="AQ274" i="2"/>
  <c r="BA231" i="2"/>
  <c r="BB231" i="2"/>
  <c r="AV493" i="2"/>
  <c r="AM467" i="2"/>
  <c r="AQ461" i="2"/>
  <c r="AQ450" i="2"/>
  <c r="BA450" i="2"/>
  <c r="BA422" i="2"/>
  <c r="BB422" i="2"/>
  <c r="BA420" i="2"/>
  <c r="BB420" i="2"/>
  <c r="BB381" i="2"/>
  <c r="BB369" i="2"/>
  <c r="BA323" i="2"/>
  <c r="AQ301" i="2"/>
  <c r="BA301" i="2"/>
  <c r="BB301" i="2"/>
  <c r="AQ300" i="2"/>
  <c r="BP300" i="2"/>
  <c r="AM526" i="2"/>
  <c r="AM497" i="2"/>
  <c r="AM486" i="2"/>
  <c r="BB471" i="2"/>
  <c r="BA451" i="2"/>
  <c r="BB451" i="2"/>
  <c r="AM441" i="2"/>
  <c r="BA432" i="2"/>
  <c r="BB432" i="2"/>
  <c r="BB415" i="2"/>
  <c r="BA371" i="2"/>
  <c r="BB371" i="2"/>
  <c r="AQ371" i="2"/>
  <c r="AM357" i="2"/>
  <c r="BA257" i="2"/>
  <c r="AQ257" i="2"/>
  <c r="BB257" i="2"/>
  <c r="BA488" i="2"/>
  <c r="AQ408" i="2"/>
  <c r="BP384" i="2"/>
  <c r="BA357" i="2"/>
  <c r="BB357" i="2"/>
  <c r="BA338" i="2"/>
  <c r="BA329" i="2"/>
  <c r="BB329" i="2"/>
  <c r="BA315" i="2"/>
  <c r="BB315" i="2"/>
  <c r="BP312" i="2"/>
  <c r="AQ312" i="2"/>
  <c r="BA270" i="2"/>
  <c r="BB270" i="2"/>
  <c r="AQ212" i="2"/>
  <c r="BA212" i="2"/>
  <c r="BB212" i="2"/>
  <c r="BA187" i="2"/>
  <c r="BB187" i="2"/>
  <c r="AQ187" i="2"/>
  <c r="BA517" i="2"/>
  <c r="BB513" i="2"/>
  <c r="BB461" i="2"/>
  <c r="AQ452" i="2"/>
  <c r="BB452" i="2"/>
  <c r="BA437" i="2"/>
  <c r="BP419" i="2"/>
  <c r="BA394" i="2"/>
  <c r="AM390" i="2"/>
  <c r="BA349" i="2"/>
  <c r="AQ349" i="2"/>
  <c r="AV211" i="2"/>
  <c r="AV176" i="2"/>
  <c r="BA542" i="2"/>
  <c r="BP532" i="2"/>
  <c r="BA528" i="2"/>
  <c r="BA461" i="2"/>
  <c r="AM454" i="2"/>
  <c r="BB445" i="2"/>
  <c r="BA390" i="2"/>
  <c r="BB390" i="2"/>
  <c r="BA370" i="2"/>
  <c r="BA324" i="2"/>
  <c r="BB324" i="2"/>
  <c r="AQ324" i="2"/>
  <c r="BB306" i="2"/>
  <c r="AM436" i="2"/>
  <c r="AQ434" i="2"/>
  <c r="BA434" i="2"/>
  <c r="BA418" i="2"/>
  <c r="BB418" i="2"/>
  <c r="BA417" i="2"/>
  <c r="BB417" i="2"/>
  <c r="AQ417" i="2"/>
  <c r="BA365" i="2"/>
  <c r="BB365" i="2"/>
  <c r="BB360" i="2"/>
  <c r="BA342" i="2"/>
  <c r="BB342" i="2"/>
  <c r="BA321" i="2"/>
  <c r="BB321" i="2"/>
  <c r="AQ315" i="2"/>
  <c r="BA285" i="2"/>
  <c r="BB285" i="2"/>
  <c r="BA259" i="2"/>
  <c r="AQ210" i="2"/>
  <c r="AM4" i="2"/>
  <c r="BP244" i="2"/>
  <c r="BA220" i="2"/>
  <c r="BB220" i="2"/>
  <c r="BP90" i="2"/>
  <c r="AQ90" i="2"/>
  <c r="BB32" i="2"/>
  <c r="BA32" i="2"/>
  <c r="AQ32" i="2"/>
  <c r="AQ220" i="2"/>
  <c r="BP220" i="2"/>
  <c r="BA171" i="2"/>
  <c r="BB171" i="2"/>
  <c r="BA140" i="2"/>
  <c r="BB140" i="2"/>
  <c r="AQ140" i="2"/>
  <c r="AS126" i="2"/>
  <c r="AT126" i="2"/>
  <c r="AU126" i="2" s="1"/>
  <c r="AS40" i="2"/>
  <c r="AT40" i="2"/>
  <c r="AU40" i="2" s="1"/>
  <c r="AV40" i="2"/>
  <c r="BA423" i="2"/>
  <c r="BB423" i="2"/>
  <c r="AQ364" i="2"/>
  <c r="AM347" i="2"/>
  <c r="BB314" i="2"/>
  <c r="AQ297" i="2"/>
  <c r="BB297" i="2"/>
  <c r="BP259" i="2"/>
  <c r="AQ221" i="2"/>
  <c r="BA221" i="2"/>
  <c r="BB221" i="2"/>
  <c r="AQ186" i="2"/>
  <c r="BA186" i="2"/>
  <c r="BB186" i="2"/>
  <c r="AS168" i="2"/>
  <c r="AT168" i="2"/>
  <c r="AU168" i="2" s="1"/>
  <c r="AQ446" i="2"/>
  <c r="BB412" i="2"/>
  <c r="BA412" i="2"/>
  <c r="BB411" i="2"/>
  <c r="BB388" i="2"/>
  <c r="AM374" i="2"/>
  <c r="BA353" i="2"/>
  <c r="AQ241" i="2"/>
  <c r="BA241" i="2"/>
  <c r="BB241" i="2"/>
  <c r="BB201" i="2"/>
  <c r="BA201" i="2"/>
  <c r="BP313" i="2"/>
  <c r="AQ310" i="2"/>
  <c r="BP310" i="2"/>
  <c r="AQ263" i="2"/>
  <c r="BA263" i="2"/>
  <c r="BB263" i="2"/>
  <c r="BP213" i="2"/>
  <c r="BP177" i="2"/>
  <c r="BA384" i="2"/>
  <c r="AQ384" i="2"/>
  <c r="BA379" i="2"/>
  <c r="BB379" i="2"/>
  <c r="AM366" i="2"/>
  <c r="BA346" i="2"/>
  <c r="BA337" i="2"/>
  <c r="BB337" i="2"/>
  <c r="AQ337" i="2"/>
  <c r="BA313" i="2"/>
  <c r="BB313" i="2"/>
  <c r="AV299" i="2"/>
  <c r="AU299" i="2"/>
  <c r="BA203" i="2"/>
  <c r="BB203" i="2"/>
  <c r="AQ177" i="2"/>
  <c r="BB177" i="2"/>
  <c r="BA177" i="2"/>
  <c r="BP96" i="2"/>
  <c r="AQ96" i="2"/>
  <c r="BA341" i="2"/>
  <c r="AQ341" i="2"/>
  <c r="AM331" i="2"/>
  <c r="AM316" i="2"/>
  <c r="BP316" i="2" s="1"/>
  <c r="BA291" i="2"/>
  <c r="BB291" i="2"/>
  <c r="AQ268" i="2"/>
  <c r="BA268" i="2"/>
  <c r="BB268" i="2"/>
  <c r="AM236" i="2"/>
  <c r="AM217" i="2"/>
  <c r="BP217" i="2" s="1"/>
  <c r="AQ191" i="2"/>
  <c r="BP191" i="2"/>
  <c r="AV168" i="2"/>
  <c r="BP156" i="2"/>
  <c r="AQ156" i="2"/>
  <c r="AQ256" i="2"/>
  <c r="BA256" i="2"/>
  <c r="BB256" i="2"/>
  <c r="AM235" i="2"/>
  <c r="BP235" i="2" s="1"/>
  <c r="BA213" i="2"/>
  <c r="BB213" i="2"/>
  <c r="AQ213" i="2"/>
  <c r="BB136" i="2"/>
  <c r="BA136" i="2"/>
  <c r="AQ136" i="2"/>
  <c r="AV126" i="2"/>
  <c r="AM385" i="2"/>
  <c r="BB383" i="2"/>
  <c r="AQ383" i="2"/>
  <c r="BA293" i="2"/>
  <c r="BA276" i="2"/>
  <c r="AQ276" i="2"/>
  <c r="BP263" i="2"/>
  <c r="BA250" i="2"/>
  <c r="BB250" i="2"/>
  <c r="BA181" i="2"/>
  <c r="BB181" i="2"/>
  <c r="BP172" i="2"/>
  <c r="AQ172" i="2"/>
  <c r="BB505" i="2"/>
  <c r="AQ494" i="2"/>
  <c r="AM439" i="2"/>
  <c r="BA387" i="2"/>
  <c r="BB387" i="2"/>
  <c r="BB368" i="2"/>
  <c r="BA368" i="2"/>
  <c r="BA347" i="2"/>
  <c r="BB347" i="2"/>
  <c r="BB343" i="2"/>
  <c r="AM334" i="2"/>
  <c r="AQ332" i="2"/>
  <c r="BB308" i="2"/>
  <c r="BB282" i="2"/>
  <c r="AQ282" i="2"/>
  <c r="BB277" i="2"/>
  <c r="BA277" i="2"/>
  <c r="BA260" i="2"/>
  <c r="AQ251" i="2"/>
  <c r="BB251" i="2"/>
  <c r="BA251" i="2"/>
  <c r="AM247" i="2"/>
  <c r="BA224" i="2"/>
  <c r="BB224" i="2"/>
  <c r="AQ215" i="2"/>
  <c r="BA215" i="2"/>
  <c r="BB215" i="2"/>
  <c r="AQ202" i="2"/>
  <c r="BA202" i="2"/>
  <c r="BB202" i="2"/>
  <c r="AQ179" i="2"/>
  <c r="BP179" i="2"/>
  <c r="AQ141" i="2"/>
  <c r="BA141" i="2"/>
  <c r="BB141" i="2"/>
  <c r="AQ134" i="2"/>
  <c r="BA134" i="2"/>
  <c r="BB134" i="2"/>
  <c r="BA508" i="2"/>
  <c r="BB483" i="2"/>
  <c r="BA463" i="2"/>
  <c r="BB463" i="2"/>
  <c r="BB310" i="2"/>
  <c r="BA303" i="2"/>
  <c r="BB303" i="2"/>
  <c r="BP295" i="2"/>
  <c r="BA275" i="2"/>
  <c r="BB275" i="2"/>
  <c r="BP270" i="2"/>
  <c r="BP266" i="2"/>
  <c r="BA243" i="2"/>
  <c r="AM242" i="2"/>
  <c r="BB194" i="2"/>
  <c r="BA194" i="2"/>
  <c r="AQ194" i="2"/>
  <c r="BA189" i="2"/>
  <c r="BB189" i="2"/>
  <c r="AR163" i="2"/>
  <c r="AV163" i="2" s="1"/>
  <c r="AM159" i="2"/>
  <c r="BB138" i="2"/>
  <c r="BP129" i="2"/>
  <c r="AQ305" i="2"/>
  <c r="AR295" i="2"/>
  <c r="AV295" i="2" s="1"/>
  <c r="AV287" i="2"/>
  <c r="BB266" i="2"/>
  <c r="AQ266" i="2"/>
  <c r="BP241" i="2"/>
  <c r="AQ193" i="2"/>
  <c r="BA193" i="2"/>
  <c r="BB193" i="2"/>
  <c r="AQ88" i="2"/>
  <c r="BP88" i="2"/>
  <c r="BA85" i="2"/>
  <c r="BB85" i="2"/>
  <c r="BB72" i="2"/>
  <c r="BA72" i="2"/>
  <c r="BA39" i="2"/>
  <c r="BB39" i="2"/>
  <c r="AR38" i="2"/>
  <c r="AV38" i="2"/>
  <c r="AV222" i="2"/>
  <c r="AR222" i="2"/>
  <c r="BP211" i="2"/>
  <c r="BP198" i="2"/>
  <c r="AQ162" i="2"/>
  <c r="BA162" i="2"/>
  <c r="BB162" i="2"/>
  <c r="BP80" i="2"/>
  <c r="AQ80" i="2"/>
  <c r="BP50" i="2"/>
  <c r="AQ50" i="2"/>
  <c r="BB249" i="2"/>
  <c r="BB235" i="2"/>
  <c r="BA205" i="2"/>
  <c r="BB205" i="2"/>
  <c r="BA195" i="2"/>
  <c r="BB195" i="2"/>
  <c r="BB87" i="2"/>
  <c r="AQ87" i="2"/>
  <c r="BA87" i="2"/>
  <c r="BA59" i="2"/>
  <c r="AQ59" i="2"/>
  <c r="BB59" i="2"/>
  <c r="BA30" i="2"/>
  <c r="BB30" i="2"/>
  <c r="AQ30" i="2"/>
  <c r="BB272" i="2"/>
  <c r="BA242" i="2"/>
  <c r="BB242" i="2"/>
  <c r="BA137" i="2"/>
  <c r="AQ137" i="2"/>
  <c r="BB137" i="2"/>
  <c r="BA106" i="2"/>
  <c r="AQ106" i="2"/>
  <c r="BB106" i="2"/>
  <c r="AQ101" i="2"/>
  <c r="BA101" i="2"/>
  <c r="BB101" i="2"/>
  <c r="BP16" i="2"/>
  <c r="BA374" i="2"/>
  <c r="BB311" i="2"/>
  <c r="AM304" i="2"/>
  <c r="AM290" i="2"/>
  <c r="AM267" i="2"/>
  <c r="BA255" i="2"/>
  <c r="BB255" i="2"/>
  <c r="AM157" i="2"/>
  <c r="BP128" i="2"/>
  <c r="AQ128" i="2"/>
  <c r="BP116" i="2"/>
  <c r="AQ363" i="2"/>
  <c r="AM350" i="2"/>
  <c r="BA319" i="2"/>
  <c r="BA311" i="2"/>
  <c r="BB294" i="2"/>
  <c r="BB290" i="2"/>
  <c r="BA267" i="2"/>
  <c r="AV197" i="2"/>
  <c r="AQ188" i="2"/>
  <c r="BP188" i="2"/>
  <c r="AQ174" i="2"/>
  <c r="BB174" i="2"/>
  <c r="BA174" i="2"/>
  <c r="BB165" i="2"/>
  <c r="AQ165" i="2"/>
  <c r="BA165" i="2"/>
  <c r="AM418" i="2"/>
  <c r="BB409" i="2"/>
  <c r="AM396" i="2"/>
  <c r="BB352" i="2"/>
  <c r="AQ288" i="2"/>
  <c r="BA283" i="2"/>
  <c r="BB281" i="2"/>
  <c r="BB274" i="2"/>
  <c r="BA274" i="2"/>
  <c r="BA262" i="2"/>
  <c r="AQ252" i="2"/>
  <c r="BB199" i="2"/>
  <c r="BB15" i="2"/>
  <c r="AQ15" i="2"/>
  <c r="BA15" i="2"/>
  <c r="BB377" i="2"/>
  <c r="BB374" i="2"/>
  <c r="BP284" i="2"/>
  <c r="BA281" i="2"/>
  <c r="BA279" i="2"/>
  <c r="BP184" i="2"/>
  <c r="AM178" i="2"/>
  <c r="BA176" i="2"/>
  <c r="BB176" i="2"/>
  <c r="BP69" i="2"/>
  <c r="AQ69" i="2"/>
  <c r="BP14" i="2"/>
  <c r="AQ14" i="2"/>
  <c r="BA168" i="2"/>
  <c r="BB168" i="2"/>
  <c r="BA89" i="2"/>
  <c r="BB89" i="2"/>
  <c r="BB84" i="2"/>
  <c r="BA84" i="2"/>
  <c r="BB16" i="2"/>
  <c r="BA16" i="2"/>
  <c r="BB173" i="2"/>
  <c r="BA146" i="2"/>
  <c r="BB146" i="2"/>
  <c r="BP124" i="2"/>
  <c r="AQ124" i="2"/>
  <c r="BP100" i="2"/>
  <c r="AQ100" i="2"/>
  <c r="AM39" i="2"/>
  <c r="BP39" i="2" s="1"/>
  <c r="BA247" i="2"/>
  <c r="BB247" i="2"/>
  <c r="BA239" i="2"/>
  <c r="BB239" i="2"/>
  <c r="AQ150" i="2"/>
  <c r="BB150" i="2"/>
  <c r="BA150" i="2"/>
  <c r="BA145" i="2"/>
  <c r="BB145" i="2"/>
  <c r="AR92" i="2"/>
  <c r="AV92" i="2" s="1"/>
  <c r="AQ21" i="2"/>
  <c r="BP9" i="2"/>
  <c r="AQ9" i="2"/>
  <c r="AQ3" i="2"/>
  <c r="BA3" i="2"/>
  <c r="BB3" i="2"/>
  <c r="BA233" i="2"/>
  <c r="BB233" i="2"/>
  <c r="AM216" i="2"/>
  <c r="AQ208" i="2"/>
  <c r="BA208" i="2"/>
  <c r="BB208" i="2"/>
  <c r="BB185" i="2"/>
  <c r="BB183" i="2"/>
  <c r="AQ180" i="2"/>
  <c r="BA180" i="2"/>
  <c r="BB180" i="2"/>
  <c r="AQ170" i="2"/>
  <c r="BB170" i="2"/>
  <c r="BA170" i="2"/>
  <c r="AQ161" i="2"/>
  <c r="BA161" i="2"/>
  <c r="BB161" i="2"/>
  <c r="AQ118" i="2"/>
  <c r="BP118" i="2"/>
  <c r="AQ117" i="2"/>
  <c r="BA78" i="2"/>
  <c r="BB78" i="2"/>
  <c r="AQ240" i="2"/>
  <c r="BA227" i="2"/>
  <c r="BB227" i="2"/>
  <c r="AQ214" i="2"/>
  <c r="AM158" i="2"/>
  <c r="BP155" i="2"/>
  <c r="BA139" i="2"/>
  <c r="BB139" i="2"/>
  <c r="AQ139" i="2"/>
  <c r="AM131" i="2"/>
  <c r="BP131" i="2" s="1"/>
  <c r="BA118" i="2"/>
  <c r="BP70" i="2"/>
  <c r="AQ48" i="2"/>
  <c r="BP48" i="2"/>
  <c r="BA236" i="2"/>
  <c r="BB236" i="2"/>
  <c r="BB226" i="2"/>
  <c r="BA218" i="2"/>
  <c r="BB218" i="2"/>
  <c r="BA178" i="2"/>
  <c r="BB178" i="2"/>
  <c r="BB155" i="2"/>
  <c r="AQ155" i="2"/>
  <c r="BA144" i="2"/>
  <c r="BP97" i="2"/>
  <c r="AQ97" i="2"/>
  <c r="BP92" i="2"/>
  <c r="AQ54" i="2"/>
  <c r="BP54" i="2"/>
  <c r="AS41" i="2"/>
  <c r="BB258" i="2"/>
  <c r="BP246" i="2"/>
  <c r="BA230" i="2"/>
  <c r="BB230" i="2"/>
  <c r="BA196" i="2"/>
  <c r="BB196" i="2"/>
  <c r="BB175" i="2"/>
  <c r="BA175" i="2"/>
  <c r="AQ175" i="2"/>
  <c r="BB172" i="2"/>
  <c r="BA172" i="2"/>
  <c r="BA133" i="2"/>
  <c r="BB133" i="2"/>
  <c r="BB92" i="2"/>
  <c r="BA92" i="2"/>
  <c r="AQ25" i="2"/>
  <c r="BP25" i="2"/>
  <c r="BA13" i="2"/>
  <c r="BB13" i="2"/>
  <c r="AQ13" i="2"/>
  <c r="AV12" i="2"/>
  <c r="AQ199" i="2"/>
  <c r="AM153" i="2"/>
  <c r="BP153" i="2" s="1"/>
  <c r="AT77" i="2"/>
  <c r="AU77" i="2" s="1"/>
  <c r="AS77" i="2"/>
  <c r="AQ42" i="2"/>
  <c r="BP42" i="2"/>
  <c r="BA28" i="2"/>
  <c r="BB28" i="2"/>
  <c r="BP160" i="2"/>
  <c r="BB117" i="2"/>
  <c r="BA117" i="2"/>
  <c r="BP108" i="2"/>
  <c r="BB105" i="2"/>
  <c r="BA86" i="2"/>
  <c r="BB86" i="2"/>
  <c r="BA73" i="2"/>
  <c r="BB73" i="2"/>
  <c r="AQ51" i="2"/>
  <c r="BA47" i="2"/>
  <c r="BB47" i="2"/>
  <c r="AU41" i="2"/>
  <c r="AV41" i="2"/>
  <c r="BA126" i="2"/>
  <c r="BB126" i="2"/>
  <c r="AM113" i="2"/>
  <c r="BA95" i="2"/>
  <c r="BB95" i="2"/>
  <c r="BA23" i="2"/>
  <c r="BP12" i="2"/>
  <c r="AM204" i="2"/>
  <c r="BA197" i="2"/>
  <c r="BB197" i="2"/>
  <c r="BB192" i="2"/>
  <c r="AQ167" i="2"/>
  <c r="BA167" i="2"/>
  <c r="BB147" i="2"/>
  <c r="AM142" i="2"/>
  <c r="BB135" i="2"/>
  <c r="BA135" i="2"/>
  <c r="BA132" i="2"/>
  <c r="BB132" i="2"/>
  <c r="BB104" i="2"/>
  <c r="AQ104" i="2"/>
  <c r="BA104" i="2"/>
  <c r="BA71" i="2"/>
  <c r="BB71" i="2"/>
  <c r="BA36" i="2"/>
  <c r="BB36" i="2"/>
  <c r="AQ17" i="2"/>
  <c r="BA17" i="2"/>
  <c r="BB62" i="2"/>
  <c r="BA62" i="2"/>
  <c r="AQ62" i="2"/>
  <c r="BB27" i="2"/>
  <c r="AQ27" i="2"/>
  <c r="BA19" i="2"/>
  <c r="AQ19" i="2"/>
  <c r="BB19" i="2"/>
  <c r="BB11" i="2"/>
  <c r="AQ11" i="2"/>
  <c r="BA128" i="2"/>
  <c r="BB128" i="2"/>
  <c r="AM119" i="2"/>
  <c r="BA90" i="2"/>
  <c r="BB90" i="2"/>
  <c r="BA65" i="2"/>
  <c r="AQ65" i="2"/>
  <c r="BB61" i="2"/>
  <c r="BA61" i="2"/>
  <c r="BB53" i="2"/>
  <c r="BA53" i="2"/>
  <c r="BA33" i="2"/>
  <c r="BB33" i="2"/>
  <c r="AM166" i="2"/>
  <c r="AQ153" i="2"/>
  <c r="AM125" i="2"/>
  <c r="BP125" i="2" s="1"/>
  <c r="BB48" i="2"/>
  <c r="BP45" i="2"/>
  <c r="BA35" i="2"/>
  <c r="BB35" i="2"/>
  <c r="BA122" i="2"/>
  <c r="BP112" i="2"/>
  <c r="BB108" i="2"/>
  <c r="BA108" i="2"/>
  <c r="AQ108" i="2"/>
  <c r="BB76" i="2"/>
  <c r="AQ76" i="2"/>
  <c r="BA76" i="2"/>
  <c r="BB45" i="2"/>
  <c r="AQ45" i="2"/>
  <c r="BA22" i="2"/>
  <c r="BB22" i="2"/>
  <c r="AM146" i="2"/>
  <c r="BP146" i="2" s="1"/>
  <c r="AM130" i="2"/>
  <c r="BA115" i="2"/>
  <c r="BB115" i="2"/>
  <c r="AM86" i="2"/>
  <c r="BP86" i="2" s="1"/>
  <c r="BA64" i="2"/>
  <c r="BB64" i="2"/>
  <c r="BA27" i="2"/>
  <c r="BA142" i="2"/>
  <c r="BP140" i="2"/>
  <c r="BB119" i="2"/>
  <c r="BB100" i="2"/>
  <c r="BA98" i="2"/>
  <c r="BB98" i="2"/>
  <c r="BA94" i="2"/>
  <c r="BA91" i="2"/>
  <c r="AQ63" i="2"/>
  <c r="BB58" i="2"/>
  <c r="BP15" i="2"/>
  <c r="AQ6" i="2"/>
  <c r="BA6" i="2"/>
  <c r="BB6" i="2"/>
  <c r="BA138" i="2"/>
  <c r="BA121" i="2"/>
  <c r="BB121" i="2"/>
  <c r="BA88" i="2"/>
  <c r="BB88" i="2"/>
  <c r="BA70" i="2"/>
  <c r="BB70" i="2"/>
  <c r="AM24" i="2"/>
  <c r="AM18" i="2"/>
  <c r="AM149" i="2"/>
  <c r="AQ114" i="2"/>
  <c r="AM99" i="2"/>
  <c r="BP99" i="2" s="1"/>
  <c r="AV77" i="2"/>
  <c r="BP31" i="2"/>
  <c r="BA29" i="2"/>
  <c r="BA24" i="2"/>
  <c r="BB24" i="2"/>
  <c r="BB12" i="2"/>
  <c r="BB144" i="2"/>
  <c r="BB142" i="2"/>
  <c r="AQ79" i="2"/>
  <c r="BP79" i="2"/>
  <c r="AQ68" i="2"/>
  <c r="BA68" i="2"/>
  <c r="BB68" i="2"/>
  <c r="BA60" i="2"/>
  <c r="BB60" i="2"/>
  <c r="BB57" i="2"/>
  <c r="BA43" i="2"/>
  <c r="BB43" i="2"/>
  <c r="BA37" i="2"/>
  <c r="AQ37" i="2"/>
  <c r="BA34" i="2"/>
  <c r="BB34" i="2"/>
  <c r="BA119" i="2"/>
  <c r="BB93" i="2"/>
  <c r="AM71" i="2"/>
  <c r="BP71" i="2" s="1"/>
  <c r="AM23" i="2"/>
  <c r="BP23" i="2" s="1"/>
  <c r="AM72" i="2"/>
  <c r="AQ70" i="2"/>
  <c r="BB56" i="2"/>
  <c r="AM36" i="2"/>
  <c r="BP36" i="2" s="1"/>
  <c r="AM22" i="2"/>
  <c r="BP22" i="2" s="1"/>
  <c r="BA18" i="2"/>
  <c r="BA14" i="2"/>
  <c r="BB10" i="2"/>
  <c r="AQ8" i="2"/>
  <c r="AM111" i="2"/>
  <c r="AM52" i="2"/>
  <c r="BP52" i="2" s="1"/>
  <c r="BA48" i="2"/>
  <c r="BB5" i="2"/>
  <c r="AM2" i="2"/>
  <c r="BB46" i="2"/>
  <c r="BA44" i="2"/>
  <c r="BP40" i="2"/>
  <c r="BB109" i="2"/>
  <c r="BA107" i="2"/>
  <c r="BB96" i="2"/>
  <c r="BB94" i="2"/>
  <c r="BA83" i="2"/>
  <c r="BB40" i="2"/>
  <c r="BB31" i="2"/>
  <c r="BB14" i="2"/>
  <c r="BB8" i="2"/>
  <c r="AM7" i="2"/>
  <c r="BB103" i="2"/>
  <c r="BB81" i="2"/>
  <c r="BA79" i="2"/>
  <c r="BA8" i="2"/>
  <c r="BB7" i="2"/>
  <c r="AQ75" i="2"/>
  <c r="AQ10" i="2"/>
  <c r="AQ5" i="2"/>
  <c r="AR644" i="2" l="1"/>
  <c r="AV644" i="2"/>
  <c r="AR570" i="2"/>
  <c r="AV570" i="2" s="1"/>
  <c r="AV314" i="2"/>
  <c r="AR314" i="2"/>
  <c r="AR354" i="2"/>
  <c r="AV354" i="2"/>
  <c r="AR524" i="2"/>
  <c r="AV524" i="2" s="1"/>
  <c r="AQ455" i="2"/>
  <c r="AR49" i="2"/>
  <c r="AV49" i="2" s="1"/>
  <c r="AQ564" i="2"/>
  <c r="BP346" i="2"/>
  <c r="AV513" i="2"/>
  <c r="AV151" i="2"/>
  <c r="AQ632" i="2"/>
  <c r="AQ57" i="2"/>
  <c r="AQ121" i="2"/>
  <c r="AS12" i="2"/>
  <c r="BP33" i="2"/>
  <c r="AQ370" i="2"/>
  <c r="AQ265" i="2"/>
  <c r="AR265" i="2" s="1"/>
  <c r="AQ652" i="2"/>
  <c r="AQ196" i="2"/>
  <c r="AR196" i="2" s="1"/>
  <c r="AV127" i="2"/>
  <c r="BP122" i="2"/>
  <c r="AQ405" i="2"/>
  <c r="AR405" i="2" s="1"/>
  <c r="AQ529" i="2"/>
  <c r="AR529" i="2" s="1"/>
  <c r="BP426" i="2"/>
  <c r="AQ95" i="2"/>
  <c r="AR95" i="2" s="1"/>
  <c r="AV95" i="2" s="1"/>
  <c r="AV123" i="2"/>
  <c r="BP567" i="2"/>
  <c r="AQ348" i="2"/>
  <c r="AU151" i="2"/>
  <c r="AQ361" i="2"/>
  <c r="AR361" i="2" s="1"/>
  <c r="AQ595" i="2"/>
  <c r="AQ60" i="2"/>
  <c r="AQ145" i="2"/>
  <c r="AQ78" i="2"/>
  <c r="AR78" i="2" s="1"/>
  <c r="AV225" i="2"/>
  <c r="AV144" i="2"/>
  <c r="BP55" i="2"/>
  <c r="AQ316" i="2"/>
  <c r="AR316" i="2" s="1"/>
  <c r="AV316" i="2" s="1"/>
  <c r="AQ614" i="2"/>
  <c r="AR614" i="2" s="1"/>
  <c r="AV614" i="2" s="1"/>
  <c r="BP546" i="2"/>
  <c r="AS586" i="2"/>
  <c r="AQ675" i="2"/>
  <c r="BP308" i="2"/>
  <c r="AQ663" i="2"/>
  <c r="BP570" i="2"/>
  <c r="AR544" i="2"/>
  <c r="AV544" i="2"/>
  <c r="BP296" i="2"/>
  <c r="AT377" i="2"/>
  <c r="AU377" i="2" s="1"/>
  <c r="BP44" i="2"/>
  <c r="AQ579" i="2"/>
  <c r="AR579" i="2" s="1"/>
  <c r="AT579" i="2" s="1"/>
  <c r="BP579" i="2"/>
  <c r="BP604" i="2"/>
  <c r="AQ612" i="2"/>
  <c r="AR612" i="2" s="1"/>
  <c r="AS612" i="2" s="1"/>
  <c r="AQ414" i="2"/>
  <c r="AR414" i="2" s="1"/>
  <c r="AV590" i="2"/>
  <c r="AQ423" i="2"/>
  <c r="AQ677" i="2"/>
  <c r="AR677" i="2" s="1"/>
  <c r="AQ669" i="2"/>
  <c r="AS590" i="2"/>
  <c r="AT590" i="2"/>
  <c r="AQ20" i="2"/>
  <c r="AQ298" i="2"/>
  <c r="BP613" i="2"/>
  <c r="AQ402" i="2"/>
  <c r="AR402" i="2" s="1"/>
  <c r="AV402" i="2" s="1"/>
  <c r="AQ34" i="2"/>
  <c r="AR34" i="2" s="1"/>
  <c r="BP169" i="2"/>
  <c r="AS299" i="2"/>
  <c r="AQ249" i="2"/>
  <c r="AQ456" i="2"/>
  <c r="AR456" i="2" s="1"/>
  <c r="AV456" i="2" s="1"/>
  <c r="AU245" i="2"/>
  <c r="AQ594" i="2"/>
  <c r="BP558" i="2"/>
  <c r="BP127" i="2"/>
  <c r="AS151" i="2"/>
  <c r="AQ516" i="2"/>
  <c r="AR516" i="2" s="1"/>
  <c r="AT516" i="2" s="1"/>
  <c r="AT617" i="2"/>
  <c r="AU617" i="2" s="1"/>
  <c r="AS617" i="2"/>
  <c r="AQ94" i="2"/>
  <c r="AQ488" i="2"/>
  <c r="AQ28" i="2"/>
  <c r="AR28" i="2" s="1"/>
  <c r="AT144" i="2"/>
  <c r="AU144" i="2" s="1"/>
  <c r="AQ56" i="2"/>
  <c r="AR56" i="2" s="1"/>
  <c r="AQ91" i="2"/>
  <c r="AR91" i="2" s="1"/>
  <c r="AQ115" i="2"/>
  <c r="AQ36" i="2"/>
  <c r="AR36" i="2" s="1"/>
  <c r="AV36" i="2" s="1"/>
  <c r="AQ326" i="2"/>
  <c r="AR326" i="2" s="1"/>
  <c r="AQ342" i="2"/>
  <c r="BP152" i="2"/>
  <c r="BP508" i="2"/>
  <c r="AQ273" i="2"/>
  <c r="AQ340" i="2"/>
  <c r="BL697" i="2"/>
  <c r="AQ578" i="2"/>
  <c r="BP230" i="2"/>
  <c r="AQ261" i="2"/>
  <c r="AQ138" i="2"/>
  <c r="AR138" i="2" s="1"/>
  <c r="AV138" i="2" s="1"/>
  <c r="AV501" i="2"/>
  <c r="AQ646" i="2"/>
  <c r="AR646" i="2" s="1"/>
  <c r="BP287" i="2"/>
  <c r="AL697" i="2"/>
  <c r="AU590" i="2"/>
  <c r="AQ358" i="2"/>
  <c r="AV358" i="2" s="1"/>
  <c r="AQ353" i="2"/>
  <c r="AR353" i="2" s="1"/>
  <c r="AQ271" i="2"/>
  <c r="AR271" i="2" s="1"/>
  <c r="BP293" i="2"/>
  <c r="AQ362" i="2"/>
  <c r="AT501" i="2"/>
  <c r="AU501" i="2" s="1"/>
  <c r="AQ502" i="2"/>
  <c r="AQ521" i="2"/>
  <c r="BP354" i="2"/>
  <c r="BP314" i="2"/>
  <c r="AQ451" i="2"/>
  <c r="AR451" i="2" s="1"/>
  <c r="AV451" i="2" s="1"/>
  <c r="AV489" i="2"/>
  <c r="BP123" i="2"/>
  <c r="BP280" i="2"/>
  <c r="AQ495" i="2"/>
  <c r="AQ395" i="2"/>
  <c r="BP355" i="2"/>
  <c r="AQ556" i="2"/>
  <c r="AR556" i="2" s="1"/>
  <c r="AQ589" i="2"/>
  <c r="AR589" i="2" s="1"/>
  <c r="AQ638" i="2"/>
  <c r="AV693" i="2"/>
  <c r="AQ636" i="2"/>
  <c r="AQ103" i="2"/>
  <c r="AQ98" i="2"/>
  <c r="AQ311" i="2"/>
  <c r="AQ110" i="2"/>
  <c r="AV377" i="2"/>
  <c r="AR512" i="2"/>
  <c r="AV512" i="2" s="1"/>
  <c r="AR206" i="2"/>
  <c r="AV206" i="2"/>
  <c r="BP66" i="2"/>
  <c r="AQ66" i="2"/>
  <c r="AR201" i="2"/>
  <c r="AV201" i="2"/>
  <c r="AV609" i="2"/>
  <c r="AU609" i="2"/>
  <c r="AQ550" i="2"/>
  <c r="AR550" i="2" s="1"/>
  <c r="AV550" i="2" s="1"/>
  <c r="BP229" i="2"/>
  <c r="AT639" i="2"/>
  <c r="AU639" i="2" s="1"/>
  <c r="AS639" i="2"/>
  <c r="AQ329" i="2"/>
  <c r="AQ571" i="2"/>
  <c r="AQ483" i="2"/>
  <c r="AR483" i="2" s="1"/>
  <c r="AQ658" i="2"/>
  <c r="BP658" i="2"/>
  <c r="AR147" i="2"/>
  <c r="AV147" i="2" s="1"/>
  <c r="AQ164" i="2"/>
  <c r="AR164" i="2" s="1"/>
  <c r="BP144" i="2"/>
  <c r="AQ302" i="2"/>
  <c r="AQ597" i="2"/>
  <c r="AR597" i="2" s="1"/>
  <c r="AQ183" i="2"/>
  <c r="BP250" i="2"/>
  <c r="AQ422" i="2"/>
  <c r="AQ607" i="2"/>
  <c r="AQ541" i="2"/>
  <c r="BP82" i="2"/>
  <c r="BP432" i="2"/>
  <c r="BP307" i="2"/>
  <c r="BA688" i="2"/>
  <c r="BB688" i="2"/>
  <c r="BB642" i="2"/>
  <c r="AQ642" i="2"/>
  <c r="AQ132" i="2"/>
  <c r="AT260" i="2"/>
  <c r="AU260" i="2" s="1"/>
  <c r="BP218" i="2"/>
  <c r="AQ218" i="2"/>
  <c r="AR218" i="2" s="1"/>
  <c r="AV218" i="2" s="1"/>
  <c r="AT127" i="2"/>
  <c r="AU127" i="2" s="1"/>
  <c r="AS127" i="2"/>
  <c r="AV532" i="2"/>
  <c r="BP135" i="2"/>
  <c r="AQ135" i="2"/>
  <c r="AR135" i="2" s="1"/>
  <c r="BP46" i="2"/>
  <c r="AT211" i="2"/>
  <c r="AQ535" i="2"/>
  <c r="AQ608" i="2"/>
  <c r="AQ655" i="2"/>
  <c r="AR655" i="2" s="1"/>
  <c r="AQ647" i="2"/>
  <c r="AR647" i="2" s="1"/>
  <c r="AQ517" i="2"/>
  <c r="BP517" i="2"/>
  <c r="BP201" i="2"/>
  <c r="AR596" i="2"/>
  <c r="AV596" i="2" s="1"/>
  <c r="BP206" i="2"/>
  <c r="AQ411" i="2"/>
  <c r="AR411" i="2" s="1"/>
  <c r="AR234" i="2"/>
  <c r="AV234" i="2" s="1"/>
  <c r="AR133" i="2"/>
  <c r="AV133" i="2"/>
  <c r="AR270" i="2"/>
  <c r="AV270" i="2"/>
  <c r="AV67" i="2"/>
  <c r="AQ195" i="2"/>
  <c r="AR195" i="2" s="1"/>
  <c r="AV195" i="2" s="1"/>
  <c r="AS58" i="2"/>
  <c r="AQ171" i="2"/>
  <c r="AR171" i="2" s="1"/>
  <c r="AQ416" i="2"/>
  <c r="AR416" i="2" s="1"/>
  <c r="AT102" i="2"/>
  <c r="AU102" i="2" s="1"/>
  <c r="BP29" i="2"/>
  <c r="AQ29" i="2"/>
  <c r="BP255" i="2"/>
  <c r="AQ255" i="2"/>
  <c r="AR255" i="2" s="1"/>
  <c r="AQ219" i="2"/>
  <c r="BP219" i="2"/>
  <c r="BP598" i="2"/>
  <c r="AQ539" i="2"/>
  <c r="BP539" i="2"/>
  <c r="AQ528" i="2"/>
  <c r="AS287" i="2"/>
  <c r="AT287" i="2"/>
  <c r="AU287" i="2" s="1"/>
  <c r="AR248" i="2"/>
  <c r="AV248" i="2"/>
  <c r="AU516" i="2"/>
  <c r="AT681" i="2"/>
  <c r="AU681" i="2" s="1"/>
  <c r="AS681" i="2"/>
  <c r="AV516" i="2"/>
  <c r="AQ562" i="2"/>
  <c r="AR562" i="2" s="1"/>
  <c r="AV562" i="2" s="1"/>
  <c r="AR46" i="2"/>
  <c r="AV46" i="2"/>
  <c r="AQ475" i="2"/>
  <c r="AR475" i="2" s="1"/>
  <c r="AQ427" i="2"/>
  <c r="BP427" i="2"/>
  <c r="AR619" i="2"/>
  <c r="AV619" i="2" s="1"/>
  <c r="AQ207" i="2"/>
  <c r="AR207" i="2" s="1"/>
  <c r="AV260" i="2"/>
  <c r="AR203" i="2"/>
  <c r="AV203" i="2" s="1"/>
  <c r="AS516" i="2"/>
  <c r="AQ107" i="2"/>
  <c r="AR107" i="2" s="1"/>
  <c r="AS107" i="2" s="1"/>
  <c r="BP107" i="2"/>
  <c r="AQ73" i="2"/>
  <c r="BP58" i="2"/>
  <c r="AV102" i="2"/>
  <c r="AQ205" i="2"/>
  <c r="BP227" i="2"/>
  <c r="BP148" i="2"/>
  <c r="AQ548" i="2"/>
  <c r="AR548" i="2" s="1"/>
  <c r="AQ668" i="2"/>
  <c r="AR372" i="2"/>
  <c r="AV372" i="2" s="1"/>
  <c r="BP306" i="2"/>
  <c r="AQ306" i="2"/>
  <c r="BP283" i="2"/>
  <c r="AQ283" i="2"/>
  <c r="AR283" i="2" s="1"/>
  <c r="AT283" i="2" s="1"/>
  <c r="BP277" i="2"/>
  <c r="AQ277" i="2"/>
  <c r="AR625" i="2"/>
  <c r="AV625" i="2" s="1"/>
  <c r="AQ237" i="2"/>
  <c r="BP237" i="2"/>
  <c r="BP447" i="2"/>
  <c r="AQ447" i="2"/>
  <c r="BB646" i="2"/>
  <c r="BA646" i="2"/>
  <c r="AR636" i="2"/>
  <c r="AV636" i="2" s="1"/>
  <c r="BP686" i="2"/>
  <c r="AQ686" i="2"/>
  <c r="AQ394" i="2"/>
  <c r="AR394" i="2" s="1"/>
  <c r="BP611" i="2"/>
  <c r="AQ611" i="2"/>
  <c r="AR611" i="2" s="1"/>
  <c r="AS611" i="2" s="1"/>
  <c r="AQ35" i="2"/>
  <c r="AS474" i="2"/>
  <c r="AT474" i="2"/>
  <c r="AU474" i="2" s="1"/>
  <c r="AQ224" i="2"/>
  <c r="BP47" i="2"/>
  <c r="AQ47" i="2"/>
  <c r="AQ81" i="2"/>
  <c r="AR81" i="2" s="1"/>
  <c r="AV81" i="2" s="1"/>
  <c r="AQ243" i="2"/>
  <c r="BP154" i="2"/>
  <c r="AQ291" i="2"/>
  <c r="AR291" i="2" s="1"/>
  <c r="BP258" i="2"/>
  <c r="AQ231" i="2"/>
  <c r="AR231" i="2" s="1"/>
  <c r="AQ651" i="2"/>
  <c r="AR651" i="2" s="1"/>
  <c r="AV651" i="2" s="1"/>
  <c r="AV598" i="2"/>
  <c r="BP547" i="2"/>
  <c r="BP279" i="2"/>
  <c r="AR522" i="2"/>
  <c r="AV522" i="2"/>
  <c r="AR554" i="2"/>
  <c r="AR559" i="2"/>
  <c r="AQ189" i="2"/>
  <c r="AQ181" i="2"/>
  <c r="AR181" i="2" s="1"/>
  <c r="AT225" i="2"/>
  <c r="AU225" i="2" s="1"/>
  <c r="AS225" i="2"/>
  <c r="AR382" i="2"/>
  <c r="AV382" i="2"/>
  <c r="AR391" i="2"/>
  <c r="AV391" i="2"/>
  <c r="AQ85" i="2"/>
  <c r="AQ93" i="2"/>
  <c r="BP84" i="2"/>
  <c r="BP262" i="2"/>
  <c r="AQ209" i="2"/>
  <c r="AQ470" i="2"/>
  <c r="AR470" i="2" s="1"/>
  <c r="AQ351" i="2"/>
  <c r="BP448" i="2"/>
  <c r="AU598" i="2"/>
  <c r="AV671" i="2"/>
  <c r="AR508" i="2"/>
  <c r="AV508" i="2"/>
  <c r="BP412" i="2"/>
  <c r="AQ412" i="2"/>
  <c r="AQ479" i="2"/>
  <c r="BP479" i="2"/>
  <c r="AQ74" i="2"/>
  <c r="AR74" i="2" s="1"/>
  <c r="AS74" i="2" s="1"/>
  <c r="AR656" i="2"/>
  <c r="AV656" i="2"/>
  <c r="AQ233" i="2"/>
  <c r="AR233" i="2" s="1"/>
  <c r="AT233" i="2" s="1"/>
  <c r="BP233" i="2"/>
  <c r="BP338" i="2"/>
  <c r="AQ343" i="2"/>
  <c r="AQ83" i="2"/>
  <c r="BP83" i="2"/>
  <c r="AQ399" i="2"/>
  <c r="AQ398" i="2"/>
  <c r="AU211" i="2"/>
  <c r="AQ254" i="2"/>
  <c r="AR387" i="2"/>
  <c r="AQ538" i="2"/>
  <c r="AQ661" i="2"/>
  <c r="AQ52" i="2"/>
  <c r="AQ89" i="2"/>
  <c r="AR89" i="2" s="1"/>
  <c r="AU58" i="2"/>
  <c r="AQ269" i="2"/>
  <c r="AQ53" i="2"/>
  <c r="AR259" i="2"/>
  <c r="AV259" i="2" s="1"/>
  <c r="AQ328" i="2"/>
  <c r="AR328" i="2" s="1"/>
  <c r="AQ320" i="2"/>
  <c r="AR320" i="2" s="1"/>
  <c r="AT532" i="2"/>
  <c r="AU532" i="2" s="1"/>
  <c r="AV681" i="2"/>
  <c r="BP581" i="2"/>
  <c r="AQ583" i="2"/>
  <c r="AQ424" i="2"/>
  <c r="BP424" i="2"/>
  <c r="AS513" i="2"/>
  <c r="AT513" i="2"/>
  <c r="AU513" i="2" s="1"/>
  <c r="AR185" i="2"/>
  <c r="AV185" i="2"/>
  <c r="AQ484" i="2"/>
  <c r="AQ552" i="2"/>
  <c r="BP552" i="2"/>
  <c r="AR228" i="2"/>
  <c r="AV228" i="2"/>
  <c r="BP109" i="2"/>
  <c r="AQ109" i="2"/>
  <c r="AQ143" i="2"/>
  <c r="AR143" i="2" s="1"/>
  <c r="AQ238" i="2"/>
  <c r="AQ192" i="2"/>
  <c r="AR192" i="2" s="1"/>
  <c r="AV58" i="2"/>
  <c r="AQ506" i="2"/>
  <c r="AQ438" i="2"/>
  <c r="BP64" i="2"/>
  <c r="AQ64" i="2"/>
  <c r="AR413" i="2"/>
  <c r="AV413" i="2"/>
  <c r="AR542" i="2"/>
  <c r="AV542" i="2"/>
  <c r="BP554" i="2"/>
  <c r="AU246" i="2"/>
  <c r="AR6" i="2"/>
  <c r="AR50" i="2"/>
  <c r="AR359" i="2"/>
  <c r="AV359" i="2" s="1"/>
  <c r="AS182" i="2"/>
  <c r="AT182" i="2"/>
  <c r="AU182" i="2" s="1"/>
  <c r="AR401" i="2"/>
  <c r="AV401" i="2" s="1"/>
  <c r="AR607" i="2"/>
  <c r="BP471" i="2"/>
  <c r="AQ471" i="2"/>
  <c r="AR254" i="2"/>
  <c r="AV254" i="2"/>
  <c r="AR602" i="2"/>
  <c r="AV602" i="2" s="1"/>
  <c r="AR188" i="2"/>
  <c r="AV188" i="2"/>
  <c r="AS129" i="2"/>
  <c r="AT129" i="2"/>
  <c r="AR268" i="2"/>
  <c r="AR263" i="2"/>
  <c r="AV263" i="2" s="1"/>
  <c r="AR408" i="2"/>
  <c r="AR239" i="2"/>
  <c r="AQ505" i="2"/>
  <c r="BP505" i="2"/>
  <c r="AR629" i="2"/>
  <c r="AR664" i="2"/>
  <c r="AV664" i="2" s="1"/>
  <c r="AR293" i="2"/>
  <c r="AV293" i="2"/>
  <c r="AR60" i="2"/>
  <c r="AV60" i="2"/>
  <c r="AT38" i="2"/>
  <c r="AU38" i="2" s="1"/>
  <c r="AS38" i="2"/>
  <c r="AR310" i="2"/>
  <c r="AV310" i="2" s="1"/>
  <c r="AT325" i="2"/>
  <c r="AU325" i="2" s="1"/>
  <c r="AS325" i="2"/>
  <c r="AR417" i="2"/>
  <c r="AR187" i="2"/>
  <c r="AR312" i="2"/>
  <c r="AR506" i="2"/>
  <c r="AR468" i="2"/>
  <c r="AV468" i="2"/>
  <c r="BP365" i="2"/>
  <c r="AQ365" i="2"/>
  <c r="AR536" i="2"/>
  <c r="AV536" i="2"/>
  <c r="AR469" i="2"/>
  <c r="AV469" i="2" s="1"/>
  <c r="AR110" i="2"/>
  <c r="AR587" i="2"/>
  <c r="AV587" i="2" s="1"/>
  <c r="AS379" i="2"/>
  <c r="AT379" i="2"/>
  <c r="AU379" i="2" s="1"/>
  <c r="BP560" i="2"/>
  <c r="AQ560" i="2"/>
  <c r="AR482" i="2"/>
  <c r="AR367" i="2"/>
  <c r="AV367" i="2" s="1"/>
  <c r="AV692" i="2"/>
  <c r="AR573" i="2"/>
  <c r="AV573" i="2" s="1"/>
  <c r="BP531" i="2"/>
  <c r="AQ531" i="2"/>
  <c r="AS626" i="2"/>
  <c r="AT626" i="2"/>
  <c r="AU626" i="2" s="1"/>
  <c r="BP688" i="2"/>
  <c r="AQ688" i="2"/>
  <c r="AT677" i="2"/>
  <c r="AU677" i="2" s="1"/>
  <c r="AS677" i="2"/>
  <c r="AR574" i="2"/>
  <c r="AV420" i="2"/>
  <c r="AR547" i="2"/>
  <c r="AV547" i="2" s="1"/>
  <c r="AR684" i="2"/>
  <c r="AV684" i="2" s="1"/>
  <c r="AR640" i="2"/>
  <c r="AV640" i="2"/>
  <c r="BP7" i="2"/>
  <c r="AQ7" i="2"/>
  <c r="AR79" i="2"/>
  <c r="AV79" i="2" s="1"/>
  <c r="BP24" i="2"/>
  <c r="AQ24" i="2"/>
  <c r="AR160" i="2"/>
  <c r="AV160" i="2"/>
  <c r="AR97" i="2"/>
  <c r="AV97" i="2"/>
  <c r="AR100" i="2"/>
  <c r="AV100" i="2" s="1"/>
  <c r="AR169" i="2"/>
  <c r="AV169" i="2"/>
  <c r="AR30" i="2"/>
  <c r="AR193" i="2"/>
  <c r="AT163" i="2"/>
  <c r="AU163" i="2" s="1"/>
  <c r="AS163" i="2"/>
  <c r="AR262" i="2"/>
  <c r="AV262" i="2" s="1"/>
  <c r="AR154" i="2"/>
  <c r="AV154" i="2"/>
  <c r="AR156" i="2"/>
  <c r="AV156" i="2"/>
  <c r="AR446" i="2"/>
  <c r="AV446" i="2" s="1"/>
  <c r="BP4" i="2"/>
  <c r="AQ4" i="2"/>
  <c r="AR370" i="2"/>
  <c r="AS255" i="2"/>
  <c r="AT255" i="2"/>
  <c r="AU255" i="2" s="1"/>
  <c r="BP486" i="2"/>
  <c r="AQ486" i="2"/>
  <c r="AR274" i="2"/>
  <c r="AV274" i="2" s="1"/>
  <c r="AR342" i="2"/>
  <c r="AR557" i="2"/>
  <c r="AV557" i="2" s="1"/>
  <c r="AR294" i="2"/>
  <c r="AR307" i="2"/>
  <c r="AV307" i="2" s="1"/>
  <c r="AS489" i="2"/>
  <c r="AT489" i="2"/>
  <c r="AU489" i="2" s="1"/>
  <c r="AV379" i="2"/>
  <c r="AR376" i="2"/>
  <c r="AR540" i="2"/>
  <c r="AV540" i="2"/>
  <c r="AR549" i="2"/>
  <c r="AQ507" i="2"/>
  <c r="AR674" i="2"/>
  <c r="AV626" i="2"/>
  <c r="AR502" i="2"/>
  <c r="AV502" i="2" s="1"/>
  <c r="AV677" i="2"/>
  <c r="AR344" i="2"/>
  <c r="AS671" i="2"/>
  <c r="AT671" i="2"/>
  <c r="AU671" i="2" s="1"/>
  <c r="AR695" i="2"/>
  <c r="AR103" i="2"/>
  <c r="AR70" i="2"/>
  <c r="AQ142" i="2"/>
  <c r="BP142" i="2"/>
  <c r="AT107" i="2"/>
  <c r="AU107" i="2" s="1"/>
  <c r="AR174" i="2"/>
  <c r="AV174" i="2"/>
  <c r="AR380" i="2"/>
  <c r="AV380" i="2" s="1"/>
  <c r="AR281" i="2"/>
  <c r="AV281" i="2" s="1"/>
  <c r="AQ374" i="2"/>
  <c r="BP374" i="2"/>
  <c r="AR452" i="2"/>
  <c r="AT451" i="2"/>
  <c r="AS451" i="2"/>
  <c r="AR509" i="2"/>
  <c r="AV509" i="2" s="1"/>
  <c r="AS623" i="2"/>
  <c r="AT623" i="2"/>
  <c r="AU623" i="2" s="1"/>
  <c r="AR594" i="2"/>
  <c r="AV594" i="2"/>
  <c r="AR11" i="2"/>
  <c r="BP242" i="2"/>
  <c r="AQ242" i="2"/>
  <c r="BP303" i="2"/>
  <c r="AQ303" i="2"/>
  <c r="AS285" i="2"/>
  <c r="AT285" i="2"/>
  <c r="AU285" i="2" s="1"/>
  <c r="AV285" i="2"/>
  <c r="AR606" i="2"/>
  <c r="AV606" i="2" s="1"/>
  <c r="AR645" i="2"/>
  <c r="AV645" i="2"/>
  <c r="AR48" i="2"/>
  <c r="AV48" i="2" s="1"/>
  <c r="AR69" i="2"/>
  <c r="BP290" i="2"/>
  <c r="AQ290" i="2"/>
  <c r="AR332" i="2"/>
  <c r="AV332" i="2" s="1"/>
  <c r="AR346" i="2"/>
  <c r="AV346" i="2" s="1"/>
  <c r="AR249" i="2"/>
  <c r="AV249" i="2" s="1"/>
  <c r="AR491" i="2"/>
  <c r="AV491" i="2" s="1"/>
  <c r="AR273" i="2"/>
  <c r="AR643" i="2"/>
  <c r="AR93" i="2"/>
  <c r="AV93" i="2"/>
  <c r="AQ166" i="2"/>
  <c r="BP166" i="2"/>
  <c r="AR13" i="2"/>
  <c r="AV13" i="2"/>
  <c r="AR84" i="2"/>
  <c r="AV84" i="2" s="1"/>
  <c r="AR488" i="2"/>
  <c r="AV488" i="2" s="1"/>
  <c r="AQ624" i="2"/>
  <c r="BA624" i="2"/>
  <c r="BB624" i="2"/>
  <c r="AQ71" i="2"/>
  <c r="BP385" i="2"/>
  <c r="AQ385" i="2"/>
  <c r="AR384" i="2"/>
  <c r="AV384" i="2" s="1"/>
  <c r="AR210" i="2"/>
  <c r="AT309" i="2"/>
  <c r="AU309" i="2" s="1"/>
  <c r="AS309" i="2"/>
  <c r="AQ498" i="2"/>
  <c r="AR250" i="2"/>
  <c r="AV250" i="2"/>
  <c r="AR386" i="2"/>
  <c r="AR278" i="2"/>
  <c r="AV278" i="2" s="1"/>
  <c r="AR657" i="2"/>
  <c r="AR668" i="2"/>
  <c r="AV668" i="2" s="1"/>
  <c r="AR633" i="2"/>
  <c r="AV633" i="2" s="1"/>
  <c r="AR139" i="2"/>
  <c r="AV139" i="2"/>
  <c r="AR124" i="2"/>
  <c r="AV124" i="2" s="1"/>
  <c r="AS317" i="2"/>
  <c r="AT317" i="2"/>
  <c r="AU317" i="2" s="1"/>
  <c r="AQ526" i="2"/>
  <c r="BP526" i="2"/>
  <c r="AR223" i="2"/>
  <c r="AS233" i="2"/>
  <c r="AR457" i="2"/>
  <c r="AV457" i="2"/>
  <c r="AR393" i="2"/>
  <c r="AV393" i="2" s="1"/>
  <c r="AR8" i="2"/>
  <c r="AV8" i="2" s="1"/>
  <c r="AR122" i="2"/>
  <c r="AQ216" i="2"/>
  <c r="BP216" i="2"/>
  <c r="AQ350" i="2"/>
  <c r="BP350" i="2"/>
  <c r="AR43" i="2"/>
  <c r="AQ235" i="2"/>
  <c r="AR162" i="2"/>
  <c r="AV162" i="2" s="1"/>
  <c r="AQ331" i="2"/>
  <c r="BP331" i="2"/>
  <c r="AR269" i="2"/>
  <c r="AR53" i="2"/>
  <c r="AV53" i="2" s="1"/>
  <c r="AR349" i="2"/>
  <c r="AV349" i="2" s="1"/>
  <c r="AV198" i="2"/>
  <c r="AR257" i="2"/>
  <c r="AV257" i="2" s="1"/>
  <c r="AR450" i="2"/>
  <c r="AS275" i="2"/>
  <c r="AT275" i="2"/>
  <c r="AU275" i="2" s="1"/>
  <c r="AR409" i="2"/>
  <c r="AQ599" i="2"/>
  <c r="BP599" i="2"/>
  <c r="AR355" i="2"/>
  <c r="AV355" i="2"/>
  <c r="AR319" i="2"/>
  <c r="AV319" i="2" s="1"/>
  <c r="AT524" i="2"/>
  <c r="AU524" i="2" s="1"/>
  <c r="AR566" i="2"/>
  <c r="AR519" i="2"/>
  <c r="AV519" i="2" s="1"/>
  <c r="AR422" i="2"/>
  <c r="AV422" i="2"/>
  <c r="AR553" i="2"/>
  <c r="AV313" i="2"/>
  <c r="AT411" i="2"/>
  <c r="AU411" i="2" s="1"/>
  <c r="AS411" i="2"/>
  <c r="AR449" i="2"/>
  <c r="AV449" i="2"/>
  <c r="AR638" i="2"/>
  <c r="AR591" i="2"/>
  <c r="AV591" i="2" s="1"/>
  <c r="AQ685" i="2"/>
  <c r="BP685" i="2"/>
  <c r="BP615" i="2"/>
  <c r="AQ615" i="2"/>
  <c r="AV567" i="2"/>
  <c r="AR567" i="2"/>
  <c r="AQ430" i="2"/>
  <c r="BP430" i="2"/>
  <c r="AR61" i="2"/>
  <c r="AR465" i="2"/>
  <c r="AR21" i="2"/>
  <c r="AV21" i="2" s="1"/>
  <c r="AR33" i="2"/>
  <c r="AV33" i="2" s="1"/>
  <c r="AR276" i="2"/>
  <c r="BP485" i="2"/>
  <c r="AQ485" i="2"/>
  <c r="AR620" i="2"/>
  <c r="AR650" i="2"/>
  <c r="AV650" i="2" s="1"/>
  <c r="AR311" i="2"/>
  <c r="AR437" i="2"/>
  <c r="AV437" i="2" s="1"/>
  <c r="AS284" i="2"/>
  <c r="AT284" i="2"/>
  <c r="AU284" i="2" s="1"/>
  <c r="AV284" i="2"/>
  <c r="AR551" i="2"/>
  <c r="AV551" i="2" s="1"/>
  <c r="BP459" i="2"/>
  <c r="AQ459" i="2"/>
  <c r="AR511" i="2"/>
  <c r="AR54" i="2"/>
  <c r="AV54" i="2" s="1"/>
  <c r="AR243" i="2"/>
  <c r="AV243" i="2" s="1"/>
  <c r="AR177" i="2"/>
  <c r="AV177" i="2"/>
  <c r="AR443" i="2"/>
  <c r="AV443" i="2" s="1"/>
  <c r="AR672" i="2"/>
  <c r="AQ39" i="2"/>
  <c r="AR279" i="2"/>
  <c r="AR208" i="2"/>
  <c r="AV208" i="2"/>
  <c r="AR266" i="2"/>
  <c r="AV266" i="2" s="1"/>
  <c r="AR358" i="2"/>
  <c r="AR258" i="2"/>
  <c r="AV258" i="2"/>
  <c r="AR148" i="2"/>
  <c r="AQ499" i="2"/>
  <c r="BP499" i="2"/>
  <c r="AQ131" i="2"/>
  <c r="AQ130" i="2"/>
  <c r="BP130" i="2"/>
  <c r="AR62" i="2"/>
  <c r="AR155" i="2"/>
  <c r="AV155" i="2" s="1"/>
  <c r="BP178" i="2"/>
  <c r="AQ178" i="2"/>
  <c r="AT105" i="2"/>
  <c r="AU105" i="2" s="1"/>
  <c r="AS105" i="2"/>
  <c r="AS44" i="2"/>
  <c r="AT44" i="2"/>
  <c r="AU44" i="2" s="1"/>
  <c r="AQ23" i="2"/>
  <c r="AR118" i="2"/>
  <c r="AV118" i="2" s="1"/>
  <c r="AQ146" i="2"/>
  <c r="AR252" i="2"/>
  <c r="AV105" i="2"/>
  <c r="AR363" i="2"/>
  <c r="AR101" i="2"/>
  <c r="AV101" i="2"/>
  <c r="AR244" i="2"/>
  <c r="AV244" i="2" s="1"/>
  <c r="AR189" i="2"/>
  <c r="AV189" i="2" s="1"/>
  <c r="AR141" i="2"/>
  <c r="AV141" i="2"/>
  <c r="AR341" i="2"/>
  <c r="AR241" i="2"/>
  <c r="AR461" i="2"/>
  <c r="AV461" i="2" s="1"/>
  <c r="AR289" i="2"/>
  <c r="AR407" i="2"/>
  <c r="AR403" i="2"/>
  <c r="AR600" i="2"/>
  <c r="AR428" i="2"/>
  <c r="AV428" i="2"/>
  <c r="AV411" i="2"/>
  <c r="BP694" i="2"/>
  <c r="AQ694" i="2"/>
  <c r="AR678" i="2"/>
  <c r="AR232" i="2"/>
  <c r="AR675" i="2"/>
  <c r="AV675" i="2" s="1"/>
  <c r="BP226" i="2"/>
  <c r="AQ226" i="2"/>
  <c r="AR55" i="2"/>
  <c r="AV55" i="2" s="1"/>
  <c r="AV635" i="2"/>
  <c r="AR635" i="2"/>
  <c r="AR227" i="2"/>
  <c r="AR373" i="2"/>
  <c r="AV373" i="2" s="1"/>
  <c r="AR463" i="2"/>
  <c r="AR392" i="2"/>
  <c r="BP397" i="2"/>
  <c r="AQ397" i="2"/>
  <c r="AR673" i="2"/>
  <c r="AR167" i="2"/>
  <c r="AV167" i="2" s="1"/>
  <c r="AR537" i="2"/>
  <c r="AV537" i="2" s="1"/>
  <c r="AR383" i="2"/>
  <c r="AV383" i="2"/>
  <c r="AV325" i="2"/>
  <c r="AR145" i="2"/>
  <c r="AV145" i="2" s="1"/>
  <c r="AQ347" i="2"/>
  <c r="BP347" i="2"/>
  <c r="AR613" i="2"/>
  <c r="AR364" i="2"/>
  <c r="AR404" i="2"/>
  <c r="AV404" i="2" s="1"/>
  <c r="AR37" i="2"/>
  <c r="AV37" i="2" s="1"/>
  <c r="AR5" i="2"/>
  <c r="AV5" i="2" s="1"/>
  <c r="AR65" i="2"/>
  <c r="AV65" i="2"/>
  <c r="AS112" i="2"/>
  <c r="AT112" i="2"/>
  <c r="AU112" i="2" s="1"/>
  <c r="AR73" i="2"/>
  <c r="AV73" i="2" s="1"/>
  <c r="AR42" i="2"/>
  <c r="AR150" i="2"/>
  <c r="AV150" i="2" s="1"/>
  <c r="AV246" i="2"/>
  <c r="AR194" i="2"/>
  <c r="AV194" i="2" s="1"/>
  <c r="AR251" i="2"/>
  <c r="AV251" i="2" s="1"/>
  <c r="AR191" i="2"/>
  <c r="AV191" i="2" s="1"/>
  <c r="AT135" i="2"/>
  <c r="AU135" i="2" s="1"/>
  <c r="AS135" i="2"/>
  <c r="AR186" i="2"/>
  <c r="AV186" i="2"/>
  <c r="AR220" i="2"/>
  <c r="AR434" i="2"/>
  <c r="AV434" i="2" s="1"/>
  <c r="AQ454" i="2"/>
  <c r="BP454" i="2"/>
  <c r="AR329" i="2"/>
  <c r="BP357" i="2"/>
  <c r="AQ357" i="2"/>
  <c r="AR300" i="2"/>
  <c r="AV300" i="2" s="1"/>
  <c r="AQ467" i="2"/>
  <c r="BP467" i="2"/>
  <c r="AR322" i="2"/>
  <c r="AV322" i="2" s="1"/>
  <c r="AR433" i="2"/>
  <c r="AV433" i="2" s="1"/>
  <c r="AS321" i="2"/>
  <c r="AT321" i="2"/>
  <c r="AU321" i="2" s="1"/>
  <c r="AR173" i="2"/>
  <c r="AV173" i="2"/>
  <c r="AR425" i="2"/>
  <c r="AV425" i="2" s="1"/>
  <c r="BP592" i="2"/>
  <c r="AQ592" i="2"/>
  <c r="AV432" i="2"/>
  <c r="BP662" i="2"/>
  <c r="AQ662" i="2"/>
  <c r="AR568" i="2"/>
  <c r="AV568" i="2"/>
  <c r="AR630" i="2"/>
  <c r="AV630" i="2" s="1"/>
  <c r="AR605" i="2"/>
  <c r="AV605" i="2"/>
  <c r="AS584" i="2"/>
  <c r="AT584" i="2"/>
  <c r="AU584" i="2" s="1"/>
  <c r="AR581" i="2"/>
  <c r="AV581" i="2" s="1"/>
  <c r="AR487" i="2"/>
  <c r="AV487" i="2" s="1"/>
  <c r="AR476" i="2"/>
  <c r="AV476" i="2"/>
  <c r="AQ514" i="2"/>
  <c r="AR682" i="2"/>
  <c r="AV255" i="2"/>
  <c r="AR628" i="2"/>
  <c r="AV628" i="2" s="1"/>
  <c r="AR659" i="2"/>
  <c r="AR170" i="2"/>
  <c r="AV170" i="2" s="1"/>
  <c r="AR324" i="2"/>
  <c r="AV324" i="2" s="1"/>
  <c r="AR339" i="2"/>
  <c r="AR88" i="2"/>
  <c r="AV88" i="2" s="1"/>
  <c r="AV182" i="2"/>
  <c r="AR80" i="2"/>
  <c r="AV80" i="2" s="1"/>
  <c r="AR215" i="2"/>
  <c r="AV215" i="2" s="1"/>
  <c r="AR541" i="2"/>
  <c r="AV541" i="2"/>
  <c r="AT82" i="2"/>
  <c r="AU82" i="2" s="1"/>
  <c r="AS82" i="2"/>
  <c r="AS296" i="2"/>
  <c r="AT296" i="2"/>
  <c r="AU296" i="2" s="1"/>
  <c r="AS503" i="2"/>
  <c r="AT503" i="2"/>
  <c r="AU503" i="2" s="1"/>
  <c r="AS530" i="2"/>
  <c r="AT530" i="2"/>
  <c r="AU530" i="2" s="1"/>
  <c r="AV530" i="2"/>
  <c r="AR330" i="2"/>
  <c r="AV330" i="2"/>
  <c r="AR368" i="2"/>
  <c r="AR558" i="2"/>
  <c r="AQ2" i="2"/>
  <c r="BP2" i="2"/>
  <c r="AM697" i="2"/>
  <c r="AV82" i="2"/>
  <c r="BP334" i="2"/>
  <c r="AQ334" i="2"/>
  <c r="AQ366" i="2"/>
  <c r="BP366" i="2"/>
  <c r="AV296" i="2"/>
  <c r="AR381" i="2"/>
  <c r="AR610" i="2"/>
  <c r="AV610" i="2" s="1"/>
  <c r="AR660" i="2"/>
  <c r="AV660" i="2"/>
  <c r="AR19" i="2"/>
  <c r="AV19" i="2" s="1"/>
  <c r="AQ418" i="2"/>
  <c r="BP418" i="2"/>
  <c r="AQ204" i="2"/>
  <c r="BP204" i="2"/>
  <c r="BP497" i="2"/>
  <c r="AQ497" i="2"/>
  <c r="AR389" i="2"/>
  <c r="AR595" i="2"/>
  <c r="BP543" i="2"/>
  <c r="AQ543" i="2"/>
  <c r="AR571" i="2"/>
  <c r="AR518" i="2"/>
  <c r="AV518" i="2" s="1"/>
  <c r="AR500" i="2"/>
  <c r="AV500" i="2" s="1"/>
  <c r="AR388" i="2"/>
  <c r="AV388" i="2"/>
  <c r="AQ125" i="2"/>
  <c r="AR25" i="2"/>
  <c r="AV25" i="2" s="1"/>
  <c r="AR676" i="2"/>
  <c r="AV676" i="2" s="1"/>
  <c r="AR578" i="2"/>
  <c r="AV578" i="2" s="1"/>
  <c r="AR10" i="2"/>
  <c r="AR165" i="2"/>
  <c r="AR116" i="2"/>
  <c r="AR106" i="2"/>
  <c r="AS295" i="2"/>
  <c r="AT295" i="2"/>
  <c r="AU295" i="2" s="1"/>
  <c r="AR179" i="2"/>
  <c r="AR136" i="2"/>
  <c r="AV136" i="2" s="1"/>
  <c r="AR348" i="2"/>
  <c r="AV348" i="2"/>
  <c r="AV135" i="2"/>
  <c r="AS259" i="2"/>
  <c r="AR32" i="2"/>
  <c r="AQ436" i="2"/>
  <c r="BP436" i="2"/>
  <c r="BP390" i="2"/>
  <c r="AQ390" i="2"/>
  <c r="AR371" i="2"/>
  <c r="AV371" i="2" s="1"/>
  <c r="AR481" i="2"/>
  <c r="AV481" i="2"/>
  <c r="AR378" i="2"/>
  <c r="AT458" i="2"/>
  <c r="AU458" i="2" s="1"/>
  <c r="AS458" i="2"/>
  <c r="AR515" i="2"/>
  <c r="AV515" i="2"/>
  <c r="AV321" i="2"/>
  <c r="AR410" i="2"/>
  <c r="BP336" i="2"/>
  <c r="AQ336" i="2"/>
  <c r="AS345" i="2"/>
  <c r="AT345" i="2"/>
  <c r="AU345" i="2" s="1"/>
  <c r="AQ217" i="2"/>
  <c r="BP631" i="2"/>
  <c r="AQ631" i="2"/>
  <c r="AR661" i="2"/>
  <c r="AV661" i="2"/>
  <c r="AR362" i="2"/>
  <c r="BP569" i="2"/>
  <c r="AQ569" i="2"/>
  <c r="AR546" i="2"/>
  <c r="AV546" i="2"/>
  <c r="AR604" i="2"/>
  <c r="AV604" i="2" s="1"/>
  <c r="AR351" i="2"/>
  <c r="AV351" i="2" s="1"/>
  <c r="AR426" i="2"/>
  <c r="AV426" i="2"/>
  <c r="AR582" i="2"/>
  <c r="AV582" i="2" s="1"/>
  <c r="AR534" i="2"/>
  <c r="AV534" i="2" s="1"/>
  <c r="AR622" i="2"/>
  <c r="AT679" i="2"/>
  <c r="AS679" i="2"/>
  <c r="AR199" i="2"/>
  <c r="AR15" i="2"/>
  <c r="AV15" i="2" s="1"/>
  <c r="AR153" i="2"/>
  <c r="AV153" i="2" s="1"/>
  <c r="BP441" i="2"/>
  <c r="AQ441" i="2"/>
  <c r="BP318" i="2"/>
  <c r="AQ318" i="2"/>
  <c r="AV438" i="2"/>
  <c r="AR438" i="2"/>
  <c r="AR286" i="2"/>
  <c r="AV286" i="2" s="1"/>
  <c r="AQ561" i="2"/>
  <c r="BP561" i="2"/>
  <c r="AS352" i="2"/>
  <c r="AT352" i="2"/>
  <c r="AU352" i="2" s="1"/>
  <c r="AR114" i="2"/>
  <c r="AV114" i="2"/>
  <c r="AR224" i="2"/>
  <c r="AR323" i="2"/>
  <c r="AV323" i="2" s="1"/>
  <c r="AR108" i="2"/>
  <c r="AV108" i="2" s="1"/>
  <c r="AQ99" i="2"/>
  <c r="AR175" i="2"/>
  <c r="AV175" i="2" s="1"/>
  <c r="AR683" i="2"/>
  <c r="AQ490" i="2"/>
  <c r="BP490" i="2"/>
  <c r="AR315" i="2"/>
  <c r="AR495" i="2"/>
  <c r="AR406" i="2"/>
  <c r="AV152" i="2"/>
  <c r="AR152" i="2"/>
  <c r="AR431" i="2"/>
  <c r="AV431" i="2"/>
  <c r="AR421" i="2"/>
  <c r="AV421" i="2" s="1"/>
  <c r="AQ641" i="2"/>
  <c r="BP641" i="2"/>
  <c r="AS432" i="2"/>
  <c r="AT432" i="2"/>
  <c r="AU432" i="2" s="1"/>
  <c r="AS338" i="2"/>
  <c r="AT338" i="2"/>
  <c r="AU338" i="2" s="1"/>
  <c r="AV338" i="2"/>
  <c r="AR415" i="2"/>
  <c r="AR576" i="2"/>
  <c r="AQ687" i="2"/>
  <c r="AR264" i="2"/>
  <c r="AV264" i="2" s="1"/>
  <c r="AR585" i="2"/>
  <c r="AV585" i="2" s="1"/>
  <c r="AR696" i="2"/>
  <c r="AV696" i="2" s="1"/>
  <c r="AR444" i="2"/>
  <c r="AR462" i="2"/>
  <c r="AV462" i="2"/>
  <c r="AR308" i="2"/>
  <c r="AV308" i="2" s="1"/>
  <c r="AR648" i="2"/>
  <c r="AV648" i="2" s="1"/>
  <c r="AU679" i="2"/>
  <c r="AR121" i="2"/>
  <c r="AV121" i="2"/>
  <c r="AR288" i="2"/>
  <c r="AS31" i="2"/>
  <c r="AT31" i="2"/>
  <c r="AR440" i="2"/>
  <c r="AV440" i="2"/>
  <c r="AV612" i="2"/>
  <c r="AR448" i="2"/>
  <c r="AV448" i="2"/>
  <c r="AQ72" i="2"/>
  <c r="BP72" i="2"/>
  <c r="AR240" i="2"/>
  <c r="AU31" i="2"/>
  <c r="AQ267" i="2"/>
  <c r="BP267" i="2"/>
  <c r="AT369" i="2"/>
  <c r="AS369" i="2"/>
  <c r="AR180" i="2"/>
  <c r="AV180" i="2" s="1"/>
  <c r="AS67" i="2"/>
  <c r="AT67" i="2"/>
  <c r="AU67" i="2" s="1"/>
  <c r="BP396" i="2"/>
  <c r="AQ396" i="2"/>
  <c r="AT74" i="2"/>
  <c r="AU74" i="2" s="1"/>
  <c r="AV74" i="2"/>
  <c r="AR229" i="2"/>
  <c r="AQ445" i="2"/>
  <c r="BP445" i="2"/>
  <c r="AT327" i="2"/>
  <c r="AU327" i="2" s="1"/>
  <c r="AS327" i="2"/>
  <c r="AV327" i="2"/>
  <c r="AR200" i="2"/>
  <c r="AR667" i="2"/>
  <c r="AQ149" i="2"/>
  <c r="BP149" i="2"/>
  <c r="AQ304" i="2"/>
  <c r="BP304" i="2"/>
  <c r="BP159" i="2"/>
  <c r="AQ159" i="2"/>
  <c r="AR525" i="2"/>
  <c r="AR535" i="2"/>
  <c r="AR473" i="2"/>
  <c r="AV473" i="2"/>
  <c r="AR545" i="2"/>
  <c r="AV545" i="2" s="1"/>
  <c r="BP18" i="2"/>
  <c r="AQ18" i="2"/>
  <c r="AT123" i="2"/>
  <c r="AU123" i="2" s="1"/>
  <c r="AS123" i="2"/>
  <c r="AR480" i="2"/>
  <c r="AV480" i="2" s="1"/>
  <c r="AR27" i="2"/>
  <c r="AV27" i="2" s="1"/>
  <c r="AR205" i="2"/>
  <c r="AV205" i="2" s="1"/>
  <c r="AR134" i="2"/>
  <c r="AV134" i="2"/>
  <c r="AR209" i="2"/>
  <c r="BP478" i="2"/>
  <c r="AQ478" i="2"/>
  <c r="AS405" i="2"/>
  <c r="AT405" i="2"/>
  <c r="AU405" i="2" s="1"/>
  <c r="AS420" i="2"/>
  <c r="AT420" i="2"/>
  <c r="AU420" i="2" s="1"/>
  <c r="AR583" i="2"/>
  <c r="AV309" i="2"/>
  <c r="AR533" i="2"/>
  <c r="AR26" i="2"/>
  <c r="AV26" i="2" s="1"/>
  <c r="AQ22" i="2"/>
  <c r="BP158" i="2"/>
  <c r="AQ158" i="2"/>
  <c r="AR161" i="2"/>
  <c r="AV161" i="2" s="1"/>
  <c r="AR128" i="2"/>
  <c r="AV128" i="2" s="1"/>
  <c r="AR59" i="2"/>
  <c r="AV59" i="2" s="1"/>
  <c r="AS246" i="2"/>
  <c r="AT246" i="2"/>
  <c r="AQ439" i="2"/>
  <c r="BP439" i="2"/>
  <c r="AR96" i="2"/>
  <c r="AV96" i="2" s="1"/>
  <c r="AR57" i="2"/>
  <c r="AR45" i="2"/>
  <c r="AV45" i="2" s="1"/>
  <c r="AQ86" i="2"/>
  <c r="AR214" i="2"/>
  <c r="AV214" i="2" s="1"/>
  <c r="AR3" i="2"/>
  <c r="AV3" i="2"/>
  <c r="AR16" i="2"/>
  <c r="AR305" i="2"/>
  <c r="AV305" i="2" s="1"/>
  <c r="AR455" i="2"/>
  <c r="AV455" i="2"/>
  <c r="AR301" i="2"/>
  <c r="AR360" i="2"/>
  <c r="AV360" i="2"/>
  <c r="AS361" i="2"/>
  <c r="AT361" i="2"/>
  <c r="AU361" i="2" s="1"/>
  <c r="AV361" i="2"/>
  <c r="AR184" i="2"/>
  <c r="AQ466" i="2"/>
  <c r="AQ453" i="2"/>
  <c r="AR652" i="2"/>
  <c r="AV652" i="2"/>
  <c r="AQ504" i="2"/>
  <c r="BP504" i="2"/>
  <c r="AS314" i="2"/>
  <c r="AT314" i="2"/>
  <c r="AU314" i="2" s="1"/>
  <c r="AR580" i="2"/>
  <c r="AR400" i="2"/>
  <c r="AV400" i="2" s="1"/>
  <c r="AQ577" i="2"/>
  <c r="BP577" i="2"/>
  <c r="AQ627" i="2"/>
  <c r="BA627" i="2"/>
  <c r="BB627" i="2"/>
  <c r="AR429" i="2"/>
  <c r="AV429" i="2" s="1"/>
  <c r="AR689" i="2"/>
  <c r="AR616" i="2"/>
  <c r="AV616" i="2" s="1"/>
  <c r="AR637" i="2"/>
  <c r="AV637" i="2" s="1"/>
  <c r="AR555" i="2"/>
  <c r="AV555" i="2" s="1"/>
  <c r="BP670" i="2"/>
  <c r="AQ670" i="2"/>
  <c r="AS272" i="2"/>
  <c r="AT272" i="2"/>
  <c r="AU272" i="2" s="1"/>
  <c r="AR649" i="2"/>
  <c r="AV679" i="2"/>
  <c r="AR663" i="2"/>
  <c r="AV663" i="2" s="1"/>
  <c r="AR87" i="2"/>
  <c r="AV87" i="2"/>
  <c r="AS419" i="2"/>
  <c r="AT419" i="2"/>
  <c r="AU419" i="2" s="1"/>
  <c r="AR666" i="2"/>
  <c r="AV666" i="2" s="1"/>
  <c r="AR333" i="2"/>
  <c r="AR654" i="2"/>
  <c r="AV654" i="2" s="1"/>
  <c r="AR76" i="2"/>
  <c r="AR395" i="2"/>
  <c r="BK697" i="2"/>
  <c r="AR340" i="2"/>
  <c r="AV340" i="2" s="1"/>
  <c r="AR521" i="2"/>
  <c r="BP523" i="2"/>
  <c r="AQ523" i="2"/>
  <c r="AR230" i="2"/>
  <c r="AV230" i="2" s="1"/>
  <c r="AR120" i="2"/>
  <c r="AV120" i="2" s="1"/>
  <c r="BP665" i="2"/>
  <c r="AQ665" i="2"/>
  <c r="AR63" i="2"/>
  <c r="AV63" i="2" s="1"/>
  <c r="AR140" i="2"/>
  <c r="AV140" i="2" s="1"/>
  <c r="AR292" i="2"/>
  <c r="BP572" i="2"/>
  <c r="AQ572" i="2"/>
  <c r="AV352" i="2"/>
  <c r="BP460" i="2"/>
  <c r="AQ460" i="2"/>
  <c r="AR68" i="2"/>
  <c r="AV68" i="2" s="1"/>
  <c r="AS92" i="2"/>
  <c r="AT92" i="2"/>
  <c r="AU92" i="2" s="1"/>
  <c r="AR280" i="2"/>
  <c r="AV280" i="2" s="1"/>
  <c r="AS356" i="2"/>
  <c r="AT356" i="2"/>
  <c r="AU356" i="2" s="1"/>
  <c r="AV356" i="2"/>
  <c r="AU369" i="2"/>
  <c r="AV503" i="2"/>
  <c r="AR464" i="2"/>
  <c r="AV464" i="2" s="1"/>
  <c r="AT692" i="2"/>
  <c r="AU692" i="2" s="1"/>
  <c r="AS692" i="2"/>
  <c r="AR256" i="2"/>
  <c r="AV256" i="2"/>
  <c r="AR297" i="2"/>
  <c r="AV297" i="2"/>
  <c r="AR104" i="2"/>
  <c r="AR172" i="2"/>
  <c r="AV172" i="2" s="1"/>
  <c r="AQ111" i="2"/>
  <c r="BP111" i="2"/>
  <c r="AR115" i="2"/>
  <c r="AV115" i="2" s="1"/>
  <c r="AR51" i="2"/>
  <c r="AV51" i="2"/>
  <c r="AR117" i="2"/>
  <c r="AV117" i="2" s="1"/>
  <c r="BP247" i="2"/>
  <c r="AQ247" i="2"/>
  <c r="AR20" i="2"/>
  <c r="AV20" i="2" s="1"/>
  <c r="AS198" i="2"/>
  <c r="AT198" i="2"/>
  <c r="AU198" i="2" s="1"/>
  <c r="AR492" i="2"/>
  <c r="AV492" i="2" s="1"/>
  <c r="AS313" i="2"/>
  <c r="AT313" i="2"/>
  <c r="AU313" i="2" s="1"/>
  <c r="AR75" i="2"/>
  <c r="AV75" i="2"/>
  <c r="AR98" i="2"/>
  <c r="BP119" i="2"/>
  <c r="AQ119" i="2"/>
  <c r="AR17" i="2"/>
  <c r="AV17" i="2"/>
  <c r="BP113" i="2"/>
  <c r="AQ113" i="2"/>
  <c r="AR9" i="2"/>
  <c r="AR14" i="2"/>
  <c r="AV14" i="2" s="1"/>
  <c r="AQ157" i="2"/>
  <c r="BP157" i="2"/>
  <c r="AR137" i="2"/>
  <c r="AV137" i="2" s="1"/>
  <c r="AS222" i="2"/>
  <c r="AT222" i="2"/>
  <c r="AU222" i="2" s="1"/>
  <c r="AV31" i="2"/>
  <c r="AR202" i="2"/>
  <c r="AV202" i="2" s="1"/>
  <c r="AR282" i="2"/>
  <c r="AR494" i="2"/>
  <c r="AR213" i="2"/>
  <c r="AV213" i="2" s="1"/>
  <c r="BP236" i="2"/>
  <c r="AQ236" i="2"/>
  <c r="AR337" i="2"/>
  <c r="AV337" i="2" s="1"/>
  <c r="AR221" i="2"/>
  <c r="AR90" i="2"/>
  <c r="AV90" i="2" s="1"/>
  <c r="AR212" i="2"/>
  <c r="AR298" i="2"/>
  <c r="AV298" i="2" s="1"/>
  <c r="AR520" i="2"/>
  <c r="AR442" i="2"/>
  <c r="AV442" i="2" s="1"/>
  <c r="AU129" i="2"/>
  <c r="AT354" i="2"/>
  <c r="AU354" i="2" s="1"/>
  <c r="AS354" i="2"/>
  <c r="AR253" i="2"/>
  <c r="AR375" i="2"/>
  <c r="AV375" i="2" s="1"/>
  <c r="AR603" i="2"/>
  <c r="AR477" i="2"/>
  <c r="AQ653" i="2"/>
  <c r="BP653" i="2"/>
  <c r="BP618" i="2"/>
  <c r="AQ618" i="2"/>
  <c r="AR527" i="2"/>
  <c r="BP601" i="2"/>
  <c r="AQ601" i="2"/>
  <c r="AR588" i="2"/>
  <c r="AR690" i="2"/>
  <c r="AV690" i="2" s="1"/>
  <c r="AR565" i="2"/>
  <c r="AS435" i="2"/>
  <c r="AT435" i="2"/>
  <c r="AU435" i="2" s="1"/>
  <c r="AR593" i="2"/>
  <c r="AV623" i="2"/>
  <c r="AR691" i="2"/>
  <c r="AV691" i="2" s="1"/>
  <c r="AR634" i="2"/>
  <c r="AV634" i="2"/>
  <c r="AR563" i="2"/>
  <c r="AQ680" i="2"/>
  <c r="AT611" i="2" l="1"/>
  <c r="AU611" i="2" s="1"/>
  <c r="AS524" i="2"/>
  <c r="AV328" i="2"/>
  <c r="AS579" i="2"/>
  <c r="AV353" i="2"/>
  <c r="AT612" i="2"/>
  <c r="AU612" i="2" s="1"/>
  <c r="AR261" i="2"/>
  <c r="AU579" i="2"/>
  <c r="AV326" i="2"/>
  <c r="AV506" i="2"/>
  <c r="AR94" i="2"/>
  <c r="AV94" i="2"/>
  <c r="BB697" i="2"/>
  <c r="AS544" i="2"/>
  <c r="AT544" i="2"/>
  <c r="AU544" i="2" s="1"/>
  <c r="AV589" i="2"/>
  <c r="AR564" i="2"/>
  <c r="AV564" i="2" s="1"/>
  <c r="AT49" i="2"/>
  <c r="AU49" i="2" s="1"/>
  <c r="BA697" i="2"/>
  <c r="AV91" i="2"/>
  <c r="AS570" i="2"/>
  <c r="AT570" i="2"/>
  <c r="AU570" i="2" s="1"/>
  <c r="AV56" i="2"/>
  <c r="AS49" i="2"/>
  <c r="AV265" i="2"/>
  <c r="AR423" i="2"/>
  <c r="AV423" i="2"/>
  <c r="AT34" i="2"/>
  <c r="AU34" i="2" s="1"/>
  <c r="AS34" i="2"/>
  <c r="AV579" i="2"/>
  <c r="AV611" i="2"/>
  <c r="AV34" i="2"/>
  <c r="AR669" i="2"/>
  <c r="AR632" i="2"/>
  <c r="AV632" i="2"/>
  <c r="AT259" i="2"/>
  <c r="AU259" i="2" s="1"/>
  <c r="AR52" i="2"/>
  <c r="AV52" i="2" s="1"/>
  <c r="AV405" i="2"/>
  <c r="AU451" i="2"/>
  <c r="AT644" i="2"/>
  <c r="AU644" i="2" s="1"/>
  <c r="AS644" i="2"/>
  <c r="AU413" i="2"/>
  <c r="AS508" i="2"/>
  <c r="AT508" i="2"/>
  <c r="AU508" i="2" s="1"/>
  <c r="AR686" i="2"/>
  <c r="AV686" i="2"/>
  <c r="AR302" i="2"/>
  <c r="AT302" i="2" s="1"/>
  <c r="AU302" i="2" s="1"/>
  <c r="AR608" i="2"/>
  <c r="AS608" i="2" s="1"/>
  <c r="AR83" i="2"/>
  <c r="AS201" i="2"/>
  <c r="AT201" i="2"/>
  <c r="AU201" i="2" s="1"/>
  <c r="AT218" i="2"/>
  <c r="AU218" i="2" s="1"/>
  <c r="AV394" i="2"/>
  <c r="AS542" i="2"/>
  <c r="AT542" i="2"/>
  <c r="AU542" i="2"/>
  <c r="AS228" i="2"/>
  <c r="AT228" i="2"/>
  <c r="AU228" i="2" s="1"/>
  <c r="AR343" i="2"/>
  <c r="AV343" i="2" s="1"/>
  <c r="AT372" i="2"/>
  <c r="AU372" i="2" s="1"/>
  <c r="AS372" i="2"/>
  <c r="AR517" i="2"/>
  <c r="AV517" i="2"/>
  <c r="AR642" i="2"/>
  <c r="AV642" i="2"/>
  <c r="AR66" i="2"/>
  <c r="AV66" i="2"/>
  <c r="AR238" i="2"/>
  <c r="AV238" i="2"/>
  <c r="AS283" i="2"/>
  <c r="AR109" i="2"/>
  <c r="AV109" i="2"/>
  <c r="AR399" i="2"/>
  <c r="AV399" i="2" s="1"/>
  <c r="AV306" i="2"/>
  <c r="AU306" i="2"/>
  <c r="AS248" i="2"/>
  <c r="AT248" i="2"/>
  <c r="AU248" i="2" s="1"/>
  <c r="AT636" i="2"/>
  <c r="AU636" i="2" s="1"/>
  <c r="AS636" i="2"/>
  <c r="AR132" i="2"/>
  <c r="AV132" i="2"/>
  <c r="AR398" i="2"/>
  <c r="AV398" i="2" s="1"/>
  <c r="AS218" i="2"/>
  <c r="AS619" i="2"/>
  <c r="AT619" i="2"/>
  <c r="AU619" i="2" s="1"/>
  <c r="AR528" i="2"/>
  <c r="AV528" i="2"/>
  <c r="AT147" i="2"/>
  <c r="AU147" i="2" s="1"/>
  <c r="AS147" i="2"/>
  <c r="AR183" i="2"/>
  <c r="AV183" i="2" s="1"/>
  <c r="AT413" i="2"/>
  <c r="AS413" i="2"/>
  <c r="AS554" i="2"/>
  <c r="AT554" i="2"/>
  <c r="AU554" i="2" s="1"/>
  <c r="AR64" i="2"/>
  <c r="AS203" i="2"/>
  <c r="AV233" i="2"/>
  <c r="AS656" i="2"/>
  <c r="AT656" i="2"/>
  <c r="AU656" i="2" s="1"/>
  <c r="AS522" i="2"/>
  <c r="AT522" i="2"/>
  <c r="AU522" i="2" s="1"/>
  <c r="AR237" i="2"/>
  <c r="AR219" i="2"/>
  <c r="AV219" i="2"/>
  <c r="AS133" i="2"/>
  <c r="AT133" i="2"/>
  <c r="AU133" i="2" s="1"/>
  <c r="AV559" i="2"/>
  <c r="AT559" i="2"/>
  <c r="AU559" i="2" s="1"/>
  <c r="AS559" i="2"/>
  <c r="AV597" i="2"/>
  <c r="AR47" i="2"/>
  <c r="AV47" i="2"/>
  <c r="AV283" i="2"/>
  <c r="AU233" i="2"/>
  <c r="AR538" i="2"/>
  <c r="AV538" i="2"/>
  <c r="AR85" i="2"/>
  <c r="AV85" i="2"/>
  <c r="AS46" i="2"/>
  <c r="AT46" i="2"/>
  <c r="AU46" i="2" s="1"/>
  <c r="AT596" i="2"/>
  <c r="AU596" i="2" s="1"/>
  <c r="AS596" i="2"/>
  <c r="AR552" i="2"/>
  <c r="AV552" i="2" s="1"/>
  <c r="AR484" i="2"/>
  <c r="AV484" i="2"/>
  <c r="AR658" i="2"/>
  <c r="AV658" i="2"/>
  <c r="AT206" i="2"/>
  <c r="AU206" i="2" s="1"/>
  <c r="AS206" i="2"/>
  <c r="AU283" i="2"/>
  <c r="AV416" i="2"/>
  <c r="AT387" i="2"/>
  <c r="AU387" i="2" s="1"/>
  <c r="AS387" i="2"/>
  <c r="AS625" i="2"/>
  <c r="AT625" i="2"/>
  <c r="AU625" i="2" s="1"/>
  <c r="AR427" i="2"/>
  <c r="AV427" i="2" s="1"/>
  <c r="AR539" i="2"/>
  <c r="AV539" i="2" s="1"/>
  <c r="AV554" i="2"/>
  <c r="AT203" i="2"/>
  <c r="AU203" i="2" s="1"/>
  <c r="AV107" i="2"/>
  <c r="AT185" i="2"/>
  <c r="AS185" i="2"/>
  <c r="AU185" i="2"/>
  <c r="AV320" i="2"/>
  <c r="AV164" i="2"/>
  <c r="AR424" i="2"/>
  <c r="AV424" i="2"/>
  <c r="AV387" i="2"/>
  <c r="AR479" i="2"/>
  <c r="AV479" i="2"/>
  <c r="AV35" i="2"/>
  <c r="AU35" i="2"/>
  <c r="AR277" i="2"/>
  <c r="AV277" i="2"/>
  <c r="AR29" i="2"/>
  <c r="AV29" i="2" s="1"/>
  <c r="AT234" i="2"/>
  <c r="AU234" i="2" s="1"/>
  <c r="AS234" i="2"/>
  <c r="AT512" i="2"/>
  <c r="AU512" i="2" s="1"/>
  <c r="AS512" i="2"/>
  <c r="AT382" i="2"/>
  <c r="AU382" i="2" s="1"/>
  <c r="AS382" i="2"/>
  <c r="AR447" i="2"/>
  <c r="AV447" i="2" s="1"/>
  <c r="AS270" i="2"/>
  <c r="AT270" i="2"/>
  <c r="AU270" i="2" s="1"/>
  <c r="AR412" i="2"/>
  <c r="AS391" i="2"/>
  <c r="AT391" i="2"/>
  <c r="AU391" i="2" s="1"/>
  <c r="AS239" i="2"/>
  <c r="AT239" i="2"/>
  <c r="AU239" i="2" s="1"/>
  <c r="AV239" i="2"/>
  <c r="AR23" i="2"/>
  <c r="AS494" i="2"/>
  <c r="AT494" i="2"/>
  <c r="AU494" i="2" s="1"/>
  <c r="AV494" i="2"/>
  <c r="AS415" i="2"/>
  <c r="AT415" i="2"/>
  <c r="AU415" i="2" s="1"/>
  <c r="AV415" i="2"/>
  <c r="AR396" i="2"/>
  <c r="AT381" i="2"/>
  <c r="AU381" i="2" s="1"/>
  <c r="AS381" i="2"/>
  <c r="AV381" i="2"/>
  <c r="AS676" i="2"/>
  <c r="AT676" i="2"/>
  <c r="AU676" i="2" s="1"/>
  <c r="AS409" i="2"/>
  <c r="AT409" i="2"/>
  <c r="AU409" i="2" s="1"/>
  <c r="AV409" i="2"/>
  <c r="AR86" i="2"/>
  <c r="AV86" i="2"/>
  <c r="AS69" i="2"/>
  <c r="AT69" i="2"/>
  <c r="AU69" i="2" s="1"/>
  <c r="AV69" i="2"/>
  <c r="AS200" i="2"/>
  <c r="AT200" i="2"/>
  <c r="AU200" i="2"/>
  <c r="AS444" i="2"/>
  <c r="AT444" i="2"/>
  <c r="AU444" i="2"/>
  <c r="AT89" i="2"/>
  <c r="AU89" i="2" s="1"/>
  <c r="AS89" i="2"/>
  <c r="AV89" i="2"/>
  <c r="AT78" i="2"/>
  <c r="AS78" i="2"/>
  <c r="AV78" i="2"/>
  <c r="AS613" i="2"/>
  <c r="AT613" i="2"/>
  <c r="AU613" i="2"/>
  <c r="AS407" i="2"/>
  <c r="AT407" i="2"/>
  <c r="AV407" i="2"/>
  <c r="AU407" i="2"/>
  <c r="AT208" i="2"/>
  <c r="AU208" i="2" s="1"/>
  <c r="AS208" i="2"/>
  <c r="AS61" i="2"/>
  <c r="AT61" i="2"/>
  <c r="AU61" i="2" s="1"/>
  <c r="AV61" i="2"/>
  <c r="AS98" i="2"/>
  <c r="AT98" i="2"/>
  <c r="AU98" i="2" s="1"/>
  <c r="AV98" i="2"/>
  <c r="AS580" i="2"/>
  <c r="AT580" i="2"/>
  <c r="AV580" i="2"/>
  <c r="AU580" i="2"/>
  <c r="AV200" i="2"/>
  <c r="AV444" i="2"/>
  <c r="AU78" i="2"/>
  <c r="AU434" i="2"/>
  <c r="AV613" i="2"/>
  <c r="AR688" i="2"/>
  <c r="AV688" i="2" s="1"/>
  <c r="AS240" i="2"/>
  <c r="AT240" i="2"/>
  <c r="AU240" i="2" s="1"/>
  <c r="AV240" i="2"/>
  <c r="AS556" i="2"/>
  <c r="AT556" i="2"/>
  <c r="AU556" i="2" s="1"/>
  <c r="AV556" i="2"/>
  <c r="AT622" i="2"/>
  <c r="AS622" i="2"/>
  <c r="AU622" i="2"/>
  <c r="AV622" i="2"/>
  <c r="AT43" i="2"/>
  <c r="AS43" i="2"/>
  <c r="AU43" i="2"/>
  <c r="AS143" i="2"/>
  <c r="AT143" i="2"/>
  <c r="AU143" i="2" s="1"/>
  <c r="AV143" i="2"/>
  <c r="AT408" i="2"/>
  <c r="AU408" i="2" s="1"/>
  <c r="AS408" i="2"/>
  <c r="AV408" i="2"/>
  <c r="AT593" i="2"/>
  <c r="AS593" i="2"/>
  <c r="AU593" i="2"/>
  <c r="AV593" i="2"/>
  <c r="AU315" i="2"/>
  <c r="AS55" i="2"/>
  <c r="AT55" i="2"/>
  <c r="AU55" i="2"/>
  <c r="AS659" i="2"/>
  <c r="AT659" i="2"/>
  <c r="AU659" i="2"/>
  <c r="AV659" i="2"/>
  <c r="AT603" i="2"/>
  <c r="AU603" i="2" s="1"/>
  <c r="AS603" i="2"/>
  <c r="AV603" i="2"/>
  <c r="AS464" i="2"/>
  <c r="AT464" i="2"/>
  <c r="AU464" i="2" s="1"/>
  <c r="AV43" i="2"/>
  <c r="AS386" i="2"/>
  <c r="AT386" i="2"/>
  <c r="AU386" i="2" s="1"/>
  <c r="AV386" i="2"/>
  <c r="AT273" i="2"/>
  <c r="AS273" i="2"/>
  <c r="AU273" i="2"/>
  <c r="AV273" i="2"/>
  <c r="AS549" i="2"/>
  <c r="AT549" i="2"/>
  <c r="AU549" i="2" s="1"/>
  <c r="AV549" i="2"/>
  <c r="AS602" i="2"/>
  <c r="AT602" i="2"/>
  <c r="AU602" i="2"/>
  <c r="AS368" i="2"/>
  <c r="AT368" i="2"/>
  <c r="AU368" i="2" s="1"/>
  <c r="AV368" i="2"/>
  <c r="AS477" i="2"/>
  <c r="AT477" i="2"/>
  <c r="AU477" i="2" s="1"/>
  <c r="AV477" i="2"/>
  <c r="AS80" i="2"/>
  <c r="AT80" i="2"/>
  <c r="AU80" i="2" s="1"/>
  <c r="AT689" i="2"/>
  <c r="AU689" i="2" s="1"/>
  <c r="AS689" i="2"/>
  <c r="AV689" i="2"/>
  <c r="AR514" i="2"/>
  <c r="AV514" i="2" s="1"/>
  <c r="AS414" i="2"/>
  <c r="AT414" i="2"/>
  <c r="AU414" i="2" s="1"/>
  <c r="AV414" i="2"/>
  <c r="AS232" i="2"/>
  <c r="AT232" i="2"/>
  <c r="AU232" i="2" s="1"/>
  <c r="AV232" i="2"/>
  <c r="AT187" i="2"/>
  <c r="AU187" i="2" s="1"/>
  <c r="AS187" i="2"/>
  <c r="AV187" i="2"/>
  <c r="AT604" i="2"/>
  <c r="AS604" i="2"/>
  <c r="AU604" i="2"/>
  <c r="AU428" i="2"/>
  <c r="AS100" i="2"/>
  <c r="AT100" i="2"/>
  <c r="AU100" i="2" s="1"/>
  <c r="AT600" i="2"/>
  <c r="AU600" i="2" s="1"/>
  <c r="AS600" i="2"/>
  <c r="AV600" i="2"/>
  <c r="AS482" i="2"/>
  <c r="AT482" i="2"/>
  <c r="AU482" i="2" s="1"/>
  <c r="AV482" i="2"/>
  <c r="AS221" i="2"/>
  <c r="AT221" i="2"/>
  <c r="AV221" i="2"/>
  <c r="AU221" i="2"/>
  <c r="AR601" i="2"/>
  <c r="AS483" i="2"/>
  <c r="AT483" i="2"/>
  <c r="AU483" i="2" s="1"/>
  <c r="AV483" i="2"/>
  <c r="AS76" i="2"/>
  <c r="AT76" i="2"/>
  <c r="AV76" i="2"/>
  <c r="AU76" i="2"/>
  <c r="AT301" i="2"/>
  <c r="AS301" i="2"/>
  <c r="AU301" i="2"/>
  <c r="AV301" i="2"/>
  <c r="AS535" i="2"/>
  <c r="AT535" i="2"/>
  <c r="AU535" i="2"/>
  <c r="AV535" i="2"/>
  <c r="AR217" i="2"/>
  <c r="AV217" i="2" s="1"/>
  <c r="AS207" i="2"/>
  <c r="AT207" i="2"/>
  <c r="AU207" i="2" s="1"/>
  <c r="AV207" i="2"/>
  <c r="AT392" i="2"/>
  <c r="AU392" i="2" s="1"/>
  <c r="AS392" i="2"/>
  <c r="AV392" i="2"/>
  <c r="AT678" i="2"/>
  <c r="AU678" i="2" s="1"/>
  <c r="AS678" i="2"/>
  <c r="AV678" i="2"/>
  <c r="AR131" i="2"/>
  <c r="AV131" i="2"/>
  <c r="AT9" i="2"/>
  <c r="AU9" i="2" s="1"/>
  <c r="AS9" i="2"/>
  <c r="AV9" i="2"/>
  <c r="AS224" i="2"/>
  <c r="AT224" i="2"/>
  <c r="AU224" i="2" s="1"/>
  <c r="AV224" i="2"/>
  <c r="AS691" i="2"/>
  <c r="AT691" i="2"/>
  <c r="AU691" i="2"/>
  <c r="AS20" i="2"/>
  <c r="AT20" i="2"/>
  <c r="AU20" i="2" s="1"/>
  <c r="AS437" i="2"/>
  <c r="AT437" i="2"/>
  <c r="AU437" i="2"/>
  <c r="AU353" i="2"/>
  <c r="AS57" i="2"/>
  <c r="AT57" i="2"/>
  <c r="AV57" i="2"/>
  <c r="AU57" i="2"/>
  <c r="AS26" i="2"/>
  <c r="AT26" i="2"/>
  <c r="AU26" i="2" s="1"/>
  <c r="AS525" i="2"/>
  <c r="AT525" i="2"/>
  <c r="AU525" i="2"/>
  <c r="AV525" i="2"/>
  <c r="AS288" i="2"/>
  <c r="AT288" i="2"/>
  <c r="AU288" i="2" s="1"/>
  <c r="AV288" i="2"/>
  <c r="AR441" i="2"/>
  <c r="AV441" i="2" s="1"/>
  <c r="AS116" i="2"/>
  <c r="AT116" i="2"/>
  <c r="AU116" i="2" s="1"/>
  <c r="AT463" i="2"/>
  <c r="AS463" i="2"/>
  <c r="AV463" i="2"/>
  <c r="AU463" i="2"/>
  <c r="AS241" i="2"/>
  <c r="AT241" i="2"/>
  <c r="AU241" i="2" s="1"/>
  <c r="AR7" i="2"/>
  <c r="AS571" i="2"/>
  <c r="AT571" i="2"/>
  <c r="AU571" i="2"/>
  <c r="AV571" i="2"/>
  <c r="AS184" i="2"/>
  <c r="AT184" i="2"/>
  <c r="AU184" i="2" s="1"/>
  <c r="AV184" i="2"/>
  <c r="AS410" i="2"/>
  <c r="AT410" i="2"/>
  <c r="AU410" i="2"/>
  <c r="AV410" i="2"/>
  <c r="AU8" i="2"/>
  <c r="AR670" i="2"/>
  <c r="AR357" i="2"/>
  <c r="AS103" i="2"/>
  <c r="AT103" i="2"/>
  <c r="AU103" i="2" s="1"/>
  <c r="AV103" i="2"/>
  <c r="AT212" i="2"/>
  <c r="AU212" i="2" s="1"/>
  <c r="AS212" i="2"/>
  <c r="AV212" i="2"/>
  <c r="AR478" i="2"/>
  <c r="AV478" i="2"/>
  <c r="AU360" i="2"/>
  <c r="AS533" i="2"/>
  <c r="AT533" i="2"/>
  <c r="AU533" i="2"/>
  <c r="AV533" i="2"/>
  <c r="AV116" i="2"/>
  <c r="AR694" i="2"/>
  <c r="AV694" i="2" s="1"/>
  <c r="AV241" i="2"/>
  <c r="AS276" i="2"/>
  <c r="AT276" i="2"/>
  <c r="AU276" i="2" s="1"/>
  <c r="AV276" i="2"/>
  <c r="AS475" i="2"/>
  <c r="AT475" i="2"/>
  <c r="AU475" i="2" s="1"/>
  <c r="AV475" i="2"/>
  <c r="AT384" i="2"/>
  <c r="AU384" i="2" s="1"/>
  <c r="AS384" i="2"/>
  <c r="AS220" i="2"/>
  <c r="AT220" i="2"/>
  <c r="AU220" i="2" s="1"/>
  <c r="AV220" i="2"/>
  <c r="AT196" i="2"/>
  <c r="AU196" i="2" s="1"/>
  <c r="AS196" i="2"/>
  <c r="AV196" i="2"/>
  <c r="AR157" i="2"/>
  <c r="AS649" i="2"/>
  <c r="AT649" i="2"/>
  <c r="AU649" i="2"/>
  <c r="AV649" i="2"/>
  <c r="AR467" i="2"/>
  <c r="AV467" i="2" s="1"/>
  <c r="AS341" i="2"/>
  <c r="AT341" i="2"/>
  <c r="AU341" i="2"/>
  <c r="AV341" i="2"/>
  <c r="AS672" i="2"/>
  <c r="AT672" i="2"/>
  <c r="AU672" i="2" s="1"/>
  <c r="AV672" i="2"/>
  <c r="AR247" i="2"/>
  <c r="AV247" i="2" s="1"/>
  <c r="AR460" i="2"/>
  <c r="AV460" i="2" s="1"/>
  <c r="AS395" i="2"/>
  <c r="AT395" i="2"/>
  <c r="AU395" i="2" s="1"/>
  <c r="AT455" i="2"/>
  <c r="AU455" i="2" s="1"/>
  <c r="AS455" i="2"/>
  <c r="AS45" i="2"/>
  <c r="AT45" i="2"/>
  <c r="AU45" i="2" s="1"/>
  <c r="AS406" i="2"/>
  <c r="AT406" i="2"/>
  <c r="AS683" i="2"/>
  <c r="AT683" i="2"/>
  <c r="AU683" i="2" s="1"/>
  <c r="AS165" i="2"/>
  <c r="AT165" i="2"/>
  <c r="AU165" i="2" s="1"/>
  <c r="AS518" i="2"/>
  <c r="AT518" i="2"/>
  <c r="AU518" i="2" s="1"/>
  <c r="AT36" i="2"/>
  <c r="AU36" i="2" s="1"/>
  <c r="AS36" i="2"/>
  <c r="AS630" i="2"/>
  <c r="AT630" i="2"/>
  <c r="AU630" i="2" s="1"/>
  <c r="AS194" i="2"/>
  <c r="AT194" i="2"/>
  <c r="AU194" i="2" s="1"/>
  <c r="AT403" i="2"/>
  <c r="AU403" i="2" s="1"/>
  <c r="AS403" i="2"/>
  <c r="AS101" i="2"/>
  <c r="AT101" i="2"/>
  <c r="AU101" i="2" s="1"/>
  <c r="AR499" i="2"/>
  <c r="AT279" i="2"/>
  <c r="AU279" i="2" s="1"/>
  <c r="AS279" i="2"/>
  <c r="AS311" i="2"/>
  <c r="AT311" i="2"/>
  <c r="AU311" i="2" s="1"/>
  <c r="AS638" i="2"/>
  <c r="AT638" i="2"/>
  <c r="AU638" i="2" s="1"/>
  <c r="AS457" i="2"/>
  <c r="AT457" i="2"/>
  <c r="AU457" i="2" s="1"/>
  <c r="AS139" i="2"/>
  <c r="AT139" i="2"/>
  <c r="AU139" i="2" s="1"/>
  <c r="AR385" i="2"/>
  <c r="AV385" i="2" s="1"/>
  <c r="AS695" i="2"/>
  <c r="AT695" i="2"/>
  <c r="AU695" i="2" s="1"/>
  <c r="AR560" i="2"/>
  <c r="AV560" i="2" s="1"/>
  <c r="AS282" i="2"/>
  <c r="AT282" i="2"/>
  <c r="AU282" i="2" s="1"/>
  <c r="AT14" i="2"/>
  <c r="AU14" i="2" s="1"/>
  <c r="AS14" i="2"/>
  <c r="AS75" i="2"/>
  <c r="AT75" i="2"/>
  <c r="AU75" i="2" s="1"/>
  <c r="AT104" i="2"/>
  <c r="AU104" i="2" s="1"/>
  <c r="AS104" i="2"/>
  <c r="AS230" i="2"/>
  <c r="AT230" i="2"/>
  <c r="AU230" i="2" s="1"/>
  <c r="AV395" i="2"/>
  <c r="AT59" i="2"/>
  <c r="AU59" i="2" s="1"/>
  <c r="AS59" i="2"/>
  <c r="AS209" i="2"/>
  <c r="AT209" i="2"/>
  <c r="AU209" i="2" s="1"/>
  <c r="AR72" i="2"/>
  <c r="AV72" i="2" s="1"/>
  <c r="AU406" i="2"/>
  <c r="AV683" i="2"/>
  <c r="AR336" i="2"/>
  <c r="AV336" i="2" s="1"/>
  <c r="AS481" i="2"/>
  <c r="AT481" i="2"/>
  <c r="AU481" i="2" s="1"/>
  <c r="AS348" i="2"/>
  <c r="AT348" i="2"/>
  <c r="AU348" i="2" s="1"/>
  <c r="AV165" i="2"/>
  <c r="AT171" i="2"/>
  <c r="AU171" i="2" s="1"/>
  <c r="AS171" i="2"/>
  <c r="AS476" i="2"/>
  <c r="AT476" i="2"/>
  <c r="AU476" i="2" s="1"/>
  <c r="AT65" i="2"/>
  <c r="AU65" i="2" s="1"/>
  <c r="AS65" i="2"/>
  <c r="AS383" i="2"/>
  <c r="AT383" i="2"/>
  <c r="AU383" i="2" s="1"/>
  <c r="AR226" i="2"/>
  <c r="AV226" i="2" s="1"/>
  <c r="AV403" i="2"/>
  <c r="AS363" i="2"/>
  <c r="AT363" i="2"/>
  <c r="AU363" i="2" s="1"/>
  <c r="AS148" i="2"/>
  <c r="AT148" i="2"/>
  <c r="AU148" i="2" s="1"/>
  <c r="AS564" i="2"/>
  <c r="AT564" i="2"/>
  <c r="AU564" i="2" s="1"/>
  <c r="AV311" i="2"/>
  <c r="AR430" i="2"/>
  <c r="AV638" i="2"/>
  <c r="AS553" i="2"/>
  <c r="AT553" i="2"/>
  <c r="AU553" i="2" s="1"/>
  <c r="AT614" i="2"/>
  <c r="AU614" i="2" s="1"/>
  <c r="AS614" i="2"/>
  <c r="AS416" i="2"/>
  <c r="AT416" i="2"/>
  <c r="AU416" i="2" s="1"/>
  <c r="AT13" i="2"/>
  <c r="AU13" i="2" s="1"/>
  <c r="AS13" i="2"/>
  <c r="AS491" i="2"/>
  <c r="AT491" i="2"/>
  <c r="AU491" i="2" s="1"/>
  <c r="AV695" i="2"/>
  <c r="AS646" i="2"/>
  <c r="AT646" i="2"/>
  <c r="AU646" i="2" s="1"/>
  <c r="AS294" i="2"/>
  <c r="AT294" i="2"/>
  <c r="AU294" i="2" s="1"/>
  <c r="AV370" i="2"/>
  <c r="AS262" i="2"/>
  <c r="AT262" i="2"/>
  <c r="AU262" i="2" s="1"/>
  <c r="AT536" i="2"/>
  <c r="AU536" i="2" s="1"/>
  <c r="AS536" i="2"/>
  <c r="AV417" i="2"/>
  <c r="AS293" i="2"/>
  <c r="AT293" i="2"/>
  <c r="AU293" i="2" s="1"/>
  <c r="AS50" i="2"/>
  <c r="AT50" i="2"/>
  <c r="AU50" i="2" s="1"/>
  <c r="AT442" i="2"/>
  <c r="AU442" i="2" s="1"/>
  <c r="AS442" i="2"/>
  <c r="AS90" i="2"/>
  <c r="AT90" i="2"/>
  <c r="AU90" i="2" s="1"/>
  <c r="AV282" i="2"/>
  <c r="AV104" i="2"/>
  <c r="AS429" i="2"/>
  <c r="AT429" i="2"/>
  <c r="AU429" i="2" s="1"/>
  <c r="AS562" i="2"/>
  <c r="AT562" i="2"/>
  <c r="AU562" i="2" s="1"/>
  <c r="AV209" i="2"/>
  <c r="AR18" i="2"/>
  <c r="AV18" i="2" s="1"/>
  <c r="AR159" i="2"/>
  <c r="AS180" i="2"/>
  <c r="AT180" i="2"/>
  <c r="AU180" i="2" s="1"/>
  <c r="AT121" i="2"/>
  <c r="AU121" i="2" s="1"/>
  <c r="AS121" i="2"/>
  <c r="AS696" i="2"/>
  <c r="AT696" i="2"/>
  <c r="AU696" i="2" s="1"/>
  <c r="AV406" i="2"/>
  <c r="AT114" i="2"/>
  <c r="AU114" i="2" s="1"/>
  <c r="AS114" i="2"/>
  <c r="AS153" i="2"/>
  <c r="AT153" i="2"/>
  <c r="AU153" i="2" s="1"/>
  <c r="AT546" i="2"/>
  <c r="AU546" i="2" s="1"/>
  <c r="AS546" i="2"/>
  <c r="AT371" i="2"/>
  <c r="AU371" i="2" s="1"/>
  <c r="AS371" i="2"/>
  <c r="AV171" i="2"/>
  <c r="AR204" i="2"/>
  <c r="AV204" i="2"/>
  <c r="AT88" i="2"/>
  <c r="AU88" i="2" s="1"/>
  <c r="AS88" i="2"/>
  <c r="AS456" i="2"/>
  <c r="AT456" i="2"/>
  <c r="AU456" i="2" s="1"/>
  <c r="AS425" i="2"/>
  <c r="AT425" i="2"/>
  <c r="AU425" i="2" s="1"/>
  <c r="AS300" i="2"/>
  <c r="AT300" i="2"/>
  <c r="AU300" i="2" s="1"/>
  <c r="AS186" i="2"/>
  <c r="AT186" i="2"/>
  <c r="AU186" i="2" s="1"/>
  <c r="AV363" i="2"/>
  <c r="AV148" i="2"/>
  <c r="AV279" i="2"/>
  <c r="AS443" i="2"/>
  <c r="AT443" i="2"/>
  <c r="AU443" i="2" s="1"/>
  <c r="AV459" i="2"/>
  <c r="AR459" i="2"/>
  <c r="AS33" i="2"/>
  <c r="AT33" i="2"/>
  <c r="AU33" i="2" s="1"/>
  <c r="AT567" i="2"/>
  <c r="AU567" i="2" s="1"/>
  <c r="AS567" i="2"/>
  <c r="AV553" i="2"/>
  <c r="AR350" i="2"/>
  <c r="AS633" i="2"/>
  <c r="AT633" i="2"/>
  <c r="AU633" i="2" s="1"/>
  <c r="AS250" i="2"/>
  <c r="AT250" i="2"/>
  <c r="AU250" i="2" s="1"/>
  <c r="AR71" i="2"/>
  <c r="AV71" i="2" s="1"/>
  <c r="AS249" i="2"/>
  <c r="AT249" i="2"/>
  <c r="AU249" i="2" s="1"/>
  <c r="AT48" i="2"/>
  <c r="AU48" i="2" s="1"/>
  <c r="AS48" i="2"/>
  <c r="AR303" i="2"/>
  <c r="AV303" i="2" s="1"/>
  <c r="AS509" i="2"/>
  <c r="AT509" i="2"/>
  <c r="AU509" i="2" s="1"/>
  <c r="AS380" i="2"/>
  <c r="AT380" i="2"/>
  <c r="AU380" i="2" s="1"/>
  <c r="AV646" i="2"/>
  <c r="AS540" i="2"/>
  <c r="AT540" i="2"/>
  <c r="AU540" i="2" s="1"/>
  <c r="AV294" i="2"/>
  <c r="AS97" i="2"/>
  <c r="AT97" i="2"/>
  <c r="AU97" i="2" s="1"/>
  <c r="AS640" i="2"/>
  <c r="AT640" i="2"/>
  <c r="AU640" i="2" s="1"/>
  <c r="AT664" i="2"/>
  <c r="AU664" i="2" s="1"/>
  <c r="AS664" i="2"/>
  <c r="AS263" i="2"/>
  <c r="AT263" i="2"/>
  <c r="AU263" i="2" s="1"/>
  <c r="AS254" i="2"/>
  <c r="AT254" i="2"/>
  <c r="AU254" i="2" s="1"/>
  <c r="AV50" i="2"/>
  <c r="AS417" i="2"/>
  <c r="AT417" i="2"/>
  <c r="AU417" i="2" s="1"/>
  <c r="AS128" i="2"/>
  <c r="AT128" i="2"/>
  <c r="AU128" i="2" s="1"/>
  <c r="AT495" i="2"/>
  <c r="AU495" i="2" s="1"/>
  <c r="AS495" i="2"/>
  <c r="AT150" i="2"/>
  <c r="AU150" i="2" s="1"/>
  <c r="AS150" i="2"/>
  <c r="AV223" i="2"/>
  <c r="AS193" i="2"/>
  <c r="AT193" i="2"/>
  <c r="AU193" i="2" s="1"/>
  <c r="AR523" i="2"/>
  <c r="AT134" i="2"/>
  <c r="AU134" i="2" s="1"/>
  <c r="AS134" i="2"/>
  <c r="AR390" i="2"/>
  <c r="AV390" i="2" s="1"/>
  <c r="AS173" i="2"/>
  <c r="AT173" i="2"/>
  <c r="AU173" i="2" s="1"/>
  <c r="AS252" i="2"/>
  <c r="AT252" i="2"/>
  <c r="AU252" i="2" s="1"/>
  <c r="AS607" i="2"/>
  <c r="AT607" i="2"/>
  <c r="AS470" i="2"/>
  <c r="AT470" i="2"/>
  <c r="AU470" i="2" s="1"/>
  <c r="AV583" i="2"/>
  <c r="AV231" i="2"/>
  <c r="AR641" i="2"/>
  <c r="AV179" i="2"/>
  <c r="AV339" i="2"/>
  <c r="AT329" i="2"/>
  <c r="AU329" i="2" s="1"/>
  <c r="AS329" i="2"/>
  <c r="AS258" i="2"/>
  <c r="AT258" i="2"/>
  <c r="AU258" i="2" s="1"/>
  <c r="AT620" i="2"/>
  <c r="AS620" i="2"/>
  <c r="AV269" i="2"/>
  <c r="AS51" i="2"/>
  <c r="AT51" i="2"/>
  <c r="AU51" i="2" s="1"/>
  <c r="AS256" i="2"/>
  <c r="AT256" i="2"/>
  <c r="AU256" i="2" s="1"/>
  <c r="AS280" i="2"/>
  <c r="AT280" i="2"/>
  <c r="AU280" i="2" s="1"/>
  <c r="AS521" i="2"/>
  <c r="AT521" i="2"/>
  <c r="AU521" i="2" s="1"/>
  <c r="AT654" i="2"/>
  <c r="AU654" i="2" s="1"/>
  <c r="AS654" i="2"/>
  <c r="AS87" i="2"/>
  <c r="AT87" i="2"/>
  <c r="AU87" i="2" s="1"/>
  <c r="AT555" i="2"/>
  <c r="AU555" i="2" s="1"/>
  <c r="AS555" i="2"/>
  <c r="AR504" i="2"/>
  <c r="AV504" i="2" s="1"/>
  <c r="AV16" i="2"/>
  <c r="AS161" i="2"/>
  <c r="AT161" i="2"/>
  <c r="AU161" i="2" s="1"/>
  <c r="AS545" i="2"/>
  <c r="AT545" i="2"/>
  <c r="AU545" i="2" s="1"/>
  <c r="AR149" i="2"/>
  <c r="AV149" i="2"/>
  <c r="AT264" i="2"/>
  <c r="AU264" i="2" s="1"/>
  <c r="AS264" i="2"/>
  <c r="AV315" i="2"/>
  <c r="AS15" i="2"/>
  <c r="AT15" i="2"/>
  <c r="AV362" i="2"/>
  <c r="AR125" i="2"/>
  <c r="AV125" i="2" s="1"/>
  <c r="AS19" i="2"/>
  <c r="AT19" i="2"/>
  <c r="AU19" i="2" s="1"/>
  <c r="AR662" i="2"/>
  <c r="AV329" i="2"/>
  <c r="AT42" i="2"/>
  <c r="AU42" i="2" s="1"/>
  <c r="AS42" i="2"/>
  <c r="AS37" i="2"/>
  <c r="AT37" i="2"/>
  <c r="AU37" i="2" s="1"/>
  <c r="AV529" i="2"/>
  <c r="AS328" i="2"/>
  <c r="AT328" i="2"/>
  <c r="AU328" i="2" s="1"/>
  <c r="AV291" i="2"/>
  <c r="AV620" i="2"/>
  <c r="AR526" i="2"/>
  <c r="AT657" i="2"/>
  <c r="AS657" i="2"/>
  <c r="AS597" i="2"/>
  <c r="AT597" i="2"/>
  <c r="AU597" i="2" s="1"/>
  <c r="AT643" i="2"/>
  <c r="AU643" i="2" s="1"/>
  <c r="AS643" i="2"/>
  <c r="AS346" i="2"/>
  <c r="AT346" i="2"/>
  <c r="AU346" i="2" s="1"/>
  <c r="AS11" i="2"/>
  <c r="AT11" i="2"/>
  <c r="AU11" i="2" s="1"/>
  <c r="AV452" i="2"/>
  <c r="AS344" i="2"/>
  <c r="AT344" i="2"/>
  <c r="AS674" i="2"/>
  <c r="AT674" i="2"/>
  <c r="AT342" i="2"/>
  <c r="AS342" i="2"/>
  <c r="AT30" i="2"/>
  <c r="AU30" i="2" s="1"/>
  <c r="AS30" i="2"/>
  <c r="AT91" i="2"/>
  <c r="AS91" i="2"/>
  <c r="AS468" i="2"/>
  <c r="AT468" i="2"/>
  <c r="AU468" i="2" s="1"/>
  <c r="AV268" i="2"/>
  <c r="AU607" i="2"/>
  <c r="AV6" i="2"/>
  <c r="AR471" i="2"/>
  <c r="AS117" i="2"/>
  <c r="AT117" i="2"/>
  <c r="AU117" i="2" s="1"/>
  <c r="AS353" i="2"/>
  <c r="AT353" i="2"/>
  <c r="AS175" i="2"/>
  <c r="AT175" i="2"/>
  <c r="AU175" i="2" s="1"/>
  <c r="AR543" i="2"/>
  <c r="AR216" i="2"/>
  <c r="AV216" i="2"/>
  <c r="AS164" i="2"/>
  <c r="AT164" i="2"/>
  <c r="AU164" i="2" s="1"/>
  <c r="AR4" i="2"/>
  <c r="AV4" i="2" s="1"/>
  <c r="AR680" i="2"/>
  <c r="AV680" i="2" s="1"/>
  <c r="AT583" i="2"/>
  <c r="AU583" i="2" s="1"/>
  <c r="AS583" i="2"/>
  <c r="AS585" i="2"/>
  <c r="AT585" i="2"/>
  <c r="AU585" i="2" s="1"/>
  <c r="AS179" i="2"/>
  <c r="AT179" i="2"/>
  <c r="AU179" i="2" s="1"/>
  <c r="AS320" i="2"/>
  <c r="AT320" i="2"/>
  <c r="AU320" i="2" s="1"/>
  <c r="AR561" i="2"/>
  <c r="AV561" i="2"/>
  <c r="AS595" i="2"/>
  <c r="AT595" i="2"/>
  <c r="AU595" i="2" s="1"/>
  <c r="AS551" i="2"/>
  <c r="AT551" i="2"/>
  <c r="AU551" i="2" s="1"/>
  <c r="AS93" i="2"/>
  <c r="AT93" i="2"/>
  <c r="AU93" i="2" s="1"/>
  <c r="AS333" i="2"/>
  <c r="AT333" i="2"/>
  <c r="AU333" i="2" s="1"/>
  <c r="AS360" i="2"/>
  <c r="AT360" i="2"/>
  <c r="AR158" i="2"/>
  <c r="AV158" i="2" s="1"/>
  <c r="AT667" i="2"/>
  <c r="AS667" i="2"/>
  <c r="AS229" i="2"/>
  <c r="AT229" i="2"/>
  <c r="AU229" i="2" s="1"/>
  <c r="AR267" i="2"/>
  <c r="AV267" i="2" s="1"/>
  <c r="AS108" i="2"/>
  <c r="AT108" i="2"/>
  <c r="AR436" i="2"/>
  <c r="AT10" i="2"/>
  <c r="AU10" i="2" s="1"/>
  <c r="AS10" i="2"/>
  <c r="AV595" i="2"/>
  <c r="AS181" i="2"/>
  <c r="AT181" i="2"/>
  <c r="AU181" i="2" s="1"/>
  <c r="AT402" i="2"/>
  <c r="AU402" i="2" s="1"/>
  <c r="AS402" i="2"/>
  <c r="AS227" i="2"/>
  <c r="AT227" i="2"/>
  <c r="AS428" i="2"/>
  <c r="AT428" i="2"/>
  <c r="AT289" i="2"/>
  <c r="AU289" i="2" s="1"/>
  <c r="AS289" i="2"/>
  <c r="AS155" i="2"/>
  <c r="AT155" i="2"/>
  <c r="AU155" i="2" s="1"/>
  <c r="AS243" i="2"/>
  <c r="AT243" i="2"/>
  <c r="AU243" i="2" s="1"/>
  <c r="AU620" i="2"/>
  <c r="AT465" i="2"/>
  <c r="AU465" i="2" s="1"/>
  <c r="AS465" i="2"/>
  <c r="AR685" i="2"/>
  <c r="AV685" i="2" s="1"/>
  <c r="AV657" i="2"/>
  <c r="AT488" i="2"/>
  <c r="AU488" i="2" s="1"/>
  <c r="AS488" i="2"/>
  <c r="AV643" i="2"/>
  <c r="AV11" i="2"/>
  <c r="AV344" i="2"/>
  <c r="AV674" i="2"/>
  <c r="AU342" i="2"/>
  <c r="AS446" i="2"/>
  <c r="AT446" i="2"/>
  <c r="AU446" i="2" s="1"/>
  <c r="AV30" i="2"/>
  <c r="AU91" i="2"/>
  <c r="AS547" i="2"/>
  <c r="AT547" i="2"/>
  <c r="AU547" i="2" s="1"/>
  <c r="AS573" i="2"/>
  <c r="AT573" i="2"/>
  <c r="AU573" i="2" s="1"/>
  <c r="AS310" i="2"/>
  <c r="AT310" i="2"/>
  <c r="AU310" i="2" s="1"/>
  <c r="AT370" i="2"/>
  <c r="AU370" i="2" s="1"/>
  <c r="AS370" i="2"/>
  <c r="AS140" i="2"/>
  <c r="AT140" i="2"/>
  <c r="AU140" i="2" s="1"/>
  <c r="AR418" i="2"/>
  <c r="AS5" i="2"/>
  <c r="AT5" i="2"/>
  <c r="AU5" i="2" s="1"/>
  <c r="AR178" i="2"/>
  <c r="AV178" i="2"/>
  <c r="AR531" i="2"/>
  <c r="AV495" i="2"/>
  <c r="AS191" i="2"/>
  <c r="AT191" i="2"/>
  <c r="AU191" i="2" s="1"/>
  <c r="AT373" i="2"/>
  <c r="AU373" i="2" s="1"/>
  <c r="AS373" i="2"/>
  <c r="AR615" i="2"/>
  <c r="AS122" i="2"/>
  <c r="AT122" i="2"/>
  <c r="AU122" i="2" s="1"/>
  <c r="AT629" i="2"/>
  <c r="AU629" i="2" s="1"/>
  <c r="AS629" i="2"/>
  <c r="AS202" i="2"/>
  <c r="AT202" i="2"/>
  <c r="AU202" i="2" s="1"/>
  <c r="AT582" i="2"/>
  <c r="AU582" i="2" s="1"/>
  <c r="AS582" i="2"/>
  <c r="AS581" i="2"/>
  <c r="AT581" i="2"/>
  <c r="AU581" i="2" s="1"/>
  <c r="AS21" i="2"/>
  <c r="AT21" i="2"/>
  <c r="AU21" i="2" s="1"/>
  <c r="AS527" i="2"/>
  <c r="AT527" i="2"/>
  <c r="AU527" i="2" s="1"/>
  <c r="AT492" i="2"/>
  <c r="AU492" i="2" s="1"/>
  <c r="AS492" i="2"/>
  <c r="AR236" i="2"/>
  <c r="AV236" i="2" s="1"/>
  <c r="AV521" i="2"/>
  <c r="AS205" i="2"/>
  <c r="AT205" i="2"/>
  <c r="AU205" i="2" s="1"/>
  <c r="AV667" i="2"/>
  <c r="AV229" i="2"/>
  <c r="AT308" i="2"/>
  <c r="AU308" i="2" s="1"/>
  <c r="AS308" i="2"/>
  <c r="AR687" i="2"/>
  <c r="AS421" i="2"/>
  <c r="AT421" i="2"/>
  <c r="AU421" i="2" s="1"/>
  <c r="AU108" i="2"/>
  <c r="AS286" i="2"/>
  <c r="AT286" i="2"/>
  <c r="AU286" i="2" s="1"/>
  <c r="AU15" i="2"/>
  <c r="AT426" i="2"/>
  <c r="AU426" i="2" s="1"/>
  <c r="AS426" i="2"/>
  <c r="AS515" i="2"/>
  <c r="AT515" i="2"/>
  <c r="AU515" i="2" s="1"/>
  <c r="AS32" i="2"/>
  <c r="AT32" i="2"/>
  <c r="AV10" i="2"/>
  <c r="AS388" i="2"/>
  <c r="AT388" i="2"/>
  <c r="AU388" i="2" s="1"/>
  <c r="AS389" i="2"/>
  <c r="AT389" i="2"/>
  <c r="AU389" i="2" s="1"/>
  <c r="AS433" i="2"/>
  <c r="AT433" i="2"/>
  <c r="AU433" i="2" s="1"/>
  <c r="AR454" i="2"/>
  <c r="AV454" i="2" s="1"/>
  <c r="AV42" i="2"/>
  <c r="AS404" i="2"/>
  <c r="AT404" i="2"/>
  <c r="AU404" i="2" s="1"/>
  <c r="AS167" i="2"/>
  <c r="AT167" i="2"/>
  <c r="AU167" i="2" s="1"/>
  <c r="AV227" i="2"/>
  <c r="AV289" i="2"/>
  <c r="AS189" i="2"/>
  <c r="AT189" i="2"/>
  <c r="AU189" i="2" s="1"/>
  <c r="AT358" i="2"/>
  <c r="AU358" i="2" s="1"/>
  <c r="AS358" i="2"/>
  <c r="AR485" i="2"/>
  <c r="AV485" i="2" s="1"/>
  <c r="AV465" i="2"/>
  <c r="AT355" i="2"/>
  <c r="AU355" i="2" s="1"/>
  <c r="AS355" i="2"/>
  <c r="AT257" i="2"/>
  <c r="AU257" i="2" s="1"/>
  <c r="AS257" i="2"/>
  <c r="AR331" i="2"/>
  <c r="AU657" i="2"/>
  <c r="AR374" i="2"/>
  <c r="AR142" i="2"/>
  <c r="AU344" i="2"/>
  <c r="AU674" i="2"/>
  <c r="AT307" i="2"/>
  <c r="AU307" i="2" s="1"/>
  <c r="AS307" i="2"/>
  <c r="AV342" i="2"/>
  <c r="AR24" i="2"/>
  <c r="AV24" i="2"/>
  <c r="AT265" i="2"/>
  <c r="AU265" i="2" s="1"/>
  <c r="AS265" i="2"/>
  <c r="AR505" i="2"/>
  <c r="AV505" i="2" s="1"/>
  <c r="AS223" i="2"/>
  <c r="AT223" i="2"/>
  <c r="AU223" i="2" s="1"/>
  <c r="AS376" i="2"/>
  <c r="AT376" i="2"/>
  <c r="AU376" i="2" s="1"/>
  <c r="AS651" i="2"/>
  <c r="AT651" i="2"/>
  <c r="AU651" i="2" s="1"/>
  <c r="AS305" i="2"/>
  <c r="AT305" i="2"/>
  <c r="AU305" i="2" s="1"/>
  <c r="AS448" i="2"/>
  <c r="AT448" i="2"/>
  <c r="AU448" i="2" s="1"/>
  <c r="AS534" i="2"/>
  <c r="AT534" i="2"/>
  <c r="AU534" i="2" s="1"/>
  <c r="AS136" i="2"/>
  <c r="AT136" i="2"/>
  <c r="AU136" i="2" s="1"/>
  <c r="AR366" i="2"/>
  <c r="AV366" i="2"/>
  <c r="AT177" i="2"/>
  <c r="AU177" i="2" s="1"/>
  <c r="AS177" i="2"/>
  <c r="AR498" i="2"/>
  <c r="AV498" i="2" s="1"/>
  <c r="AR242" i="2"/>
  <c r="AS339" i="2"/>
  <c r="AT339" i="2"/>
  <c r="AU339" i="2" s="1"/>
  <c r="AS326" i="2"/>
  <c r="AT326" i="2"/>
  <c r="AU326" i="2" s="1"/>
  <c r="AR624" i="2"/>
  <c r="AV624" i="2"/>
  <c r="AS268" i="2"/>
  <c r="AT268" i="2"/>
  <c r="AU268" i="2" s="1"/>
  <c r="AR113" i="2"/>
  <c r="AR572" i="2"/>
  <c r="AV572" i="2"/>
  <c r="AS56" i="2"/>
  <c r="AT56" i="2"/>
  <c r="AU56" i="2" s="1"/>
  <c r="AS315" i="2"/>
  <c r="AT315" i="2"/>
  <c r="AT362" i="2"/>
  <c r="AU362" i="2" s="1"/>
  <c r="AS362" i="2"/>
  <c r="AS568" i="2"/>
  <c r="AT568" i="2"/>
  <c r="AU568" i="2" s="1"/>
  <c r="AT529" i="2"/>
  <c r="AU529" i="2" s="1"/>
  <c r="AS529" i="2"/>
  <c r="AV252" i="2"/>
  <c r="AS291" i="2"/>
  <c r="AT291" i="2"/>
  <c r="AU291" i="2" s="1"/>
  <c r="AT319" i="2"/>
  <c r="AU319" i="2" s="1"/>
  <c r="AS319" i="2"/>
  <c r="AV122" i="2"/>
  <c r="AS668" i="2"/>
  <c r="AT668" i="2"/>
  <c r="AU668" i="2" s="1"/>
  <c r="AV470" i="2"/>
  <c r="AS292" i="2"/>
  <c r="AT292" i="2"/>
  <c r="AU292" i="2" s="1"/>
  <c r="AT663" i="2"/>
  <c r="AU663" i="2" s="1"/>
  <c r="AS663" i="2"/>
  <c r="AS199" i="2"/>
  <c r="AT199" i="2"/>
  <c r="AU199" i="2" s="1"/>
  <c r="AV32" i="2"/>
  <c r="AT106" i="2"/>
  <c r="AS106" i="2"/>
  <c r="AV389" i="2"/>
  <c r="BP697" i="2"/>
  <c r="AS541" i="2"/>
  <c r="AT541" i="2"/>
  <c r="AU541" i="2" s="1"/>
  <c r="AS324" i="2"/>
  <c r="AT324" i="2"/>
  <c r="AU324" i="2" s="1"/>
  <c r="AV181" i="2"/>
  <c r="AR347" i="2"/>
  <c r="AS673" i="2"/>
  <c r="AT673" i="2"/>
  <c r="AU227" i="2"/>
  <c r="AT138" i="2"/>
  <c r="AS138" i="2"/>
  <c r="AR146" i="2"/>
  <c r="AV146" i="2"/>
  <c r="AS62" i="2"/>
  <c r="AT62" i="2"/>
  <c r="AU62" i="2" s="1"/>
  <c r="AT28" i="2"/>
  <c r="AU28" i="2" s="1"/>
  <c r="AS28" i="2"/>
  <c r="AS548" i="2"/>
  <c r="AT548" i="2"/>
  <c r="AU548" i="2" s="1"/>
  <c r="AS8" i="2"/>
  <c r="AT8" i="2"/>
  <c r="AS210" i="2"/>
  <c r="AT210" i="2"/>
  <c r="AT332" i="2"/>
  <c r="AU332" i="2" s="1"/>
  <c r="AS332" i="2"/>
  <c r="AT645" i="2"/>
  <c r="AU645" i="2" s="1"/>
  <c r="AS645" i="2"/>
  <c r="AS70" i="2"/>
  <c r="AT70" i="2"/>
  <c r="AU70" i="2" s="1"/>
  <c r="AS574" i="2"/>
  <c r="AT574" i="2"/>
  <c r="AU574" i="2" s="1"/>
  <c r="AT110" i="2"/>
  <c r="AU110" i="2" s="1"/>
  <c r="AS110" i="2"/>
  <c r="AS506" i="2"/>
  <c r="AT506" i="2"/>
  <c r="AU506" i="2" s="1"/>
  <c r="AT401" i="2"/>
  <c r="AU401" i="2" s="1"/>
  <c r="AS401" i="2"/>
  <c r="AS450" i="2"/>
  <c r="AT450" i="2"/>
  <c r="AU450" i="2" s="1"/>
  <c r="AR365" i="2"/>
  <c r="AS537" i="2"/>
  <c r="AT537" i="2"/>
  <c r="AU537" i="2" s="1"/>
  <c r="AT174" i="2"/>
  <c r="AU174" i="2" s="1"/>
  <c r="AS174" i="2"/>
  <c r="AR304" i="2"/>
  <c r="AT550" i="2"/>
  <c r="AU550" i="2" s="1"/>
  <c r="AS550" i="2"/>
  <c r="AS160" i="2"/>
  <c r="AT160" i="2"/>
  <c r="AU160" i="2" s="1"/>
  <c r="AS520" i="2"/>
  <c r="AT520" i="2"/>
  <c r="AU520" i="2" s="1"/>
  <c r="AR627" i="2"/>
  <c r="AV627" i="2"/>
  <c r="AR99" i="2"/>
  <c r="AS6" i="2"/>
  <c r="AT6" i="2"/>
  <c r="AU6" i="2" s="1"/>
  <c r="AV563" i="2"/>
  <c r="AV520" i="2"/>
  <c r="AT337" i="2"/>
  <c r="AU337" i="2" s="1"/>
  <c r="AS337" i="2"/>
  <c r="AT63" i="2"/>
  <c r="AU63" i="2" s="1"/>
  <c r="AS63" i="2"/>
  <c r="AS375" i="2"/>
  <c r="AT375" i="2"/>
  <c r="AU375" i="2" s="1"/>
  <c r="AS183" i="2"/>
  <c r="AT183" i="2"/>
  <c r="AU183" i="2" s="1"/>
  <c r="AT637" i="2"/>
  <c r="AU637" i="2" s="1"/>
  <c r="AS637" i="2"/>
  <c r="AR577" i="2"/>
  <c r="AV577" i="2" s="1"/>
  <c r="AT652" i="2"/>
  <c r="AU652" i="2" s="1"/>
  <c r="AS652" i="2"/>
  <c r="AT3" i="2"/>
  <c r="AU3" i="2" s="1"/>
  <c r="AS3" i="2"/>
  <c r="AT96" i="2"/>
  <c r="AU96" i="2" s="1"/>
  <c r="AS96" i="2"/>
  <c r="AS655" i="2"/>
  <c r="AT655" i="2"/>
  <c r="AU655" i="2" s="1"/>
  <c r="AT473" i="2"/>
  <c r="AU473" i="2" s="1"/>
  <c r="AS473" i="2"/>
  <c r="AU667" i="2"/>
  <c r="AS440" i="2"/>
  <c r="AT440" i="2"/>
  <c r="AU440" i="2" s="1"/>
  <c r="AS576" i="2"/>
  <c r="AT576" i="2"/>
  <c r="AU576" i="2" s="1"/>
  <c r="AT634" i="2"/>
  <c r="AU634" i="2" s="1"/>
  <c r="AS634" i="2"/>
  <c r="AS690" i="2"/>
  <c r="AT690" i="2"/>
  <c r="AU690" i="2" s="1"/>
  <c r="AS213" i="2"/>
  <c r="AT213" i="2"/>
  <c r="AU213" i="2" s="1"/>
  <c r="AT137" i="2"/>
  <c r="AU137" i="2" s="1"/>
  <c r="AS137" i="2"/>
  <c r="AR119" i="2"/>
  <c r="AV119" i="2"/>
  <c r="AS68" i="2"/>
  <c r="AT68" i="2"/>
  <c r="AU68" i="2" s="1"/>
  <c r="AR453" i="2"/>
  <c r="AV453" i="2" s="1"/>
  <c r="AS394" i="2"/>
  <c r="AT394" i="2"/>
  <c r="AU394" i="2" s="1"/>
  <c r="AS214" i="2"/>
  <c r="AT214" i="2"/>
  <c r="AU214" i="2" s="1"/>
  <c r="AT27" i="2"/>
  <c r="AU27" i="2" s="1"/>
  <c r="AS27" i="2"/>
  <c r="AT462" i="2"/>
  <c r="AU462" i="2" s="1"/>
  <c r="AS462" i="2"/>
  <c r="AV576" i="2"/>
  <c r="AS438" i="2"/>
  <c r="AT438" i="2"/>
  <c r="AU438" i="2" s="1"/>
  <c r="AS661" i="2"/>
  <c r="AT661" i="2"/>
  <c r="AU661" i="2" s="1"/>
  <c r="AU32" i="2"/>
  <c r="AV106" i="2"/>
  <c r="AS660" i="2"/>
  <c r="AT660" i="2"/>
  <c r="AU660" i="2" s="1"/>
  <c r="AR2" i="2"/>
  <c r="AV2" i="2" s="1"/>
  <c r="AQ697" i="2"/>
  <c r="AS316" i="2"/>
  <c r="AT316" i="2"/>
  <c r="AU316" i="2" s="1"/>
  <c r="AS215" i="2"/>
  <c r="AT215" i="2"/>
  <c r="AU215" i="2" s="1"/>
  <c r="AR592" i="2"/>
  <c r="AV592" i="2" s="1"/>
  <c r="AV673" i="2"/>
  <c r="AT635" i="2"/>
  <c r="AU635" i="2" s="1"/>
  <c r="AS635" i="2"/>
  <c r="AS589" i="2"/>
  <c r="AT589" i="2"/>
  <c r="AU589" i="2" s="1"/>
  <c r="AU138" i="2"/>
  <c r="AT244" i="2"/>
  <c r="AU244" i="2" s="1"/>
  <c r="AS244" i="2"/>
  <c r="AV62" i="2"/>
  <c r="AV28" i="2"/>
  <c r="AS54" i="2"/>
  <c r="AT54" i="2"/>
  <c r="AU54" i="2" s="1"/>
  <c r="AS591" i="2"/>
  <c r="AT591" i="2"/>
  <c r="AU591" i="2" s="1"/>
  <c r="AS519" i="2"/>
  <c r="AT519" i="2"/>
  <c r="AU519" i="2" s="1"/>
  <c r="AR599" i="2"/>
  <c r="AV599" i="2" s="1"/>
  <c r="AS162" i="2"/>
  <c r="AT162" i="2"/>
  <c r="AU162" i="2" s="1"/>
  <c r="AT393" i="2"/>
  <c r="AU393" i="2" s="1"/>
  <c r="AS393" i="2"/>
  <c r="AS124" i="2"/>
  <c r="AT124" i="2"/>
  <c r="AU124" i="2" s="1"/>
  <c r="AV210" i="2"/>
  <c r="AT195" i="2"/>
  <c r="AU195" i="2" s="1"/>
  <c r="AS195" i="2"/>
  <c r="AR290" i="2"/>
  <c r="AS594" i="2"/>
  <c r="AT594" i="2"/>
  <c r="AU594" i="2" s="1"/>
  <c r="AS281" i="2"/>
  <c r="AT281" i="2"/>
  <c r="AU281" i="2" s="1"/>
  <c r="AV70" i="2"/>
  <c r="AS502" i="2"/>
  <c r="AT502" i="2"/>
  <c r="AU502" i="2" s="1"/>
  <c r="AS274" i="2"/>
  <c r="AT274" i="2"/>
  <c r="AU274" i="2" s="1"/>
  <c r="AT156" i="2"/>
  <c r="AU156" i="2" s="1"/>
  <c r="AS156" i="2"/>
  <c r="AV574" i="2"/>
  <c r="AS367" i="2"/>
  <c r="AT367" i="2"/>
  <c r="AU367" i="2" s="1"/>
  <c r="AV110" i="2"/>
  <c r="AT53" i="2"/>
  <c r="AU53" i="2" s="1"/>
  <c r="AS53" i="2"/>
  <c r="AR166" i="2"/>
  <c r="AV166" i="2" s="1"/>
  <c r="AS684" i="2"/>
  <c r="AT684" i="2"/>
  <c r="AU684" i="2" s="1"/>
  <c r="AR445" i="2"/>
  <c r="AV445" i="2"/>
  <c r="AS25" i="2"/>
  <c r="AT25" i="2"/>
  <c r="AU25" i="2" s="1"/>
  <c r="AS487" i="2"/>
  <c r="AT487" i="2"/>
  <c r="AU487" i="2" s="1"/>
  <c r="AS675" i="2"/>
  <c r="AT675" i="2"/>
  <c r="AU675" i="2" s="1"/>
  <c r="AV450" i="2"/>
  <c r="AV376" i="2"/>
  <c r="AT231" i="2"/>
  <c r="AU231" i="2" s="1"/>
  <c r="AS231" i="2"/>
  <c r="AT650" i="2"/>
  <c r="AU650" i="2" s="1"/>
  <c r="AS650" i="2"/>
  <c r="AT563" i="2"/>
  <c r="AU563" i="2" s="1"/>
  <c r="AS563" i="2"/>
  <c r="AS648" i="2"/>
  <c r="AT648" i="2"/>
  <c r="AU648" i="2" s="1"/>
  <c r="AV607" i="2"/>
  <c r="AS565" i="2"/>
  <c r="AT565" i="2"/>
  <c r="AU565" i="2" s="1"/>
  <c r="AT115" i="2"/>
  <c r="AU115" i="2" s="1"/>
  <c r="AS115" i="2"/>
  <c r="AV527" i="2"/>
  <c r="AV333" i="2"/>
  <c r="AR618" i="2"/>
  <c r="AV618" i="2" s="1"/>
  <c r="AT95" i="2"/>
  <c r="AU95" i="2" s="1"/>
  <c r="AS95" i="2"/>
  <c r="AV655" i="2"/>
  <c r="AS431" i="2"/>
  <c r="AT431" i="2"/>
  <c r="AU431" i="2" s="1"/>
  <c r="AR490" i="2"/>
  <c r="AS323" i="2"/>
  <c r="AT323" i="2"/>
  <c r="AU323" i="2" s="1"/>
  <c r="AV199" i="2"/>
  <c r="AR631" i="2"/>
  <c r="AS378" i="2"/>
  <c r="AT378" i="2"/>
  <c r="AU378" i="2" s="1"/>
  <c r="AU106" i="2"/>
  <c r="AR497" i="2"/>
  <c r="AV497" i="2" s="1"/>
  <c r="AS558" i="2"/>
  <c r="AT558" i="2"/>
  <c r="AU558" i="2" s="1"/>
  <c r="AT682" i="2"/>
  <c r="AU682" i="2" s="1"/>
  <c r="AS682" i="2"/>
  <c r="AS434" i="2"/>
  <c r="AT434" i="2"/>
  <c r="AS73" i="2"/>
  <c r="AT73" i="2"/>
  <c r="AU73" i="2" s="1"/>
  <c r="AS364" i="2"/>
  <c r="AT364" i="2"/>
  <c r="AU364" i="2" s="1"/>
  <c r="AU673" i="2"/>
  <c r="AS118" i="2"/>
  <c r="AT118" i="2"/>
  <c r="AU118" i="2" s="1"/>
  <c r="AT266" i="2"/>
  <c r="AU266" i="2" s="1"/>
  <c r="AS266" i="2"/>
  <c r="AR39" i="2"/>
  <c r="AT511" i="2"/>
  <c r="AU511" i="2" s="1"/>
  <c r="AS511" i="2"/>
  <c r="AS271" i="2"/>
  <c r="AT271" i="2"/>
  <c r="AU271" i="2" s="1"/>
  <c r="AS647" i="2"/>
  <c r="AT647" i="2"/>
  <c r="AU647" i="2" s="1"/>
  <c r="AV548" i="2"/>
  <c r="AS566" i="2"/>
  <c r="AT566" i="2"/>
  <c r="AU566" i="2" s="1"/>
  <c r="AT278" i="2"/>
  <c r="AU278" i="2" s="1"/>
  <c r="AS278" i="2"/>
  <c r="AU210" i="2"/>
  <c r="AR507" i="2"/>
  <c r="AS169" i="2"/>
  <c r="AT169" i="2"/>
  <c r="AU169" i="2" s="1"/>
  <c r="AT79" i="2"/>
  <c r="AS79" i="2"/>
  <c r="AT312" i="2"/>
  <c r="AU312" i="2" s="1"/>
  <c r="AS312" i="2"/>
  <c r="AS188" i="2"/>
  <c r="AT188" i="2"/>
  <c r="AU188" i="2" s="1"/>
  <c r="AS192" i="2"/>
  <c r="AT192" i="2"/>
  <c r="AU192" i="2" s="1"/>
  <c r="AR569" i="2"/>
  <c r="AV569" i="2"/>
  <c r="AT330" i="2"/>
  <c r="AU330" i="2" s="1"/>
  <c r="AS330" i="2"/>
  <c r="AS449" i="2"/>
  <c r="AT449" i="2"/>
  <c r="AU449" i="2" s="1"/>
  <c r="AV192" i="2"/>
  <c r="AS297" i="2"/>
  <c r="AT297" i="2"/>
  <c r="AU297" i="2" s="1"/>
  <c r="AS16" i="2"/>
  <c r="AT16" i="2"/>
  <c r="AU16" i="2" s="1"/>
  <c r="AS81" i="2"/>
  <c r="AT81" i="2"/>
  <c r="AU81" i="2" s="1"/>
  <c r="AR334" i="2"/>
  <c r="AV334" i="2"/>
  <c r="AT628" i="2"/>
  <c r="AU628" i="2" s="1"/>
  <c r="AS628" i="2"/>
  <c r="AS422" i="2"/>
  <c r="AT422" i="2"/>
  <c r="AU422" i="2" s="1"/>
  <c r="AS269" i="2"/>
  <c r="AT269" i="2"/>
  <c r="AU269" i="2" s="1"/>
  <c r="AS452" i="2"/>
  <c r="AT452" i="2"/>
  <c r="AU452" i="2" s="1"/>
  <c r="AS557" i="2"/>
  <c r="AT557" i="2"/>
  <c r="AU557" i="2" s="1"/>
  <c r="AV193" i="2"/>
  <c r="AS587" i="2"/>
  <c r="AT587" i="2"/>
  <c r="AU587" i="2" s="1"/>
  <c r="AS141" i="2"/>
  <c r="AT141" i="2"/>
  <c r="AU141" i="2" s="1"/>
  <c r="AV629" i="2"/>
  <c r="AV565" i="2"/>
  <c r="AV292" i="2"/>
  <c r="AT298" i="2"/>
  <c r="AU298" i="2" s="1"/>
  <c r="AS298" i="2"/>
  <c r="AT17" i="2"/>
  <c r="AU17" i="2" s="1"/>
  <c r="AS17" i="2"/>
  <c r="AR665" i="2"/>
  <c r="AV665" i="2"/>
  <c r="AS588" i="2"/>
  <c r="AT588" i="2"/>
  <c r="AU588" i="2" s="1"/>
  <c r="AS253" i="2"/>
  <c r="AT253" i="2"/>
  <c r="AU253" i="2" s="1"/>
  <c r="AR111" i="2"/>
  <c r="AV111" i="2" s="1"/>
  <c r="AS340" i="2"/>
  <c r="AT340" i="2"/>
  <c r="AU340" i="2" s="1"/>
  <c r="AR466" i="2"/>
  <c r="AV466" i="2"/>
  <c r="AR439" i="2"/>
  <c r="AV439" i="2"/>
  <c r="AV588" i="2"/>
  <c r="AR653" i="2"/>
  <c r="AV253" i="2"/>
  <c r="AT172" i="2"/>
  <c r="AU172" i="2" s="1"/>
  <c r="AS172" i="2"/>
  <c r="AS120" i="2"/>
  <c r="AT120" i="2"/>
  <c r="AU120" i="2" s="1"/>
  <c r="AS666" i="2"/>
  <c r="AT666" i="2"/>
  <c r="AU666" i="2" s="1"/>
  <c r="AT616" i="2"/>
  <c r="AU616" i="2" s="1"/>
  <c r="AS616" i="2"/>
  <c r="AS400" i="2"/>
  <c r="AT400" i="2"/>
  <c r="AU400" i="2" s="1"/>
  <c r="AR22" i="2"/>
  <c r="AV22" i="2" s="1"/>
  <c r="AT480" i="2"/>
  <c r="AU480" i="2" s="1"/>
  <c r="AS480" i="2"/>
  <c r="AT152" i="2"/>
  <c r="AU152" i="2" s="1"/>
  <c r="AS152" i="2"/>
  <c r="AR318" i="2"/>
  <c r="AV318" i="2" s="1"/>
  <c r="AS351" i="2"/>
  <c r="AT351" i="2"/>
  <c r="AU351" i="2" s="1"/>
  <c r="AV378" i="2"/>
  <c r="AS578" i="2"/>
  <c r="AT578" i="2"/>
  <c r="AU578" i="2" s="1"/>
  <c r="AS500" i="2"/>
  <c r="AT500" i="2"/>
  <c r="AU500" i="2" s="1"/>
  <c r="AS610" i="2"/>
  <c r="AT610" i="2"/>
  <c r="AU610" i="2" s="1"/>
  <c r="AV558" i="2"/>
  <c r="AT170" i="2"/>
  <c r="AU170" i="2" s="1"/>
  <c r="AS170" i="2"/>
  <c r="AV682" i="2"/>
  <c r="AS605" i="2"/>
  <c r="AT605" i="2"/>
  <c r="AU605" i="2" s="1"/>
  <c r="AS322" i="2"/>
  <c r="AT322" i="2"/>
  <c r="AU322" i="2" s="1"/>
  <c r="AT251" i="2"/>
  <c r="AU251" i="2" s="1"/>
  <c r="AS251" i="2"/>
  <c r="AV364" i="2"/>
  <c r="AS145" i="2"/>
  <c r="AT145" i="2"/>
  <c r="AU145" i="2" s="1"/>
  <c r="AR397" i="2"/>
  <c r="AV397" i="2"/>
  <c r="AS461" i="2"/>
  <c r="AT461" i="2"/>
  <c r="AU461" i="2" s="1"/>
  <c r="AR130" i="2"/>
  <c r="AV511" i="2"/>
  <c r="AV271" i="2"/>
  <c r="AV647" i="2"/>
  <c r="AV566" i="2"/>
  <c r="AT349" i="2"/>
  <c r="AU349" i="2" s="1"/>
  <c r="AS349" i="2"/>
  <c r="AR235" i="2"/>
  <c r="AV235" i="2" s="1"/>
  <c r="AS84" i="2"/>
  <c r="AT84" i="2"/>
  <c r="AU84" i="2" s="1"/>
  <c r="AS606" i="2"/>
  <c r="AT606" i="2"/>
  <c r="AU606" i="2" s="1"/>
  <c r="AR486" i="2"/>
  <c r="AV486" i="2" s="1"/>
  <c r="AS154" i="2"/>
  <c r="AT154" i="2"/>
  <c r="AU154" i="2" s="1"/>
  <c r="AU79" i="2"/>
  <c r="AT469" i="2"/>
  <c r="AU469" i="2" s="1"/>
  <c r="AS469" i="2"/>
  <c r="AV312" i="2"/>
  <c r="AS60" i="2"/>
  <c r="AT60" i="2"/>
  <c r="AU60" i="2" s="1"/>
  <c r="AT359" i="2"/>
  <c r="AU359" i="2" s="1"/>
  <c r="AS359" i="2"/>
  <c r="AS261" i="2" l="1"/>
  <c r="AT261" i="2"/>
  <c r="AU261" i="2" s="1"/>
  <c r="AT632" i="2"/>
  <c r="AU632" i="2" s="1"/>
  <c r="AS632" i="2"/>
  <c r="AT52" i="2"/>
  <c r="AU52" i="2" s="1"/>
  <c r="AT669" i="2"/>
  <c r="AU669" i="2" s="1"/>
  <c r="AS669" i="2"/>
  <c r="AT423" i="2"/>
  <c r="AU423" i="2" s="1"/>
  <c r="AS423" i="2"/>
  <c r="AS52" i="2"/>
  <c r="AV669" i="2"/>
  <c r="AT94" i="2"/>
  <c r="AU94" i="2" s="1"/>
  <c r="AS94" i="2"/>
  <c r="AV261" i="2"/>
  <c r="AS277" i="2"/>
  <c r="AT277" i="2"/>
  <c r="AU277" i="2" s="1"/>
  <c r="AS658" i="2"/>
  <c r="AT658" i="2"/>
  <c r="AU658" i="2" s="1"/>
  <c r="AT343" i="2"/>
  <c r="AU343" i="2" s="1"/>
  <c r="AS343" i="2"/>
  <c r="AT398" i="2"/>
  <c r="AU398" i="2" s="1"/>
  <c r="AT539" i="2"/>
  <c r="AU539" i="2" s="1"/>
  <c r="AS539" i="2"/>
  <c r="AS484" i="2"/>
  <c r="AT484" i="2"/>
  <c r="AU484" i="2" s="1"/>
  <c r="AS686" i="2"/>
  <c r="AT686" i="2"/>
  <c r="AU686" i="2" s="1"/>
  <c r="AT412" i="2"/>
  <c r="AU412" i="2" s="1"/>
  <c r="AS412" i="2"/>
  <c r="AS528" i="2"/>
  <c r="AT528" i="2"/>
  <c r="AU528" i="2" s="1"/>
  <c r="AT109" i="2"/>
  <c r="AU109" i="2" s="1"/>
  <c r="AS109" i="2"/>
  <c r="AS398" i="2"/>
  <c r="AT447" i="2"/>
  <c r="AU447" i="2" s="1"/>
  <c r="AS447" i="2"/>
  <c r="AT479" i="2"/>
  <c r="AU479" i="2" s="1"/>
  <c r="AS479" i="2"/>
  <c r="AS47" i="2"/>
  <c r="AT47" i="2"/>
  <c r="AU47" i="2" s="1"/>
  <c r="AS238" i="2"/>
  <c r="AT238" i="2"/>
  <c r="AU238" i="2" s="1"/>
  <c r="AT83" i="2"/>
  <c r="AU83" i="2" s="1"/>
  <c r="AS83" i="2"/>
  <c r="AS237" i="2"/>
  <c r="AT237" i="2"/>
  <c r="AU237" i="2" s="1"/>
  <c r="AS642" i="2"/>
  <c r="AT642" i="2"/>
  <c r="AU642" i="2" s="1"/>
  <c r="AS538" i="2"/>
  <c r="AT538" i="2"/>
  <c r="AU538" i="2" s="1"/>
  <c r="AS427" i="2"/>
  <c r="AT427" i="2"/>
  <c r="AU427" i="2" s="1"/>
  <c r="AV608" i="2"/>
  <c r="AS302" i="2"/>
  <c r="AV302" i="2"/>
  <c r="AS552" i="2"/>
  <c r="AT552" i="2"/>
  <c r="AU552" i="2" s="1"/>
  <c r="AS66" i="2"/>
  <c r="AT66" i="2"/>
  <c r="AU66" i="2" s="1"/>
  <c r="AT608" i="2"/>
  <c r="AU608" i="2" s="1"/>
  <c r="AT399" i="2"/>
  <c r="AU399" i="2" s="1"/>
  <c r="AS399" i="2"/>
  <c r="AT64" i="2"/>
  <c r="AU64" i="2" s="1"/>
  <c r="AS64" i="2"/>
  <c r="AS424" i="2"/>
  <c r="AT424" i="2"/>
  <c r="AU424" i="2" s="1"/>
  <c r="AS132" i="2"/>
  <c r="AT132" i="2"/>
  <c r="AU132" i="2" s="1"/>
  <c r="AT85" i="2"/>
  <c r="AU85" i="2" s="1"/>
  <c r="AS85" i="2"/>
  <c r="AS219" i="2"/>
  <c r="AT219" i="2"/>
  <c r="AU219" i="2" s="1"/>
  <c r="AT517" i="2"/>
  <c r="AU517" i="2" s="1"/>
  <c r="AS517" i="2"/>
  <c r="AV83" i="2"/>
  <c r="AV64" i="2"/>
  <c r="AV412" i="2"/>
  <c r="AT29" i="2"/>
  <c r="AU29" i="2" s="1"/>
  <c r="AS29" i="2"/>
  <c r="AV237" i="2"/>
  <c r="AS641" i="2"/>
  <c r="AT641" i="2"/>
  <c r="AU641" i="2" s="1"/>
  <c r="AT486" i="2"/>
  <c r="AU486" i="2" s="1"/>
  <c r="AS486" i="2"/>
  <c r="AT523" i="2"/>
  <c r="AS523" i="2"/>
  <c r="AS366" i="2"/>
  <c r="AT366" i="2"/>
  <c r="AU366" i="2" s="1"/>
  <c r="AV523" i="2"/>
  <c r="AS23" i="2"/>
  <c r="AT23" i="2"/>
  <c r="AU23" i="2" s="1"/>
  <c r="AS119" i="2"/>
  <c r="AT119" i="2"/>
  <c r="AU119" i="2" s="1"/>
  <c r="AT418" i="2"/>
  <c r="AU418" i="2" s="1"/>
  <c r="AS418" i="2"/>
  <c r="AV350" i="2"/>
  <c r="AS159" i="2"/>
  <c r="AT159" i="2"/>
  <c r="AU159" i="2" s="1"/>
  <c r="AS478" i="2"/>
  <c r="AT478" i="2"/>
  <c r="AU478" i="2" s="1"/>
  <c r="AV631" i="2"/>
  <c r="AS2" i="2"/>
  <c r="AT2" i="2"/>
  <c r="AR697" i="2"/>
  <c r="AV374" i="2"/>
  <c r="AS615" i="2"/>
  <c r="AT615" i="2"/>
  <c r="AU615" i="2" s="1"/>
  <c r="AV418" i="2"/>
  <c r="AS158" i="2"/>
  <c r="AT158" i="2"/>
  <c r="AU158" i="2" s="1"/>
  <c r="AS303" i="2"/>
  <c r="AT303" i="2"/>
  <c r="AU303" i="2" s="1"/>
  <c r="AV159" i="2"/>
  <c r="AS460" i="2"/>
  <c r="AT460" i="2"/>
  <c r="AU460" i="2" s="1"/>
  <c r="AS304" i="2"/>
  <c r="AT304" i="2"/>
  <c r="AU304" i="2" s="1"/>
  <c r="AS178" i="2"/>
  <c r="AT178" i="2"/>
  <c r="AU178" i="2" s="1"/>
  <c r="AS72" i="2"/>
  <c r="AT72" i="2"/>
  <c r="AU72" i="2" s="1"/>
  <c r="AS365" i="2"/>
  <c r="AT365" i="2"/>
  <c r="AU365" i="2" s="1"/>
  <c r="AS125" i="2"/>
  <c r="AT125" i="2"/>
  <c r="AU125" i="2" s="1"/>
  <c r="AV23" i="2"/>
  <c r="AT318" i="2"/>
  <c r="AU318" i="2" s="1"/>
  <c r="AS318" i="2"/>
  <c r="AT466" i="2"/>
  <c r="AU466" i="2" s="1"/>
  <c r="AS466" i="2"/>
  <c r="AS618" i="2"/>
  <c r="AT618" i="2"/>
  <c r="AU618" i="2" s="1"/>
  <c r="AV365" i="2"/>
  <c r="AV687" i="2"/>
  <c r="AV615" i="2"/>
  <c r="AS216" i="2"/>
  <c r="AT216" i="2"/>
  <c r="AU216" i="2" s="1"/>
  <c r="AT504" i="2"/>
  <c r="AU504" i="2" s="1"/>
  <c r="AS504" i="2"/>
  <c r="AS560" i="2"/>
  <c r="AT560" i="2"/>
  <c r="AU560" i="2" s="1"/>
  <c r="AS624" i="2"/>
  <c r="AT624" i="2"/>
  <c r="AU624" i="2" s="1"/>
  <c r="AS166" i="2"/>
  <c r="AT166" i="2"/>
  <c r="AU166" i="2" s="1"/>
  <c r="AS331" i="2"/>
  <c r="AT331" i="2"/>
  <c r="AU331" i="2" s="1"/>
  <c r="AT436" i="2"/>
  <c r="AU436" i="2" s="1"/>
  <c r="AS436" i="2"/>
  <c r="AV543" i="2"/>
  <c r="AS499" i="2"/>
  <c r="AT499" i="2"/>
  <c r="AU499" i="2" s="1"/>
  <c r="AS247" i="2"/>
  <c r="AT247" i="2"/>
  <c r="AU247" i="2" s="1"/>
  <c r="AS396" i="2"/>
  <c r="AT396" i="2"/>
  <c r="AT531" i="2"/>
  <c r="AU531" i="2" s="1"/>
  <c r="AS531" i="2"/>
  <c r="AS357" i="2"/>
  <c r="AT357" i="2"/>
  <c r="AU357" i="2" s="1"/>
  <c r="AT507" i="2"/>
  <c r="AU507" i="2" s="1"/>
  <c r="AS507" i="2"/>
  <c r="AS685" i="2"/>
  <c r="AT685" i="2"/>
  <c r="AU685" i="2" s="1"/>
  <c r="AT497" i="2"/>
  <c r="AU497" i="2" s="1"/>
  <c r="AS497" i="2"/>
  <c r="AT561" i="2"/>
  <c r="AU561" i="2" s="1"/>
  <c r="AS561" i="2"/>
  <c r="AS146" i="2"/>
  <c r="AT146" i="2"/>
  <c r="AU146" i="2" s="1"/>
  <c r="AS687" i="2"/>
  <c r="AT687" i="2"/>
  <c r="AU687" i="2" s="1"/>
  <c r="AS290" i="2"/>
  <c r="AT290" i="2"/>
  <c r="AU290" i="2" s="1"/>
  <c r="AV290" i="2"/>
  <c r="AS242" i="2"/>
  <c r="AT242" i="2"/>
  <c r="AU242" i="2" s="1"/>
  <c r="AT24" i="2"/>
  <c r="AU24" i="2" s="1"/>
  <c r="AS24" i="2"/>
  <c r="AV331" i="2"/>
  <c r="AV436" i="2"/>
  <c r="AT18" i="2"/>
  <c r="AU18" i="2" s="1"/>
  <c r="AS18" i="2"/>
  <c r="AV499" i="2"/>
  <c r="AT131" i="2"/>
  <c r="AU131" i="2" s="1"/>
  <c r="AS131" i="2"/>
  <c r="AS217" i="2"/>
  <c r="AT217" i="2"/>
  <c r="AU217" i="2" s="1"/>
  <c r="AU396" i="2"/>
  <c r="AT7" i="2"/>
  <c r="AU7" i="2" s="1"/>
  <c r="AS7" i="2"/>
  <c r="AS662" i="2"/>
  <c r="AT662" i="2"/>
  <c r="AU662" i="2" s="1"/>
  <c r="AS569" i="2"/>
  <c r="AT569" i="2"/>
  <c r="AU569" i="2" s="1"/>
  <c r="AS99" i="2"/>
  <c r="AT99" i="2"/>
  <c r="AU99" i="2" s="1"/>
  <c r="AV99" i="2"/>
  <c r="AT485" i="2"/>
  <c r="AU485" i="2" s="1"/>
  <c r="AS485" i="2"/>
  <c r="AS235" i="2"/>
  <c r="AT235" i="2"/>
  <c r="AU235" i="2" s="1"/>
  <c r="AS572" i="2"/>
  <c r="AT572" i="2"/>
  <c r="AU572" i="2" s="1"/>
  <c r="AV242" i="2"/>
  <c r="AV396" i="2"/>
  <c r="AS526" i="2"/>
  <c r="AT526" i="2"/>
  <c r="AS441" i="2"/>
  <c r="AT441" i="2"/>
  <c r="AU441" i="2" s="1"/>
  <c r="AT445" i="2"/>
  <c r="AU445" i="2" s="1"/>
  <c r="AS445" i="2"/>
  <c r="AU526" i="2"/>
  <c r="AT670" i="2"/>
  <c r="AU670" i="2" s="1"/>
  <c r="AS670" i="2"/>
  <c r="AT236" i="2"/>
  <c r="AU236" i="2" s="1"/>
  <c r="AS236" i="2"/>
  <c r="AS471" i="2"/>
  <c r="AT471" i="2"/>
  <c r="AU471" i="2" s="1"/>
  <c r="AS514" i="2"/>
  <c r="AT514" i="2"/>
  <c r="AU514" i="2" s="1"/>
  <c r="AT439" i="2"/>
  <c r="AU439" i="2" s="1"/>
  <c r="AS439" i="2"/>
  <c r="AV471" i="2"/>
  <c r="AS374" i="2"/>
  <c r="AT374" i="2"/>
  <c r="AU374" i="2" s="1"/>
  <c r="AU523" i="2"/>
  <c r="AS631" i="2"/>
  <c r="AT631" i="2"/>
  <c r="AU631" i="2" s="1"/>
  <c r="AT543" i="2"/>
  <c r="AU543" i="2" s="1"/>
  <c r="AS543" i="2"/>
  <c r="AT113" i="2"/>
  <c r="AU113" i="2" s="1"/>
  <c r="AS113" i="2"/>
  <c r="AT157" i="2"/>
  <c r="AU157" i="2" s="1"/>
  <c r="AS157" i="2"/>
  <c r="AT39" i="2"/>
  <c r="AU39" i="2" s="1"/>
  <c r="AS39" i="2"/>
  <c r="AT454" i="2"/>
  <c r="AU454" i="2" s="1"/>
  <c r="AS454" i="2"/>
  <c r="AV662" i="2"/>
  <c r="AS467" i="2"/>
  <c r="AT467" i="2"/>
  <c r="AU467" i="2" s="1"/>
  <c r="AV641" i="2"/>
  <c r="AS430" i="2"/>
  <c r="AT430" i="2"/>
  <c r="AU430" i="2" s="1"/>
  <c r="AS130" i="2"/>
  <c r="AT130" i="2"/>
  <c r="AU130" i="2" s="1"/>
  <c r="AT350" i="2"/>
  <c r="AU350" i="2" s="1"/>
  <c r="AS350" i="2"/>
  <c r="AV430" i="2"/>
  <c r="AV130" i="2"/>
  <c r="AS694" i="2"/>
  <c r="AT694" i="2"/>
  <c r="AU694" i="2" s="1"/>
  <c r="AT490" i="2"/>
  <c r="AU490" i="2" s="1"/>
  <c r="AS490" i="2"/>
  <c r="AV490" i="2"/>
  <c r="AS592" i="2"/>
  <c r="AT592" i="2"/>
  <c r="AU592" i="2" s="1"/>
  <c r="AT347" i="2"/>
  <c r="AU347" i="2" s="1"/>
  <c r="AS347" i="2"/>
  <c r="AV113" i="2"/>
  <c r="AV531" i="2"/>
  <c r="AT680" i="2"/>
  <c r="AU680" i="2" s="1"/>
  <c r="AS680" i="2"/>
  <c r="AV357" i="2"/>
  <c r="AT601" i="2"/>
  <c r="AU601" i="2" s="1"/>
  <c r="AS601" i="2"/>
  <c r="AS688" i="2"/>
  <c r="AT688" i="2"/>
  <c r="AU688" i="2" s="1"/>
  <c r="AT86" i="2"/>
  <c r="AU86" i="2" s="1"/>
  <c r="AS86" i="2"/>
  <c r="AS267" i="2"/>
  <c r="AT267" i="2"/>
  <c r="AU267" i="2" s="1"/>
  <c r="AS4" i="2"/>
  <c r="AT4" i="2"/>
  <c r="AU4" i="2" s="1"/>
  <c r="AV7" i="2"/>
  <c r="AS142" i="2"/>
  <c r="AT142" i="2"/>
  <c r="AU142" i="2" s="1"/>
  <c r="AT149" i="2"/>
  <c r="AU149" i="2" s="1"/>
  <c r="AS149" i="2"/>
  <c r="AV670" i="2"/>
  <c r="AV142" i="2"/>
  <c r="AS204" i="2"/>
  <c r="AT204" i="2"/>
  <c r="AU204" i="2" s="1"/>
  <c r="AT334" i="2"/>
  <c r="AU334" i="2" s="1"/>
  <c r="AS334" i="2"/>
  <c r="AS505" i="2"/>
  <c r="AT505" i="2"/>
  <c r="AU505" i="2" s="1"/>
  <c r="AS665" i="2"/>
  <c r="AT665" i="2"/>
  <c r="AU665" i="2" s="1"/>
  <c r="AS599" i="2"/>
  <c r="AT599" i="2"/>
  <c r="AU599" i="2" s="1"/>
  <c r="AT627" i="2"/>
  <c r="AU627" i="2" s="1"/>
  <c r="AS627" i="2"/>
  <c r="AT653" i="2"/>
  <c r="AU653" i="2" s="1"/>
  <c r="AS653" i="2"/>
  <c r="AT111" i="2"/>
  <c r="AU111" i="2" s="1"/>
  <c r="AS111" i="2"/>
  <c r="AS397" i="2"/>
  <c r="AT397" i="2"/>
  <c r="AU397" i="2" s="1"/>
  <c r="AT22" i="2"/>
  <c r="AU22" i="2" s="1"/>
  <c r="AS22" i="2"/>
  <c r="AV653" i="2"/>
  <c r="AV507" i="2"/>
  <c r="AV39" i="2"/>
  <c r="AS453" i="2"/>
  <c r="AT453" i="2"/>
  <c r="AU453" i="2" s="1"/>
  <c r="AS577" i="2"/>
  <c r="AT577" i="2"/>
  <c r="AU577" i="2" s="1"/>
  <c r="AV304" i="2"/>
  <c r="AV347" i="2"/>
  <c r="AS498" i="2"/>
  <c r="AT498" i="2"/>
  <c r="AU498" i="2" s="1"/>
  <c r="AV526" i="2"/>
  <c r="AS390" i="2"/>
  <c r="AT390" i="2"/>
  <c r="AU390" i="2" s="1"/>
  <c r="AS71" i="2"/>
  <c r="AT71" i="2"/>
  <c r="AU71" i="2" s="1"/>
  <c r="AS459" i="2"/>
  <c r="AT459" i="2"/>
  <c r="AU459" i="2" s="1"/>
  <c r="AS226" i="2"/>
  <c r="AT226" i="2"/>
  <c r="AU226" i="2" s="1"/>
  <c r="AS336" i="2"/>
  <c r="AT336" i="2"/>
  <c r="AU336" i="2" s="1"/>
  <c r="AT385" i="2"/>
  <c r="AU385" i="2" s="1"/>
  <c r="AS385" i="2"/>
  <c r="AV157" i="2"/>
  <c r="AV601" i="2"/>
  <c r="AV697" i="2" l="1"/>
  <c r="AT697" i="2"/>
  <c r="AU2" i="2"/>
  <c r="AS697" i="2"/>
  <c r="AU697" i="2" l="1"/>
  <c r="T22" i="3"/>
  <c r="S22" i="3"/>
  <c r="L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Haryo Tangguh SKSKW</author>
    <author>tc={C1210E31-ED7F-4FF9-85CA-27941D8654D3}</author>
    <author>tc={AC2D6D27-00FE-433F-8580-13763E053888}</author>
    <author>tc={56DBDD92-25D2-48E8-8B97-AFC73A67DC74}</author>
    <author>tc={65A77BBB-D127-4719-A400-569631B6D5B4}</author>
    <author>tc={66AC72D8-2432-411A-91F7-10B3CB20B073}</author>
    <author>tc={FE5C1812-91DD-4A5A-946D-15404117DF23}</author>
    <author>tc={B20B9F56-7105-458A-BDC7-80E27158D574}</author>
  </authors>
  <commentList>
    <comment ref="AJ1" authorId="0" shapeId="0" xr:uid="{DE56ED0F-C657-4AA4-89D9-2C3DE01D4915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Rapel Kekurangan Gaji Bulan Lalu, Rapel Pengembalian Iuran BPJS Kesehatan Bulan Lalu</t>
        </r>
      </text>
    </comment>
    <comment ref="AN1" authorId="0" shapeId="0" xr:uid="{C65ECB6C-D7D2-40AB-8DA4-13DADF8EF3A0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Potong jika sudah berhasil terdaftar</t>
        </r>
      </text>
    </comment>
    <comment ref="AO1" authorId="0" shapeId="0" xr:uid="{825804DC-C871-484F-BE66-C7C5FC6F73C9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Potong jika sudah berhasil terdaftar</t>
        </r>
      </text>
    </comment>
    <comment ref="AW1" authorId="0" shapeId="0" xr:uid="{98C176DC-F31C-4E56-A984-0CE26ED67A42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Potongan BPJS ini menggunakan beberapa UMP yang berbeda dengan yang didaftarkan di BPJS Kesehatan
(Belum Dikoreksi)</t>
        </r>
      </text>
    </comment>
    <comment ref="BA1" authorId="0" shapeId="0" xr:uid="{63F72D6B-3F76-40AB-89C5-2D8584919CB4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Inc Biaya Transfer</t>
        </r>
      </text>
    </comment>
    <comment ref="BB1" authorId="0" shapeId="0" xr:uid="{AFDA025B-4AEB-42C5-8ECD-DB94AE5EBFB5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Inc Biaya Transfer</t>
        </r>
      </text>
    </comment>
    <comment ref="BD1" authorId="0" shapeId="0" xr:uid="{AF191D70-BF03-4276-BF60-A2C73465956D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11 Orang Terpotong BPJS</t>
        </r>
      </text>
    </comment>
    <comment ref="BE1" authorId="0" shapeId="0" xr:uid="{318851C2-7478-4ECA-B79C-AA2B1E742997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Patokan Kolom U</t>
        </r>
      </text>
    </comment>
    <comment ref="BH1" authorId="0" shapeId="0" xr:uid="{4D5B3437-9735-47D1-96EE-4BE6607122C4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Patokan Kolom T</t>
        </r>
      </text>
    </comment>
    <comment ref="AB3" authorId="0" shapeId="0" xr:uid="{91C1F4D8-50D6-46DF-8268-696BDB93F79F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Done Upah sebelumnya 5.390.000</t>
        </r>
      </text>
    </comment>
    <comment ref="AB4" authorId="0" shapeId="0" xr:uid="{9BB3E8C7-F5B6-4DB5-BCBF-CDACD9190864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Done Upah sebelumnya 5.390.000</t>
        </r>
      </text>
    </comment>
    <comment ref="AD4" authorId="0" shapeId="0" xr:uid="{4BAA3480-5A1B-4249-BD44-C343E90CFA33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Done Upah sebelumnya 5.390.000</t>
        </r>
      </text>
    </comment>
    <comment ref="AB6" authorId="0" shapeId="0" xr:uid="{B9C987E9-C18A-4A27-9A24-8F740E78F567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Done Upah sebelumnya 5.390.000</t>
        </r>
      </text>
    </comment>
    <comment ref="B15" authorId="1" shapeId="0" xr:uid="{C1210E31-ED7F-4FF9-85CA-27941D8654D3}">
      <text>
        <t>[Threaded comment]
Your version of Excel allows you to read this threaded comment; however, any edits to it will get removed if the file is opened in a newer version of Excel. Learn more: https://go.microsoft.com/fwlink/?linkid=870924
Comment:
    Jangan lupa BPJS di non aktifkan per Januari 2026 tapi gaji dibayarkan</t>
      </text>
    </comment>
    <comment ref="AA18" authorId="0" shapeId="0" xr:uid="{F2AD3966-64EA-46F1-84CB-5DED92C649DF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Nama di rekening salah</t>
        </r>
      </text>
    </comment>
    <comment ref="AA21" authorId="0" shapeId="0" xr:uid="{6811D33A-7384-450C-AEF1-2EAC03B2349A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Nama di rekening salah</t>
        </r>
      </text>
    </comment>
    <comment ref="AG36" authorId="0" shapeId="0" xr:uid="{077D59AD-C65F-4351-AE52-F6BEDFC71451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Rapelan dari bulan Februari 2025</t>
        </r>
      </text>
    </comment>
    <comment ref="B100" authorId="0" shapeId="0" xr:uid="{0F6D127D-41D4-4E4C-9F4C-B00F321A35D1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Nama Di Tagihan BPJS Tidak Muncul</t>
        </r>
      </text>
    </comment>
    <comment ref="AK122" authorId="0" shapeId="0" xr:uid="{733CDA51-74D6-4B2F-AA16-9B7A7D6FDD3D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514000+32073 (Selisih Gaji dan Iuran BPJS All) sampai gaji Juni</t>
        </r>
      </text>
    </comment>
    <comment ref="AL122" authorId="0" shapeId="0" xr:uid="{B9DD85C7-C705-4F77-87D8-588B6E5821CC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Terkena Potongan selama 3 bulan sampai gaji bulan Juni</t>
        </r>
      </text>
    </comment>
    <comment ref="AK123" authorId="0" shapeId="0" xr:uid="{AF0C23F9-94CC-4AE3-9C97-752AE07728A9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514000+32073 (Selisih Gaji dan Iuran BPJS All), sampai gaji Juni</t>
        </r>
      </text>
    </comment>
    <comment ref="AL123" authorId="0" shapeId="0" xr:uid="{9C750269-94B6-4B87-BA3C-65E42982E2A8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Terkena Potongan selama 3 bulan sampai gaji bulan Juni</t>
        </r>
      </text>
    </comment>
    <comment ref="B193" authorId="0" shapeId="0" xr:uid="{A0D5DC99-2CD5-40F2-8B9E-8E6D7C56FCE0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BPJS Request Pencairan</t>
        </r>
      </text>
    </comment>
    <comment ref="B204" authorId="0" shapeId="0" xr:uid="{A5A409D1-A911-4D7B-92D8-D90C7DB676B9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BJS baru terdaftar bulan April 2025</t>
        </r>
      </text>
    </comment>
    <comment ref="AK209" authorId="0" shapeId="0" xr:uid="{E1992B3D-9DDD-4D97-95FE-678851E36B01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Ijin Tidak Masuk Kerja</t>
        </r>
      </text>
    </comment>
    <comment ref="B210" authorId="0" shapeId="0" xr:uid="{037FE958-DD2A-4249-B157-C54BBA47FFFE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Request Slip Gaji Bulan Februari 2025</t>
        </r>
      </text>
    </comment>
    <comment ref="AK213" authorId="0" shapeId="0" xr:uid="{CDCAA79C-E345-452B-917D-C2E2C26A554A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Ijin Tidak Masuk Kerja</t>
        </r>
      </text>
    </comment>
    <comment ref="AA225" authorId="0" shapeId="0" xr:uid="{E0D6E49A-2D52-47A9-A75C-37056E220C27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Rekening Pengganti Melianus di Gaji Maret 2025</t>
        </r>
      </text>
    </comment>
    <comment ref="AW239" authorId="0" shapeId="0" xr:uid="{06B2537B-9DAE-4649-BABA-D7133F68CDA1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Iuran BPJS KS dengan nilai UMK dibulatkan dan TK dengan Upah (GP+TT) utk memperkecil potongan gaji karyawan</t>
        </r>
      </text>
    </comment>
    <comment ref="B254" authorId="0" shapeId="0" xr:uid="{DECE2490-4A0F-4147-B3A2-7DA11BE60B47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Harian tapi Bulan Juni masih aktif BPJS Kesehatan</t>
        </r>
      </text>
    </comment>
    <comment ref="AI282" authorId="0" shapeId="0" xr:uid="{7DE36764-9664-4473-8925-C1436B28CD9E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Susulan</t>
        </r>
      </text>
    </comment>
    <comment ref="AL298" authorId="0" shapeId="0" xr:uid="{89F4CB46-1E8D-4C34-8221-ABB568583B6A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Harian 18 Hari Masuk Kerja</t>
        </r>
      </text>
    </comment>
    <comment ref="AJ299" authorId="0" shapeId="0" xr:uid="{8F89D630-2882-47BB-A314-AFD0E7D68088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Pengembalian Iuran BPJS Kesehatan Perusahaan dan Karyawan</t>
        </r>
      </text>
    </comment>
    <comment ref="AK329" authorId="0" shapeId="0" xr:uid="{73D0D35F-86C0-4E5E-8345-A7023C4A7BBE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Potong Gaji 1 hari di Bulan Mei 2025</t>
        </r>
      </text>
    </comment>
    <comment ref="AG344" authorId="0" shapeId="0" xr:uid="{AC116552-D0D4-41F5-9FFD-67B6C9628EE8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500 K (Tunjangan Jabatan) + 750 K (Tunjangan Project) Tunjangan Project diberikan sampai dengan bulan Juli 2025</t>
        </r>
      </text>
    </comment>
    <comment ref="AK353" authorId="0" shapeId="0" xr:uid="{3DF58CA5-7EB8-4468-98F5-13D463D426E2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Potong Gaji 1 hari di Bulan Mei 2025</t>
        </r>
      </text>
    </comment>
    <comment ref="AK354" authorId="0" shapeId="0" xr:uid="{109AEA0F-6A0D-4787-A41F-8AB72C23359F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Potong Gaji 1 hari di Bulan Mei 2025</t>
        </r>
      </text>
    </comment>
    <comment ref="B355" authorId="0" shapeId="0" xr:uid="{720E9728-5884-470B-B54B-9163AF409504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Sudah Direvisi Secara Data</t>
        </r>
      </text>
    </comment>
    <comment ref="AA358" authorId="0" shapeId="0" xr:uid="{E22A5BAA-D491-45B7-A6F9-3FF667A571C9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74" authorId="0" shapeId="0" xr:uid="{F86E68A8-A905-4983-B577-1CF1D657D2FA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Potong Gaji 1 hari di Bulan Mei 2025</t>
        </r>
      </text>
    </comment>
    <comment ref="AK375" authorId="0" shapeId="0" xr:uid="{49BF4766-12E7-4FB4-93F9-150DD1C1E8D2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Potong Gaji 1 hari di Bulan Mei 2025</t>
        </r>
      </text>
    </comment>
    <comment ref="AK376" authorId="0" shapeId="0" xr:uid="{8328F07B-82BC-4969-BFF2-11616CFFB6A2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Potong Gaji 1 hari di Bulan Mei 2025</t>
        </r>
      </text>
    </comment>
    <comment ref="B455" authorId="0" shapeId="0" xr:uid="{185F5AA9-CE2F-4D2A-9B98-72ED682AE9FE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Request Pencairan BPJS Ketenagekerjaan</t>
        </r>
      </text>
    </comment>
    <comment ref="AJ458" authorId="0" shapeId="0" xr:uid="{8CF10971-7584-4230-8A2E-AAC2134231C7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Susulan gaji bulan Mei 2025 karena koreksi masuk tgl 28 April 2025</t>
        </r>
      </text>
    </comment>
    <comment ref="B467" authorId="0" shapeId="0" xr:uid="{1D30F853-26F4-4950-8AB9-B1A6AAB20A23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Kasus</t>
        </r>
      </text>
    </comment>
    <comment ref="AJ469" authorId="0" shapeId="0" xr:uid="{8C7BA73F-A69D-4368-875A-866811883B21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Bulan Depan UMK ikut Jakarta</t>
        </r>
      </text>
    </comment>
    <comment ref="AJ470" authorId="0" shapeId="0" xr:uid="{4497868B-A78E-4F36-989D-F4A787EA7995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Pengembalian Iuran BPJS Kesehatan</t>
        </r>
      </text>
    </comment>
    <comment ref="AL483" authorId="0" shapeId="0" xr:uid="{1197E109-30D5-4776-9DE7-2DF58E326A93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Absen 24 Hari</t>
        </r>
      </text>
    </comment>
    <comment ref="AL484" authorId="0" shapeId="0" xr:uid="{47F10593-66F5-49A4-AB66-9FB581B34F28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Absen 26 hari</t>
        </r>
      </text>
    </comment>
    <comment ref="AB503" authorId="0" shapeId="0" xr:uid="{EA55CB46-234D-424F-9498-0FF59D1EFD17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Done Upah sebelumnya 5.390.000</t>
        </r>
      </text>
    </comment>
    <comment ref="AK504" authorId="0" shapeId="0" xr:uid="{E636FC03-088D-4DBC-870B-2ECBC2D7795F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Potong 116.600 sampai akhir bulan Maret 2026</t>
        </r>
      </text>
    </comment>
    <comment ref="AJ532" authorId="0" shapeId="0" xr:uid="{ABB7B436-6602-4745-AEE6-D56CA38BCCE7}">
      <text>
        <r>
          <rPr>
            <b/>
            <sz val="9"/>
            <color indexed="81"/>
            <rFont val="Tahoma"/>
            <family val="2"/>
          </rPr>
          <t xml:space="preserve">Haryo Tangguh SKSKW ;
</t>
        </r>
        <r>
          <rPr>
            <sz val="9"/>
            <color indexed="81"/>
            <rFont val="Tahoma"/>
            <family val="2"/>
          </rPr>
          <t xml:space="preserve">Potongan h
</t>
        </r>
        <r>
          <rPr>
            <sz val="9"/>
            <color indexed="81"/>
            <rFont val="Tahoma"/>
            <family val="2"/>
          </rPr>
          <t>anya bulan ini saja karena bulan lalu salah  mencantumkan nilai gaji pokok</t>
        </r>
      </text>
    </comment>
    <comment ref="BE563" authorId="2" shapeId="0" xr:uid="{AC2D6D27-00FE-433F-8580-13763E053888}">
      <text>
        <t>[Threaded comment]
Your version of Excel allows you to read this threaded comment; however, any edits to it will get removed if the file is opened in a newer version of Excel. Learn more: https://go.microsoft.com/fwlink/?linkid=870924
Comment:
    Bulan ini tidak masuk Setoran, tapi akan di rapel di iuran bulan berikutnya</t>
      </text>
    </comment>
    <comment ref="AJ661" authorId="3" shapeId="0" xr:uid="{56DBDD92-25D2-48E8-8B97-AFC73A67DC74}">
      <text>
        <t>[Threaded comment]
Your version of Excel allows you to read this threaded comment; however, any edits to it will get removed if the file is opened in a newer version of Excel. Learn more: https://go.microsoft.com/fwlink/?linkid=870924
Comment:
    Kelebihan gaji yang wajib dikembalikan</t>
      </text>
    </comment>
    <comment ref="AJ663" authorId="4" shapeId="0" xr:uid="{65A77BBB-D127-4719-A400-569631B6D5B4}">
      <text>
        <t>[Threaded comment]
Your version of Excel allows you to read this threaded comment; however, any edits to it will get removed if the file is opened in a newer version of Excel. Learn more: https://go.microsoft.com/fwlink/?linkid=870924
Comment:
    Kelebihan gaji yang wajib dikembalikan</t>
      </text>
    </comment>
    <comment ref="AJ665" authorId="5" shapeId="0" xr:uid="{66AC72D8-2432-411A-91F7-10B3CB20B073}">
      <text>
        <t>[Threaded comment]
Your version of Excel allows you to read this threaded comment; however, any edits to it will get removed if the file is opened in a newer version of Excel. Learn more: https://go.microsoft.com/fwlink/?linkid=870924
Comment:
    Kelebihan gaji yang wajib dikembalikan</t>
      </text>
    </comment>
    <comment ref="BD669" authorId="6" shapeId="0" xr:uid="{FE5C1812-91DD-4A5A-946D-15404117DF23}">
      <text>
        <t>[Threaded comment]
Your version of Excel allows you to read this threaded comment; however, any edits to it will get removed if the file is opened in a newer version of Excel. Learn more: https://go.microsoft.com/fwlink/?linkid=870924
Comment:
    Bulan depan potong gaji tambahan</t>
      </text>
    </comment>
    <comment ref="AH688" authorId="7" shapeId="0" xr:uid="{B20B9F56-7105-458A-BDC7-80E27158D574}">
      <text>
        <t>[Threaded comment]
Your version of Excel allows you to read this threaded comment; however, any edits to it will get removed if the file is opened in a newer version of Excel. Learn more: https://go.microsoft.com/fwlink/?linkid=870924
Comment:
    Kontrak tidak diperpanjang oleh User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Haryo Tangguh SKSKW</author>
  </authors>
  <commentList>
    <comment ref="R3" authorId="0" shapeId="0" xr:uid="{F78B79D8-7C08-4A99-9819-4266AF083299}">
      <text>
        <r>
          <rPr>
            <b/>
            <sz val="9"/>
            <color indexed="81"/>
            <rFont val="Tahoma"/>
            <family val="2"/>
          </rPr>
          <t>Haryo Tangguh SKSKW:</t>
        </r>
        <r>
          <rPr>
            <sz val="9"/>
            <color indexed="81"/>
            <rFont val="Tahoma"/>
            <family val="2"/>
          </rPr>
          <t xml:space="preserve">
Potongan Gaji karena kesalahan UMK Desember 2025</t>
        </r>
      </text>
    </comment>
  </commentList>
</comments>
</file>

<file path=xl/sharedStrings.xml><?xml version="1.0" encoding="utf-8"?>
<sst xmlns="http://schemas.openxmlformats.org/spreadsheetml/2006/main" count="10824" uniqueCount="4252">
  <si>
    <t>Done</t>
  </si>
  <si>
    <t>Office Boy</t>
  </si>
  <si>
    <t>WareHouse Attendant</t>
  </si>
  <si>
    <t>Security</t>
  </si>
  <si>
    <t>Security Guard (Anggota)</t>
  </si>
  <si>
    <t>GWS Surabaya</t>
  </si>
  <si>
    <t>Warehouse Attendant</t>
  </si>
  <si>
    <t>Dandy Winanto</t>
  </si>
  <si>
    <t>GRAMEDIA ASRI MEDIA</t>
  </si>
  <si>
    <t>Matraman</t>
  </si>
  <si>
    <t>ENDY SAFRUDIN</t>
  </si>
  <si>
    <t>RE-Jkt Melawai</t>
  </si>
  <si>
    <t>Jkt Melawai</t>
  </si>
  <si>
    <t>SELASTIO PONCO</t>
  </si>
  <si>
    <t>RF-Bdng Merdeka</t>
  </si>
  <si>
    <t>SOA Market Place</t>
  </si>
  <si>
    <t>AA Rendi Akbar</t>
  </si>
  <si>
    <t>Distribution &amp; Procurement (Tajem)</t>
  </si>
  <si>
    <t>Alawi Husaini</t>
  </si>
  <si>
    <t>Shafa Salsabila</t>
  </si>
  <si>
    <t>GLKU PIM</t>
  </si>
  <si>
    <t>Sales Promotion Attendant</t>
  </si>
  <si>
    <t>Eko Prasutio Utomo</t>
  </si>
  <si>
    <t>GLKU</t>
  </si>
  <si>
    <t>Ika Nurmalasari</t>
  </si>
  <si>
    <t>National Sales &amp; Promotion</t>
  </si>
  <si>
    <t>Customer Services</t>
  </si>
  <si>
    <t>33086</t>
  </si>
  <si>
    <t>Andini Abila</t>
  </si>
  <si>
    <t>FORTUNA MANDIRI BERDIKARI</t>
  </si>
  <si>
    <t>Operational</t>
  </si>
  <si>
    <t>IT Aprenticehip</t>
  </si>
  <si>
    <t>ARYA</t>
  </si>
  <si>
    <t>Chief Security</t>
  </si>
  <si>
    <t>NOFRI FOHENDRA</t>
  </si>
  <si>
    <t>Administrator</t>
  </si>
  <si>
    <t>Arif Nurahman</t>
  </si>
  <si>
    <t>Security (Anggota)</t>
  </si>
  <si>
    <t>Muhammad Akbar</t>
  </si>
  <si>
    <t>Muammad Alan</t>
  </si>
  <si>
    <t>Cyintia Sianipar</t>
  </si>
  <si>
    <t>GPU</t>
  </si>
  <si>
    <t>Magang</t>
  </si>
  <si>
    <t>Lydia Swastika</t>
  </si>
  <si>
    <t>RB-Jkt Matraman</t>
  </si>
  <si>
    <t>Jkt Matraman</t>
  </si>
  <si>
    <t>1315</t>
  </si>
  <si>
    <t>Cleaning Services (Anggota)</t>
  </si>
  <si>
    <t>3173070906830002</t>
  </si>
  <si>
    <t>Potong Gaji Bulan Depan sebesar iuran BPJS Perusahaan</t>
  </si>
  <si>
    <t>Ade S Juniharto</t>
  </si>
  <si>
    <t>ARIF TRY SAPUTRA</t>
  </si>
  <si>
    <t>BCA</t>
  </si>
  <si>
    <t>RE-GR Balikpapan MT Haryono</t>
  </si>
  <si>
    <t>GR Balikpapan MT Haryono</t>
  </si>
  <si>
    <t>6471040702000002</t>
  </si>
  <si>
    <t>Muhammad naskhul amin</t>
  </si>
  <si>
    <t>RG-Sby Expo</t>
  </si>
  <si>
    <t>Gramedia Surabaya Expo</t>
  </si>
  <si>
    <t>3523062906970002</t>
  </si>
  <si>
    <t>Muhammad nasikhul amin</t>
  </si>
  <si>
    <t>SEPTIA KURNIAWAN</t>
  </si>
  <si>
    <t>1080028730910</t>
  </si>
  <si>
    <t>MANDIRI</t>
  </si>
  <si>
    <t>RD-Pekanbaru Jensud</t>
  </si>
  <si>
    <t>Pekanbaru Jensud</t>
  </si>
  <si>
    <t>1302101509950003</t>
  </si>
  <si>
    <t>Septia Kurniawan</t>
  </si>
  <si>
    <t>Muhammad fazli wiratara</t>
  </si>
  <si>
    <t>6755735446</t>
  </si>
  <si>
    <t>081398506279</t>
  </si>
  <si>
    <t>3275022005050001</t>
  </si>
  <si>
    <t>800748</t>
  </si>
  <si>
    <t>DONE</t>
  </si>
  <si>
    <t>1 Oktober 2025 - 31 DESEMBER 2025</t>
  </si>
  <si>
    <t xml:space="preserve">SEFENDRI </t>
  </si>
  <si>
    <t>3420458117</t>
  </si>
  <si>
    <t>+6287788779871</t>
  </si>
  <si>
    <t>3329072207880001</t>
  </si>
  <si>
    <t>800415</t>
  </si>
  <si>
    <t>25077451091</t>
  </si>
  <si>
    <t>Bulan depan Nomor Rekening di rubah ker BCA 3420458227 An Sefendri</t>
  </si>
  <si>
    <t>1 April 2025 - 31 DESEMBER 2025</t>
  </si>
  <si>
    <t>SEFENDRI</t>
  </si>
  <si>
    <t>RC-Cirebon Cipto</t>
  </si>
  <si>
    <t>088971633856</t>
  </si>
  <si>
    <t>3209071606950011</t>
  </si>
  <si>
    <t>YASIR SANTOSA</t>
  </si>
  <si>
    <t>085860436126</t>
  </si>
  <si>
    <t>3209160405000008</t>
  </si>
  <si>
    <t>AKMAL SAKURI</t>
  </si>
  <si>
    <t>K/0</t>
  </si>
  <si>
    <t>Ibnu arobi</t>
  </si>
  <si>
    <t>085880605508</t>
  </si>
  <si>
    <t>3173010205870010</t>
  </si>
  <si>
    <t>800646</t>
  </si>
  <si>
    <t>1 Juli 2025 - 31 DESEMBER 2025</t>
  </si>
  <si>
    <t xml:space="preserve">NURUL HUDA </t>
  </si>
  <si>
    <t>UA WholeSale</t>
  </si>
  <si>
    <t>08998309578</t>
  </si>
  <si>
    <t>Admin</t>
  </si>
  <si>
    <t>Outsourcing Petugas Administrasi</t>
  </si>
  <si>
    <t>3174086802000002</t>
  </si>
  <si>
    <t>Nurul Huda</t>
  </si>
  <si>
    <t>RC-Yogya Sudirman</t>
  </si>
  <si>
    <t>085701031534</t>
  </si>
  <si>
    <t>3402042009060001</t>
  </si>
  <si>
    <t>Zulfan Arya Albertino</t>
  </si>
  <si>
    <t>RE-GR Balikpapan MT Haryono (Beban regional)</t>
  </si>
  <si>
    <t>0895800582669</t>
  </si>
  <si>
    <t>7315041709020003</t>
  </si>
  <si>
    <t>MUH. GILANG HANIF MA'FUD</t>
  </si>
  <si>
    <t>RE-Pontianak</t>
  </si>
  <si>
    <t>Pontianak</t>
  </si>
  <si>
    <t>082114046087</t>
  </si>
  <si>
    <t>6108021205040002</t>
  </si>
  <si>
    <t>NIKOLIUS SAPUTRA</t>
  </si>
  <si>
    <t>RC-Yogya City Mall</t>
  </si>
  <si>
    <t>Yogya City Mall</t>
  </si>
  <si>
    <t>088802400676</t>
  </si>
  <si>
    <t>Outsourcing Penjualan</t>
  </si>
  <si>
    <t>3404021108990001</t>
  </si>
  <si>
    <t>VERY AGUS NUGROHO</t>
  </si>
  <si>
    <t>RG-Manado Samratulangi</t>
  </si>
  <si>
    <t>081913219185</t>
  </si>
  <si>
    <t>7501042402070001</t>
  </si>
  <si>
    <t>SYAHRIL MURSIDI</t>
  </si>
  <si>
    <t>081371862997</t>
  </si>
  <si>
    <t>1401171306940002</t>
  </si>
  <si>
    <t>ZAINUDDIN ISMAN</t>
  </si>
  <si>
    <t>RE-Samarinda Lembuswana</t>
  </si>
  <si>
    <t>Samarinda Lembuswana</t>
  </si>
  <si>
    <t>089504588426</t>
  </si>
  <si>
    <t>6472022111000006</t>
  </si>
  <si>
    <t>NOVAN KUSUMA ATMAJA</t>
  </si>
  <si>
    <t>RC-Banjarmasin Veteran</t>
  </si>
  <si>
    <t>083114425921</t>
  </si>
  <si>
    <t>6304060505030001</t>
  </si>
  <si>
    <t>AKHMAD DANI</t>
  </si>
  <si>
    <t>RF-Medan Gama</t>
  </si>
  <si>
    <t>089508596030</t>
  </si>
  <si>
    <t>1207260108030014</t>
  </si>
  <si>
    <t>M. ABIMAYU NUGROHO</t>
  </si>
  <si>
    <t>RD-Lampung Raden Intan</t>
  </si>
  <si>
    <t>Lampung Raden Intan</t>
  </si>
  <si>
    <t>0895608024499</t>
  </si>
  <si>
    <t>1871133008040003</t>
  </si>
  <si>
    <t>VIO DWI CHANDRA</t>
  </si>
  <si>
    <t>Gr-Puri Indah</t>
  </si>
  <si>
    <t>Gramedia Puri Indah</t>
  </si>
  <si>
    <t>08812602966</t>
  </si>
  <si>
    <t>3173081504860007</t>
  </si>
  <si>
    <t>SARMILIH</t>
  </si>
  <si>
    <t>GLKU Gramedia Malang MOG</t>
  </si>
  <si>
    <t>0881026037149</t>
  </si>
  <si>
    <t>3507091810020002</t>
  </si>
  <si>
    <t>MUHAMAD RIZQI MAULANA</t>
  </si>
  <si>
    <t>Revina Wulandari</t>
  </si>
  <si>
    <t>Acc Budgeting Tax</t>
  </si>
  <si>
    <t>085715577966</t>
  </si>
  <si>
    <t>Accounting</t>
  </si>
  <si>
    <t>3674034405000010</t>
  </si>
  <si>
    <t>REVINA WULANDARI</t>
  </si>
  <si>
    <t>085210197146</t>
  </si>
  <si>
    <t>1217044709980001</t>
  </si>
  <si>
    <t>DEVI SONYA GULTOM</t>
  </si>
  <si>
    <t>Elex</t>
  </si>
  <si>
    <t>087760170912</t>
  </si>
  <si>
    <t>3671114503010002</t>
  </si>
  <si>
    <t>Alya Rahmawati</t>
  </si>
  <si>
    <t>00000</t>
  </si>
  <si>
    <t>GALIH NOPIAN SYAH</t>
  </si>
  <si>
    <t>RB-Jkt Central Park Mall</t>
  </si>
  <si>
    <t>085814102616</t>
  </si>
  <si>
    <t>3175040911950002</t>
  </si>
  <si>
    <t>Bulan Februari 2026 potong sebesar 1 persen atas iuran BPJS Kesehatan terdaftar</t>
  </si>
  <si>
    <t>Galih Nopian Syah</t>
  </si>
  <si>
    <t>5397000</t>
  </si>
  <si>
    <t xml:space="preserve">Hamidil Majidnur </t>
  </si>
  <si>
    <t>1180013501746</t>
  </si>
  <si>
    <t>081262257922</t>
  </si>
  <si>
    <t>1102131805990002</t>
  </si>
  <si>
    <t>Hamidil majidnur</t>
  </si>
  <si>
    <t>Nabilla Sapitri</t>
  </si>
  <si>
    <t>Strategic Branding &amp; Digital Dept</t>
  </si>
  <si>
    <t>Strategic Branding</t>
  </si>
  <si>
    <t>0895320933638</t>
  </si>
  <si>
    <t>3674036812020004</t>
  </si>
  <si>
    <t>2417000</t>
  </si>
  <si>
    <t>IlYAS AFANDI</t>
  </si>
  <si>
    <t>700012678632</t>
  </si>
  <si>
    <t>RC-Solo Slamet Riyadi</t>
  </si>
  <si>
    <t>085706563469</t>
  </si>
  <si>
    <t>3314072612980001</t>
  </si>
  <si>
    <t>ILYAS AFANDI</t>
  </si>
  <si>
    <t>GRAMEDIA PUSTAKA UTAMA</t>
  </si>
  <si>
    <t>4962000</t>
  </si>
  <si>
    <t>ABDI CHANDRA PUTRA</t>
  </si>
  <si>
    <t>BSI</t>
  </si>
  <si>
    <t>GPU Surabaya</t>
  </si>
  <si>
    <t>081234582001</t>
  </si>
  <si>
    <t>Checker</t>
  </si>
  <si>
    <t>1601091308010004</t>
  </si>
  <si>
    <t>DEWI FITRI</t>
  </si>
  <si>
    <t>Procurement &amp; Distribution (Pusat)</t>
  </si>
  <si>
    <t>085789184290</t>
  </si>
  <si>
    <t>3213144202010005</t>
  </si>
  <si>
    <t>3 Desember 2025 - 31 Desember 2026</t>
  </si>
  <si>
    <t>Dewi Fitri</t>
  </si>
  <si>
    <t>Zanuar Reza Adiguna</t>
  </si>
  <si>
    <t>1380027706832</t>
  </si>
  <si>
    <t>085742293092</t>
  </si>
  <si>
    <t>3311082201050002</t>
  </si>
  <si>
    <t>3600000</t>
  </si>
  <si>
    <t>MUHAMAD FIKRI AL GHIFARI</t>
  </si>
  <si>
    <t>082148469787</t>
  </si>
  <si>
    <t>6372022108020006</t>
  </si>
  <si>
    <t>2931000</t>
  </si>
  <si>
    <t>ILHAM SAPUTRA</t>
  </si>
  <si>
    <t>RE-Bengkulu Meranti</t>
  </si>
  <si>
    <t>Bengkulu Meranti</t>
  </si>
  <si>
    <t>082280608926</t>
  </si>
  <si>
    <t>1703142002970001</t>
  </si>
  <si>
    <t>3676000</t>
  </si>
  <si>
    <t>Vedi Astami</t>
  </si>
  <si>
    <t>GLKU Pekanbaru</t>
  </si>
  <si>
    <t>081277561209</t>
  </si>
  <si>
    <t>1403096306999709</t>
  </si>
  <si>
    <t>Sudah terdaftar BPJS Kesehatan</t>
  </si>
  <si>
    <t>2656000</t>
  </si>
  <si>
    <t>Prismanto Atmaji</t>
  </si>
  <si>
    <t>1370026789517</t>
  </si>
  <si>
    <t>Procurement &amp; Distribution (Tajem)</t>
  </si>
  <si>
    <t>089524272255</t>
  </si>
  <si>
    <t>3404090404980001</t>
  </si>
  <si>
    <t>TK/0</t>
  </si>
  <si>
    <t>Slamet Riyadi</t>
  </si>
  <si>
    <t>085893081638</t>
  </si>
  <si>
    <t>ADMIN MARKETING</t>
  </si>
  <si>
    <t>3175091709010007</t>
  </si>
  <si>
    <t>800793</t>
  </si>
  <si>
    <t>1 JANUARI 2026 - 31 DESEMBER 2026</t>
  </si>
  <si>
    <t>Hanya BPJS Naker</t>
  </si>
  <si>
    <t>K/3</t>
  </si>
  <si>
    <t>AHMAD FIQRI ZAIDAN</t>
  </si>
  <si>
    <t>RC-Banjarmasin Veteran (Beban regional)</t>
  </si>
  <si>
    <t>089531471156</t>
  </si>
  <si>
    <t>General Service Attendant</t>
  </si>
  <si>
    <t>6371050506040001</t>
  </si>
  <si>
    <t>Bulan Depan Kembalikan 1%  uang BPJS Kesehatan</t>
  </si>
  <si>
    <t>Ahmad Fiqri Zaidan</t>
  </si>
  <si>
    <t>SETIAWAN</t>
  </si>
  <si>
    <t>085198869237</t>
  </si>
  <si>
    <t>SECURITY (ANGGOTA)</t>
  </si>
  <si>
    <t>6304050406050002</t>
  </si>
  <si>
    <t>Bulan depan potong gaji sebesar Rp 662,240,-</t>
  </si>
  <si>
    <t>Andhika putra pratama</t>
  </si>
  <si>
    <t>085799938796</t>
  </si>
  <si>
    <t>WAREHOUSE ATTENDANT TAJEM</t>
  </si>
  <si>
    <t>Outsourcing Petugas Gudang</t>
  </si>
  <si>
    <t>3404170304050001</t>
  </si>
  <si>
    <t>KHAIRUNNISA</t>
  </si>
  <si>
    <t>BNI</t>
  </si>
  <si>
    <t>GPU - M&amp;C-Editorial&amp;Prod</t>
  </si>
  <si>
    <t>MnC</t>
  </si>
  <si>
    <t>0895622796206</t>
  </si>
  <si>
    <t>ADMIN EDITOR</t>
  </si>
  <si>
    <t>1571014502030021</t>
  </si>
  <si>
    <t>800789</t>
  </si>
  <si>
    <t>Khairunnisa</t>
  </si>
  <si>
    <t>sumrah</t>
  </si>
  <si>
    <t>089694189862</t>
  </si>
  <si>
    <t>SALES PROMOTION ATTENDANT</t>
  </si>
  <si>
    <t>6171015710990006</t>
  </si>
  <si>
    <t>800787</t>
  </si>
  <si>
    <t>Sumrah</t>
  </si>
  <si>
    <t>4975000</t>
  </si>
  <si>
    <t>VERDA SAGITA</t>
  </si>
  <si>
    <t>0895630387245</t>
  </si>
  <si>
    <t>1802092110970001</t>
  </si>
  <si>
    <t>800785</t>
  </si>
  <si>
    <t>Septian Bagaskara</t>
  </si>
  <si>
    <t>4561452070</t>
  </si>
  <si>
    <t>08973271026</t>
  </si>
  <si>
    <t>3404112009030002</t>
  </si>
  <si>
    <t>800784</t>
  </si>
  <si>
    <t>K/2</t>
  </si>
  <si>
    <t>Taufik ridho waskito</t>
  </si>
  <si>
    <t>083116483725</t>
  </si>
  <si>
    <t>3404071204040003</t>
  </si>
  <si>
    <t>TAUFIK RIDHO WASKITO</t>
  </si>
  <si>
    <t>CHRISTOVER RIANDITO SHENTU</t>
  </si>
  <si>
    <t>081945438421</t>
  </si>
  <si>
    <t>3404102308030001</t>
  </si>
  <si>
    <t>800781</t>
  </si>
  <si>
    <t>Christover riandito shentu</t>
  </si>
  <si>
    <t>Evendi Suratno</t>
  </si>
  <si>
    <t>0374872563</t>
  </si>
  <si>
    <t>0895391678159</t>
  </si>
  <si>
    <t>3404102503020003</t>
  </si>
  <si>
    <t>800780</t>
  </si>
  <si>
    <t>Indra Darmawan</t>
  </si>
  <si>
    <t>Distribution &amp; Procurement (GWS Cakung)</t>
  </si>
  <si>
    <t>GWS JAKARTA</t>
  </si>
  <si>
    <t>087785577757</t>
  </si>
  <si>
    <t>DRIVER</t>
  </si>
  <si>
    <t>3174041910790009</t>
  </si>
  <si>
    <t>800779</t>
  </si>
  <si>
    <t>30 Juni 2025</t>
  </si>
  <si>
    <t>1 JANUARI 2026 - 30 JUNI 2026</t>
  </si>
  <si>
    <t>Abdul Hadi</t>
  </si>
  <si>
    <t>081296185933</t>
  </si>
  <si>
    <t>CO DRIVER</t>
  </si>
  <si>
    <t>3671061011800003</t>
  </si>
  <si>
    <t>AMBRIN</t>
  </si>
  <si>
    <t>081776479316</t>
  </si>
  <si>
    <t>3172040511830007</t>
  </si>
  <si>
    <t>800777</t>
  </si>
  <si>
    <t>Ambrin</t>
  </si>
  <si>
    <t>K/1</t>
  </si>
  <si>
    <t>Holil agil</t>
  </si>
  <si>
    <t>081318109074</t>
  </si>
  <si>
    <t>3172041803951005</t>
  </si>
  <si>
    <t>800776</t>
  </si>
  <si>
    <t>Tofan alpindo</t>
  </si>
  <si>
    <t>0895385609010</t>
  </si>
  <si>
    <t>3175100907900001</t>
  </si>
  <si>
    <t>800775</t>
  </si>
  <si>
    <t>Cecep Warnerin</t>
  </si>
  <si>
    <t>081286448655</t>
  </si>
  <si>
    <t>3175033008830001</t>
  </si>
  <si>
    <t>800774</t>
  </si>
  <si>
    <t>Cecep warnerin</t>
  </si>
  <si>
    <t>Bai Mastur</t>
  </si>
  <si>
    <t>081280646292</t>
  </si>
  <si>
    <t>3172040601820004</t>
  </si>
  <si>
    <t>800773</t>
  </si>
  <si>
    <t>Dwi Munandar isnanto</t>
  </si>
  <si>
    <t>085781080233</t>
  </si>
  <si>
    <t>3172033112790030</t>
  </si>
  <si>
    <t>800772</t>
  </si>
  <si>
    <t>Dwi munandar isnanto</t>
  </si>
  <si>
    <t>Rohmanih</t>
  </si>
  <si>
    <t>0895384804408</t>
  </si>
  <si>
    <t>3172041709770013</t>
  </si>
  <si>
    <t>800771</t>
  </si>
  <si>
    <t>Faqih Ahmad Habib</t>
  </si>
  <si>
    <t>081586424633</t>
  </si>
  <si>
    <t>3671061003050010</t>
  </si>
  <si>
    <t>800770</t>
  </si>
  <si>
    <t>Rija pahlovi</t>
  </si>
  <si>
    <t>08998285592</t>
  </si>
  <si>
    <t>3175060611900019</t>
  </si>
  <si>
    <t>800769</t>
  </si>
  <si>
    <t>SAMSUL HERMAWAN</t>
  </si>
  <si>
    <t>081522772184</t>
  </si>
  <si>
    <t>3275061405800024</t>
  </si>
  <si>
    <t>800768</t>
  </si>
  <si>
    <t>Awaluddin Sidik</t>
  </si>
  <si>
    <t>1290006069807</t>
  </si>
  <si>
    <t>089652331911</t>
  </si>
  <si>
    <t>3171062009790005</t>
  </si>
  <si>
    <t>Endad Lesmana</t>
  </si>
  <si>
    <t>081384308333</t>
  </si>
  <si>
    <t>3172042103810008</t>
  </si>
  <si>
    <t>800766</t>
  </si>
  <si>
    <t>Tusino</t>
  </si>
  <si>
    <t>085947103576</t>
  </si>
  <si>
    <t>3301083003800002</t>
  </si>
  <si>
    <t>800765</t>
  </si>
  <si>
    <t>Iis Iskandar</t>
  </si>
  <si>
    <t>081318271294</t>
  </si>
  <si>
    <t>3175062404840039</t>
  </si>
  <si>
    <t>800764</t>
  </si>
  <si>
    <t>MOEHAMAD FARHAN</t>
  </si>
  <si>
    <t>081907559171</t>
  </si>
  <si>
    <t>3173070110981001</t>
  </si>
  <si>
    <t>800763</t>
  </si>
  <si>
    <t>Muhammad fuad</t>
  </si>
  <si>
    <t>087817502638</t>
  </si>
  <si>
    <t>3329061910930002</t>
  </si>
  <si>
    <t>800762</t>
  </si>
  <si>
    <t>Muhammad Fuad</t>
  </si>
  <si>
    <t>MUHAMMAD FARID YAHYA</t>
  </si>
  <si>
    <t>0895320408721</t>
  </si>
  <si>
    <t>3275021701030027</t>
  </si>
  <si>
    <t>800761</t>
  </si>
  <si>
    <t>SUHANDA</t>
  </si>
  <si>
    <t>1260005589428</t>
  </si>
  <si>
    <t>087889991951</t>
  </si>
  <si>
    <t>3172040104850008</t>
  </si>
  <si>
    <t>800799</t>
  </si>
  <si>
    <t>Achmad Zarkoni</t>
  </si>
  <si>
    <t>0651553023</t>
  </si>
  <si>
    <t>085693272203</t>
  </si>
  <si>
    <t>3172041610780009</t>
  </si>
  <si>
    <t>AKHMAD KOMARUDIN</t>
  </si>
  <si>
    <t>085959324916</t>
  </si>
  <si>
    <t>3172042507850004</t>
  </si>
  <si>
    <t>800758</t>
  </si>
  <si>
    <t>Andhika Manarul Hidayah</t>
  </si>
  <si>
    <t>081290152338</t>
  </si>
  <si>
    <t>3175021104990003</t>
  </si>
  <si>
    <t>Luthfi Shofwani</t>
  </si>
  <si>
    <t>0895359853904</t>
  </si>
  <si>
    <t>3216011704890008</t>
  </si>
  <si>
    <t>800798</t>
  </si>
  <si>
    <t>4483000</t>
  </si>
  <si>
    <t>Yayan Hadiansyah</t>
  </si>
  <si>
    <t>Distribution &amp; Procurement Department (GWS Bandung)</t>
  </si>
  <si>
    <t>GWS BANDUNG</t>
  </si>
  <si>
    <t>0895356005311</t>
  </si>
  <si>
    <t>3211142009720004</t>
  </si>
  <si>
    <t>800797</t>
  </si>
  <si>
    <t>Iwa sumarna</t>
  </si>
  <si>
    <t>085609902583</t>
  </si>
  <si>
    <t>3211141506940005</t>
  </si>
  <si>
    <t>800796</t>
  </si>
  <si>
    <t>Setiawan Agung Cahyono</t>
  </si>
  <si>
    <t>0885652285</t>
  </si>
  <si>
    <t>081294000622</t>
  </si>
  <si>
    <t>EDITOR CHECKER</t>
  </si>
  <si>
    <t>3507212908940002</t>
  </si>
  <si>
    <t>800795</t>
  </si>
  <si>
    <t>SETIAWAN AGUNG CAHYONO</t>
  </si>
  <si>
    <t>Shahdan Ramadhan</t>
  </si>
  <si>
    <t>RE-Tangerang CBD Emerald Bintaro (Beban regional)</t>
  </si>
  <si>
    <t>RE-Tangerang CBD Emerald Bintaro</t>
  </si>
  <si>
    <t>08999404179</t>
  </si>
  <si>
    <t>3174062812970003</t>
  </si>
  <si>
    <t>800794</t>
  </si>
  <si>
    <t>3825000</t>
  </si>
  <si>
    <t>ZESTIAN R. RAHIM</t>
  </si>
  <si>
    <t>0263756841</t>
  </si>
  <si>
    <t>082191728681</t>
  </si>
  <si>
    <t>7171021506070005</t>
  </si>
  <si>
    <t>800750</t>
  </si>
  <si>
    <t>3535000</t>
  </si>
  <si>
    <t>Erni Rosyita</t>
  </si>
  <si>
    <t>0370312524</t>
  </si>
  <si>
    <t>GLKU Bali</t>
  </si>
  <si>
    <t>08174756446</t>
  </si>
  <si>
    <t>5101056410770001</t>
  </si>
  <si>
    <t>800746</t>
  </si>
  <si>
    <t>PKWT Full</t>
  </si>
  <si>
    <t>CHRISTINA HANA RENDUS</t>
  </si>
  <si>
    <t>5115117162</t>
  </si>
  <si>
    <t>GLKU  Manado</t>
  </si>
  <si>
    <t>082349078519</t>
  </si>
  <si>
    <t>7102126912000001</t>
  </si>
  <si>
    <t>800745</t>
  </si>
  <si>
    <t>zohan januarianti</t>
  </si>
  <si>
    <t>8291475507</t>
  </si>
  <si>
    <t>Distribution &amp; Procurement (GWS Surabaya)</t>
  </si>
  <si>
    <t>085161080205</t>
  </si>
  <si>
    <t>3578225501990001</t>
  </si>
  <si>
    <t>800755</t>
  </si>
  <si>
    <t>ZOHAN JANUARIANTI</t>
  </si>
  <si>
    <t>Muhammad Akbar Fernando Deta</t>
  </si>
  <si>
    <t>082338165680</t>
  </si>
  <si>
    <t>3578040703060003</t>
  </si>
  <si>
    <t>800754</t>
  </si>
  <si>
    <t>Aditya Kusuma Putra</t>
  </si>
  <si>
    <t>0190505855</t>
  </si>
  <si>
    <t>08113114447</t>
  </si>
  <si>
    <t>3579022708940001</t>
  </si>
  <si>
    <t>800753</t>
  </si>
  <si>
    <t>MOCH EFENDI WIDIYONO</t>
  </si>
  <si>
    <t>081230988383</t>
  </si>
  <si>
    <t>3578060406810007</t>
  </si>
  <si>
    <t>800752</t>
  </si>
  <si>
    <t>Moch Liulinnuha</t>
  </si>
  <si>
    <t>314401026067538</t>
  </si>
  <si>
    <t>BRI</t>
  </si>
  <si>
    <t>087784500767</t>
  </si>
  <si>
    <t>3578252302020001</t>
  </si>
  <si>
    <t>800751</t>
  </si>
  <si>
    <t>TK/2</t>
  </si>
  <si>
    <t>5691000</t>
  </si>
  <si>
    <t>IIN PARIANAH</t>
  </si>
  <si>
    <t>RF-Bekasi Harapan Indah</t>
  </si>
  <si>
    <t>087774322232</t>
  </si>
  <si>
    <t>3172037008830005</t>
  </si>
  <si>
    <t>2995000</t>
  </si>
  <si>
    <t>BENI SATRIA</t>
  </si>
  <si>
    <t>1977544385</t>
  </si>
  <si>
    <t>RD-Padang Damar</t>
  </si>
  <si>
    <t>085159950235</t>
  </si>
  <si>
    <t>1572020508030002</t>
  </si>
  <si>
    <t>800670</t>
  </si>
  <si>
    <t>NINDOPRATAMASILABA</t>
  </si>
  <si>
    <t>1200013591487</t>
  </si>
  <si>
    <t>087727897457</t>
  </si>
  <si>
    <t>3172053105061003</t>
  </si>
  <si>
    <t>800667</t>
  </si>
  <si>
    <t>NINDO PRATAMA SILABAN</t>
  </si>
  <si>
    <t>4015000</t>
  </si>
  <si>
    <t>Rendi amanda lubis</t>
  </si>
  <si>
    <t>069301022167506</t>
  </si>
  <si>
    <t>081214446219</t>
  </si>
  <si>
    <t>1271071902860001</t>
  </si>
  <si>
    <t>800666</t>
  </si>
  <si>
    <t>RENDI AMANDA LUBIS</t>
  </si>
  <si>
    <t>TK/1</t>
  </si>
  <si>
    <t>Listia septiani</t>
  </si>
  <si>
    <t>085280550816</t>
  </si>
  <si>
    <t>3175046709920004</t>
  </si>
  <si>
    <t>800626</t>
  </si>
  <si>
    <t>LISTIA SEPTIANI</t>
  </si>
  <si>
    <t>3733000</t>
  </si>
  <si>
    <t>3950000</t>
  </si>
  <si>
    <t>MUHAMAD SINSIN SINAILAH</t>
  </si>
  <si>
    <t>1310024284756</t>
  </si>
  <si>
    <t>081323278417</t>
  </si>
  <si>
    <t>3211142102000010</t>
  </si>
  <si>
    <t>Susulkan 216900 untuk bulan depan</t>
  </si>
  <si>
    <t>Arip saripudin</t>
  </si>
  <si>
    <t>1310024188965</t>
  </si>
  <si>
    <t>0895389896013</t>
  </si>
  <si>
    <t>3204251302920002</t>
  </si>
  <si>
    <t>800737</t>
  </si>
  <si>
    <t>ARIP SARIPUDIN</t>
  </si>
  <si>
    <t>IRVAN BAYU AJI</t>
  </si>
  <si>
    <t>1310005995354</t>
  </si>
  <si>
    <t>081322930906</t>
  </si>
  <si>
    <t>3278043001730003</t>
  </si>
  <si>
    <t>Cecep Kartiwa</t>
  </si>
  <si>
    <t>08999772213</t>
  </si>
  <si>
    <t>3273021703760001</t>
  </si>
  <si>
    <t>CECEP KARTIWA</t>
  </si>
  <si>
    <t>Muhamad ogi mugiroh</t>
  </si>
  <si>
    <t>089512229753</t>
  </si>
  <si>
    <t>3211140910940006</t>
  </si>
  <si>
    <t>MUHAMAD OGI MUGIROH</t>
  </si>
  <si>
    <t>HENDRIK ABDUL SIDIK</t>
  </si>
  <si>
    <t>085793479224</t>
  </si>
  <si>
    <t>3211141404950013</t>
  </si>
  <si>
    <t>800733</t>
  </si>
  <si>
    <t>Bulan depan gaji dipotong 1% untuk iuran BPJS (Catatan diikutkan bulan ini namun realnya dipotong bulan depan tanpa pencatatan)</t>
  </si>
  <si>
    <t>Rio septrian</t>
  </si>
  <si>
    <t>0895807878060</t>
  </si>
  <si>
    <t>3211112709040003</t>
  </si>
  <si>
    <t>800732</t>
  </si>
  <si>
    <t>RIO SEPTRIAN</t>
  </si>
  <si>
    <t>Sarwono adianto</t>
  </si>
  <si>
    <t>083867027857</t>
  </si>
  <si>
    <t>3302191204880001</t>
  </si>
  <si>
    <t>SARWONO ADIANTO</t>
  </si>
  <si>
    <t>Beni Priyadi</t>
  </si>
  <si>
    <t>1300026589872</t>
  </si>
  <si>
    <t>081315763021</t>
  </si>
  <si>
    <t>3273020906870004</t>
  </si>
  <si>
    <t>800730</t>
  </si>
  <si>
    <t>BENI PRIYADI</t>
  </si>
  <si>
    <t>Rozan Mubasyir</t>
  </si>
  <si>
    <t>082126745985</t>
  </si>
  <si>
    <t>3205101712960002</t>
  </si>
  <si>
    <t>800729</t>
  </si>
  <si>
    <t>ROZAN MUBASYIR</t>
  </si>
  <si>
    <t>WILDAN SOLEHUDIN</t>
  </si>
  <si>
    <t>081288155962</t>
  </si>
  <si>
    <t>3211111111960004</t>
  </si>
  <si>
    <t>800728</t>
  </si>
  <si>
    <t>Uman sulaeman</t>
  </si>
  <si>
    <t>085314462191</t>
  </si>
  <si>
    <t>3211142909900002</t>
  </si>
  <si>
    <t>800727</t>
  </si>
  <si>
    <t>UMAN SULAEMAN</t>
  </si>
  <si>
    <t>Sofa rohmat</t>
  </si>
  <si>
    <t>08997986115</t>
  </si>
  <si>
    <t>3211140608920012</t>
  </si>
  <si>
    <t>800726</t>
  </si>
  <si>
    <t>SOFA ROHMAT</t>
  </si>
  <si>
    <t>Dinar Jaelani</t>
  </si>
  <si>
    <t>1310023753488</t>
  </si>
  <si>
    <t>089634935835</t>
  </si>
  <si>
    <t>3211110507940001</t>
  </si>
  <si>
    <t>800725</t>
  </si>
  <si>
    <t>DINAR JAELANI</t>
  </si>
  <si>
    <t>Tajul aripin</t>
  </si>
  <si>
    <t>081234747766</t>
  </si>
  <si>
    <t>3205132304940001</t>
  </si>
  <si>
    <t>800724</t>
  </si>
  <si>
    <t>TAJUL ARIPIN</t>
  </si>
  <si>
    <t>Muhammad rizki mei irawan</t>
  </si>
  <si>
    <t>08989717848</t>
  </si>
  <si>
    <t>3211141303930012</t>
  </si>
  <si>
    <t>800723</t>
  </si>
  <si>
    <t>MUHAMMAD RIZKI MEI IRAWAN</t>
  </si>
  <si>
    <t>Hengki hendriatno</t>
  </si>
  <si>
    <t>081220313836</t>
  </si>
  <si>
    <t>3204352106940002</t>
  </si>
  <si>
    <t>800722</t>
  </si>
  <si>
    <t>HENGKI HENDRIATNO</t>
  </si>
  <si>
    <t>Aab budi cahyana</t>
  </si>
  <si>
    <t>082126008345</t>
  </si>
  <si>
    <t>3211140304980007</t>
  </si>
  <si>
    <t>800721</t>
  </si>
  <si>
    <t>AAB BUDI CAHYANA</t>
  </si>
  <si>
    <t>Iqbal gustiana</t>
  </si>
  <si>
    <t>081804400433</t>
  </si>
  <si>
    <t>3211142508960002</t>
  </si>
  <si>
    <t>IQBAL GUSTIANA</t>
  </si>
  <si>
    <t>MOH NURDIN MUKAROM</t>
  </si>
  <si>
    <t>085174330086</t>
  </si>
  <si>
    <t>3211150809860008</t>
  </si>
  <si>
    <t>800719</t>
  </si>
  <si>
    <t>TRISNA PRIATNA</t>
  </si>
  <si>
    <t>08996843915</t>
  </si>
  <si>
    <t>3204250301900009</t>
  </si>
  <si>
    <t>Mohamad Syarif Sehabudin</t>
  </si>
  <si>
    <t>081319835600</t>
  </si>
  <si>
    <t>3273022006990002</t>
  </si>
  <si>
    <t>800717</t>
  </si>
  <si>
    <t>MOHAMAD SYARIF SEHABUDIN</t>
  </si>
  <si>
    <t>Sendi Riana</t>
  </si>
  <si>
    <t>1320021616777</t>
  </si>
  <si>
    <t>089635541994</t>
  </si>
  <si>
    <t>3211112303890004</t>
  </si>
  <si>
    <t>800716</t>
  </si>
  <si>
    <t>SENDI RIANA</t>
  </si>
  <si>
    <t>Ipan Supriyadi</t>
  </si>
  <si>
    <t>KGX - Distribution &amp; Procurement Department</t>
  </si>
  <si>
    <t>088999001199</t>
  </si>
  <si>
    <t>3172041909961004</t>
  </si>
  <si>
    <t>800715</t>
  </si>
  <si>
    <t>IPAN SUPRIYADI</t>
  </si>
  <si>
    <t>Soleh Rombe</t>
  </si>
  <si>
    <t>081381426059</t>
  </si>
  <si>
    <t>3172030407830008</t>
  </si>
  <si>
    <t>800714</t>
  </si>
  <si>
    <t>31 Juni 2025</t>
  </si>
  <si>
    <t>SOLEH ROMBE</t>
  </si>
  <si>
    <t>Muhamad fauzi</t>
  </si>
  <si>
    <t>089637688612</t>
  </si>
  <si>
    <t>3172042602900002</t>
  </si>
  <si>
    <t>800713</t>
  </si>
  <si>
    <t>Iuran bulan ini akan dirapel untuk pembayaran di bulan depan</t>
  </si>
  <si>
    <t>MUHAMAD FAUZI</t>
  </si>
  <si>
    <t>Syahruli</t>
  </si>
  <si>
    <t>2750463013</t>
  </si>
  <si>
    <t>083890931631</t>
  </si>
  <si>
    <t>3175021901770002</t>
  </si>
  <si>
    <t>800712</t>
  </si>
  <si>
    <t>SYAHRULI</t>
  </si>
  <si>
    <t>Munadi</t>
  </si>
  <si>
    <t>083891808492</t>
  </si>
  <si>
    <t>3175022610800003</t>
  </si>
  <si>
    <t>800711</t>
  </si>
  <si>
    <t>MUNADI</t>
  </si>
  <si>
    <t>Yudha Kurniawan</t>
  </si>
  <si>
    <t>1290012283707</t>
  </si>
  <si>
    <t>081290042703</t>
  </si>
  <si>
    <t>3175091903970003</t>
  </si>
  <si>
    <t>800710</t>
  </si>
  <si>
    <t>YUDHA KURNIAWAN</t>
  </si>
  <si>
    <t>UJANG WARYONO</t>
  </si>
  <si>
    <t>085867438914</t>
  </si>
  <si>
    <t>3175057008980004</t>
  </si>
  <si>
    <t>800709</t>
  </si>
  <si>
    <t>LULUT AMELIA</t>
  </si>
  <si>
    <t>Taufik Arifin</t>
  </si>
  <si>
    <t>083891346143</t>
  </si>
  <si>
    <t>3175060304890009</t>
  </si>
  <si>
    <t>800708</t>
  </si>
  <si>
    <t>TAUFIK ARIFIN</t>
  </si>
  <si>
    <t>Erwin</t>
  </si>
  <si>
    <t>081283128234</t>
  </si>
  <si>
    <t>3276050605790008</t>
  </si>
  <si>
    <t>800707</t>
  </si>
  <si>
    <t>ERWIN</t>
  </si>
  <si>
    <t>Anggi wahyu nugroho</t>
  </si>
  <si>
    <t>088213790296</t>
  </si>
  <si>
    <t>3175102009870004</t>
  </si>
  <si>
    <t>800706</t>
  </si>
  <si>
    <t>ANGGI WAHYU NUGROHO</t>
  </si>
  <si>
    <t>Faizal agustiar nasution</t>
  </si>
  <si>
    <t>115301013074509</t>
  </si>
  <si>
    <t>081212448678</t>
  </si>
  <si>
    <t>3175071308850016</t>
  </si>
  <si>
    <t>800705</t>
  </si>
  <si>
    <t>FAIZAL AGUSTIAR NASUTION</t>
  </si>
  <si>
    <t>Henu Subejo</t>
  </si>
  <si>
    <t>094301037118533</t>
  </si>
  <si>
    <t>085782270743</t>
  </si>
  <si>
    <t>3172041008721001</t>
  </si>
  <si>
    <t>800704</t>
  </si>
  <si>
    <t>HENU SUBEJO</t>
  </si>
  <si>
    <t>IRAWAN HARUS</t>
  </si>
  <si>
    <t>225701031692502</t>
  </si>
  <si>
    <t>082236235002</t>
  </si>
  <si>
    <t>5319010905950003</t>
  </si>
  <si>
    <t>800703</t>
  </si>
  <si>
    <t>Juhri</t>
  </si>
  <si>
    <t>081297784796</t>
  </si>
  <si>
    <t>3275022712860016</t>
  </si>
  <si>
    <t>800702</t>
  </si>
  <si>
    <t>JUHRI</t>
  </si>
  <si>
    <t>Rahman</t>
  </si>
  <si>
    <t>1250007980501</t>
  </si>
  <si>
    <t>081211565588</t>
  </si>
  <si>
    <t>3175021904770002</t>
  </si>
  <si>
    <t>800701</t>
  </si>
  <si>
    <t>RAHMAN</t>
  </si>
  <si>
    <t>Dwiyanto</t>
  </si>
  <si>
    <t>7131630306</t>
  </si>
  <si>
    <t>08818859691</t>
  </si>
  <si>
    <t>3275040710830019</t>
  </si>
  <si>
    <t>800700</t>
  </si>
  <si>
    <t>DWI YANTO</t>
  </si>
  <si>
    <t>Sofyan</t>
  </si>
  <si>
    <t>094301052912530</t>
  </si>
  <si>
    <t>088211121359</t>
  </si>
  <si>
    <t>3174081106750001</t>
  </si>
  <si>
    <t>800699</t>
  </si>
  <si>
    <t>SOFYAN</t>
  </si>
  <si>
    <t>LUKMAN HAKIM</t>
  </si>
  <si>
    <t>708201010737539</t>
  </si>
  <si>
    <t>087882282250</t>
  </si>
  <si>
    <t>3175082310850001</t>
  </si>
  <si>
    <t>800698</t>
  </si>
  <si>
    <t>Muhamad ali</t>
  </si>
  <si>
    <t>9000030750369</t>
  </si>
  <si>
    <t>085695987909</t>
  </si>
  <si>
    <t>3216011311940001</t>
  </si>
  <si>
    <t>800697</t>
  </si>
  <si>
    <t>MUHAMAD ALI</t>
  </si>
  <si>
    <t>Ahmad sarmada</t>
  </si>
  <si>
    <t>0125033232</t>
  </si>
  <si>
    <t>088211402322</t>
  </si>
  <si>
    <t>3207150505810003</t>
  </si>
  <si>
    <t>800696</t>
  </si>
  <si>
    <t>AHMAD SARMADA</t>
  </si>
  <si>
    <t>Ahmad abdul koyyum</t>
  </si>
  <si>
    <t>085781684196</t>
  </si>
  <si>
    <t>3213261111860007</t>
  </si>
  <si>
    <t>800695</t>
  </si>
  <si>
    <t>AHMAD ABDUL KOYYUM</t>
  </si>
  <si>
    <t>Syahrul ramadhoni</t>
  </si>
  <si>
    <t>082117229057</t>
  </si>
  <si>
    <t>3216022608980012</t>
  </si>
  <si>
    <t>800694</t>
  </si>
  <si>
    <t>SYAHRUL RAMADHONI</t>
  </si>
  <si>
    <t>AHMAD SYARIFUDIN</t>
  </si>
  <si>
    <t>1250014735591</t>
  </si>
  <si>
    <t>087770776316</t>
  </si>
  <si>
    <t>3172041905860012</t>
  </si>
  <si>
    <t>800693</t>
  </si>
  <si>
    <t>muhamad rifai</t>
  </si>
  <si>
    <t>089602977098</t>
  </si>
  <si>
    <t>3175070707840019</t>
  </si>
  <si>
    <t>800692</t>
  </si>
  <si>
    <t>MUHAMAD RIFAI</t>
  </si>
  <si>
    <t>Aria Danis Danumaya</t>
  </si>
  <si>
    <t>089670911932</t>
  </si>
  <si>
    <t>3172040307001001</t>
  </si>
  <si>
    <t>800691</t>
  </si>
  <si>
    <t>ARIA DANIS DANUMAYA</t>
  </si>
  <si>
    <t>WIWIN HADI PRIYONO</t>
  </si>
  <si>
    <t>0120284011</t>
  </si>
  <si>
    <t>0895361649273</t>
  </si>
  <si>
    <t>3524091006930002</t>
  </si>
  <si>
    <t>800690</t>
  </si>
  <si>
    <t>Olga Wijaya</t>
  </si>
  <si>
    <t>081287915094</t>
  </si>
  <si>
    <t>1672052306940001</t>
  </si>
  <si>
    <t>800689</t>
  </si>
  <si>
    <t>OLGA WIJAYA</t>
  </si>
  <si>
    <t>Eko Ahmadi</t>
  </si>
  <si>
    <t>087842052099</t>
  </si>
  <si>
    <t>3602140610950003</t>
  </si>
  <si>
    <t>800688</t>
  </si>
  <si>
    <t>EKO AHMADI</t>
  </si>
  <si>
    <t>YOGI PRASETYO</t>
  </si>
  <si>
    <t>0650779029</t>
  </si>
  <si>
    <t>085893479311</t>
  </si>
  <si>
    <t>3172041906971001</t>
  </si>
  <si>
    <t>800687</t>
  </si>
  <si>
    <t>Rinto</t>
  </si>
  <si>
    <t>085850127181</t>
  </si>
  <si>
    <t>3172042404890012</t>
  </si>
  <si>
    <t>800686</t>
  </si>
  <si>
    <t>RINTO</t>
  </si>
  <si>
    <t>Zulfadli</t>
  </si>
  <si>
    <t>0858104794090</t>
  </si>
  <si>
    <t>3172041109950006</t>
  </si>
  <si>
    <t>800685</t>
  </si>
  <si>
    <t>ZULFADLI</t>
  </si>
  <si>
    <t>Muhamad Riki</t>
  </si>
  <si>
    <t>0120207849</t>
  </si>
  <si>
    <t>085771091008</t>
  </si>
  <si>
    <t>3175061303970011</t>
  </si>
  <si>
    <t>800684</t>
  </si>
  <si>
    <t>MUHAMAD RIKI</t>
  </si>
  <si>
    <t>Mardi Hermansyah</t>
  </si>
  <si>
    <t>087771888916</t>
  </si>
  <si>
    <t>3602142108840002</t>
  </si>
  <si>
    <t>800683</t>
  </si>
  <si>
    <t>MARDI HERMANSYAH</t>
  </si>
  <si>
    <t>Toni</t>
  </si>
  <si>
    <t>1570002838333</t>
  </si>
  <si>
    <t>082125548703</t>
  </si>
  <si>
    <t>3175020811780007</t>
  </si>
  <si>
    <t>800682</t>
  </si>
  <si>
    <t>TONI</t>
  </si>
  <si>
    <t>Ahmad fauzi</t>
  </si>
  <si>
    <t>089624521887</t>
  </si>
  <si>
    <t>3172041503890004</t>
  </si>
  <si>
    <t>15643</t>
  </si>
  <si>
    <t>AHMAD FAUZI</t>
  </si>
  <si>
    <t>Tarmanto</t>
  </si>
  <si>
    <t>085894642580</t>
  </si>
  <si>
    <t>3305260511890001</t>
  </si>
  <si>
    <t>800680</t>
  </si>
  <si>
    <t>TARMANTO</t>
  </si>
  <si>
    <t>ANGGA SAEFUL ANWAR</t>
  </si>
  <si>
    <t>081388641501</t>
  </si>
  <si>
    <t>3175060510850020</t>
  </si>
  <si>
    <t>800679</t>
  </si>
  <si>
    <t>HASAN NUDIN</t>
  </si>
  <si>
    <t>087888278890</t>
  </si>
  <si>
    <t>3275011408850032</t>
  </si>
  <si>
    <t>800678</t>
  </si>
  <si>
    <t>adi santoso</t>
  </si>
  <si>
    <t>08989628365</t>
  </si>
  <si>
    <t>3704211509780346</t>
  </si>
  <si>
    <t>ADI SANTOSO</t>
  </si>
  <si>
    <t>Hendra juliandi</t>
  </si>
  <si>
    <t>087885278852</t>
  </si>
  <si>
    <t>3275121607810007</t>
  </si>
  <si>
    <t>800676</t>
  </si>
  <si>
    <t>HENDRA JULIANDI</t>
  </si>
  <si>
    <t>Sahrul Roji</t>
  </si>
  <si>
    <t>082299415289</t>
  </si>
  <si>
    <t>3175022905840009</t>
  </si>
  <si>
    <t>800675</t>
  </si>
  <si>
    <t>SAHRUL ROJI</t>
  </si>
  <si>
    <t>Aris munandar</t>
  </si>
  <si>
    <t>1290010581458</t>
  </si>
  <si>
    <t>087888281831</t>
  </si>
  <si>
    <t>3305070209870001</t>
  </si>
  <si>
    <t>800674</t>
  </si>
  <si>
    <t>ARIS MUNANDAR</t>
  </si>
  <si>
    <t>Choirul Huda</t>
  </si>
  <si>
    <t>081111845166</t>
  </si>
  <si>
    <t>3172042502991001</t>
  </si>
  <si>
    <t>800673</t>
  </si>
  <si>
    <t>CHOIRUL HUDA</t>
  </si>
  <si>
    <t>Aji mulyadi</t>
  </si>
  <si>
    <t>0120209591</t>
  </si>
  <si>
    <t>085939372960</t>
  </si>
  <si>
    <t>3602142311950003</t>
  </si>
  <si>
    <t>800672</t>
  </si>
  <si>
    <t>AJI MULYADI</t>
  </si>
  <si>
    <t>Cecep supriyadi</t>
  </si>
  <si>
    <t>08179393002</t>
  </si>
  <si>
    <t>3602141609910001</t>
  </si>
  <si>
    <t>800671</t>
  </si>
  <si>
    <t>CECEP SUPRIYADI</t>
  </si>
  <si>
    <t>HAMDAN MUBAROK</t>
  </si>
  <si>
    <t>1560011052810</t>
  </si>
  <si>
    <t>081294826399</t>
  </si>
  <si>
    <t>3208220703920001</t>
  </si>
  <si>
    <t>M RIVAL FIRMANSYAH</t>
  </si>
  <si>
    <t>6300255025</t>
  </si>
  <si>
    <t>081295578656</t>
  </si>
  <si>
    <t>3201220111970001</t>
  </si>
  <si>
    <t>800669</t>
  </si>
  <si>
    <t>M. RIVAL FIRMANSYAH</t>
  </si>
  <si>
    <t>Rijal Faridhul Ajmal</t>
  </si>
  <si>
    <t>1640003764604</t>
  </si>
  <si>
    <t>089517126680</t>
  </si>
  <si>
    <t>3671062909030004</t>
  </si>
  <si>
    <t>800668</t>
  </si>
  <si>
    <t>RIJAL FARIDHUL AJMAL</t>
  </si>
  <si>
    <t>AGUSTINUS HARTONO</t>
  </si>
  <si>
    <t>095501008226530</t>
  </si>
  <si>
    <t>085881679463</t>
  </si>
  <si>
    <t>3674031806800015</t>
  </si>
  <si>
    <t>800997</t>
  </si>
  <si>
    <t>Potong Iuran BPJS Kesehatan Double karena terdaftar bulan lalu</t>
  </si>
  <si>
    <t>Doddy Hasanudin</t>
  </si>
  <si>
    <t>001901041275508</t>
  </si>
  <si>
    <t>081220896969</t>
  </si>
  <si>
    <t>3275050112790008</t>
  </si>
  <si>
    <t>800999</t>
  </si>
  <si>
    <t>DODDY HASANUDIN</t>
  </si>
  <si>
    <t>Heri</t>
  </si>
  <si>
    <t>120201002736507</t>
  </si>
  <si>
    <t>087777169005</t>
  </si>
  <si>
    <t>3671062203790006</t>
  </si>
  <si>
    <t>800996</t>
  </si>
  <si>
    <t>HERI</t>
  </si>
  <si>
    <t>ABD GHONI JAMAL</t>
  </si>
  <si>
    <t>120201000754509</t>
  </si>
  <si>
    <t>08161888295</t>
  </si>
  <si>
    <t>3674032104730001</t>
  </si>
  <si>
    <t>800994</t>
  </si>
  <si>
    <t>ABD. GHONI JAMAL</t>
  </si>
  <si>
    <t>AGUS RIYANTO</t>
  </si>
  <si>
    <t>4840134143</t>
  </si>
  <si>
    <t>081294950220</t>
  </si>
  <si>
    <t>3216020507770019</t>
  </si>
  <si>
    <t>800993</t>
  </si>
  <si>
    <t>Acham zeky</t>
  </si>
  <si>
    <t>2671244941</t>
  </si>
  <si>
    <t>081574885028</t>
  </si>
  <si>
    <t>Front Officer</t>
  </si>
  <si>
    <t>3173072503780005</t>
  </si>
  <si>
    <t>800992</t>
  </si>
  <si>
    <t>ACHMAD ZEKY</t>
  </si>
  <si>
    <t>ABDILLAH</t>
  </si>
  <si>
    <t>120201001090500</t>
  </si>
  <si>
    <t>085717841818</t>
  </si>
  <si>
    <t>3671061101750004</t>
  </si>
  <si>
    <t>800991</t>
  </si>
  <si>
    <t>s</t>
  </si>
  <si>
    <t>R Iwan Hendarsah</t>
  </si>
  <si>
    <t>120201002595503</t>
  </si>
  <si>
    <t>08588820618</t>
  </si>
  <si>
    <t>3175041107750011</t>
  </si>
  <si>
    <t>800660</t>
  </si>
  <si>
    <t>R IWAN HENDARSAH</t>
  </si>
  <si>
    <t>Anjaina permata hia</t>
  </si>
  <si>
    <t>GLKU Medan</t>
  </si>
  <si>
    <t>081262894160</t>
  </si>
  <si>
    <t>1204094212990001</t>
  </si>
  <si>
    <t>800756</t>
  </si>
  <si>
    <t>ANJAINA PERMATA HIA</t>
  </si>
  <si>
    <t>4871000</t>
  </si>
  <si>
    <t>KRISWIDAYANTI</t>
  </si>
  <si>
    <t>3578286612980001</t>
  </si>
  <si>
    <t>800661</t>
  </si>
  <si>
    <t>Bulan ini adjust Gaji ke UMK Surabaya</t>
  </si>
  <si>
    <t>Octasena Rizqi Firdaus</t>
  </si>
  <si>
    <t>3603280410000005</t>
  </si>
  <si>
    <t>800665</t>
  </si>
  <si>
    <t>Potong Gaji bulan November 2025 sesuai absensi bulan lalu</t>
  </si>
  <si>
    <t>30 Juni 2026</t>
  </si>
  <si>
    <t>OCTASENA RIZQI FIRDAUS</t>
  </si>
  <si>
    <t>MAHESA DIMAS ADI SAPUTRO</t>
  </si>
  <si>
    <t>3515141909000003</t>
  </si>
  <si>
    <t>800659</t>
  </si>
  <si>
    <t>IMAM CHOERUL ALAMSYAH</t>
  </si>
  <si>
    <t>005101166321501</t>
  </si>
  <si>
    <t>3573042011890004</t>
  </si>
  <si>
    <t>800658</t>
  </si>
  <si>
    <t>Imam Choerul Alamsyah</t>
  </si>
  <si>
    <t>3608000</t>
  </si>
  <si>
    <t>Krisna Heriadi</t>
  </si>
  <si>
    <t>1100020935018</t>
  </si>
  <si>
    <t>RE-Jambi</t>
  </si>
  <si>
    <t>1404201711010001</t>
  </si>
  <si>
    <t>800657</t>
  </si>
  <si>
    <t>Yony Brammadi</t>
  </si>
  <si>
    <t>1410026798074</t>
  </si>
  <si>
    <t>3578040212900004</t>
  </si>
  <si>
    <t>800656</t>
  </si>
  <si>
    <t>AANG ISMAIL</t>
  </si>
  <si>
    <t>3602130501030002</t>
  </si>
  <si>
    <t>800654</t>
  </si>
  <si>
    <t>Aang ismail</t>
  </si>
  <si>
    <t>3917000</t>
  </si>
  <si>
    <t>Mualimin</t>
  </si>
  <si>
    <t>564401012416503</t>
  </si>
  <si>
    <t>RE-Palembang Burlian</t>
  </si>
  <si>
    <t>1610102909030002</t>
  </si>
  <si>
    <t>800653</t>
  </si>
  <si>
    <t>Ugis Ginanjar Sentosa</t>
  </si>
  <si>
    <t>1931615919</t>
  </si>
  <si>
    <t>3313111101970002</t>
  </si>
  <si>
    <t>800652</t>
  </si>
  <si>
    <t>ASSYER RAISSA VISTY NATHANIA</t>
  </si>
  <si>
    <t>089654872766</t>
  </si>
  <si>
    <t>3275026410030003</t>
  </si>
  <si>
    <t>800649</t>
  </si>
  <si>
    <t>Assyer Raissa Visty Nathania</t>
  </si>
  <si>
    <t>Kristianto Prambudi</t>
  </si>
  <si>
    <t>089505709423</t>
  </si>
  <si>
    <t>3173072305020005</t>
  </si>
  <si>
    <t>800648</t>
  </si>
  <si>
    <t>2860000</t>
  </si>
  <si>
    <t>ZUHAT PAHMI</t>
  </si>
  <si>
    <t>1610012636986</t>
  </si>
  <si>
    <t>RA-Mataram Pejanggik</t>
  </si>
  <si>
    <t>+6289531963372</t>
  </si>
  <si>
    <t>5271021709990001</t>
  </si>
  <si>
    <t>800645</t>
  </si>
  <si>
    <t>Deny Tri Haryanto</t>
  </si>
  <si>
    <t>1921388840</t>
  </si>
  <si>
    <t>+6285931370362</t>
  </si>
  <si>
    <t>3404021001010001</t>
  </si>
  <si>
    <t>800643</t>
  </si>
  <si>
    <t>Andi Tri Mayanto</t>
  </si>
  <si>
    <t>693901022463530</t>
  </si>
  <si>
    <t>+6285643706785</t>
  </si>
  <si>
    <t>3401122605960001</t>
  </si>
  <si>
    <t>800642</t>
  </si>
  <si>
    <t xml:space="preserve">Joel Reidhel Gaghansa </t>
  </si>
  <si>
    <t>RG-Manado Samratulangi (Beban regional)</t>
  </si>
  <si>
    <t>+6287841231710</t>
  </si>
  <si>
    <t>7171031206990002</t>
  </si>
  <si>
    <t>800641</t>
  </si>
  <si>
    <t>Joel Reidhel Gaghansa</t>
  </si>
  <si>
    <t>3899000</t>
  </si>
  <si>
    <t>Fardhan Bihablillah</t>
  </si>
  <si>
    <t>7194256412</t>
  </si>
  <si>
    <t>RF-Banda Aceh (Beban regional)</t>
  </si>
  <si>
    <t>Banda Aceh</t>
  </si>
  <si>
    <t>+6282277335336</t>
  </si>
  <si>
    <t>1104172308990001</t>
  </si>
  <si>
    <t>800639</t>
  </si>
  <si>
    <t>Brayen Sumuan</t>
  </si>
  <si>
    <t>344501011073500</t>
  </si>
  <si>
    <t>+6285824351427</t>
  </si>
  <si>
    <t>7171070705030001</t>
  </si>
  <si>
    <t>800637</t>
  </si>
  <si>
    <t>Brayn beckham sumuan</t>
  </si>
  <si>
    <t xml:space="preserve">Timothy Fheliphe Yepansa </t>
  </si>
  <si>
    <t>RB-Jkt Mal Ciputra</t>
  </si>
  <si>
    <t>+6285173189171</t>
  </si>
  <si>
    <t>3175080611010006</t>
  </si>
  <si>
    <t>800636</t>
  </si>
  <si>
    <t xml:space="preserve">M Ramadhan </t>
  </si>
  <si>
    <t>8527052593</t>
  </si>
  <si>
    <t>Jambi</t>
  </si>
  <si>
    <t>+6285716255483</t>
  </si>
  <si>
    <t>1571072606060181</t>
  </si>
  <si>
    <t>800635</t>
  </si>
  <si>
    <t xml:space="preserve">Muhammad Ramadhan </t>
  </si>
  <si>
    <t xml:space="preserve">Muhammad Adhe Irfan </t>
  </si>
  <si>
    <t>+62895414492956</t>
  </si>
  <si>
    <t>1571021206030001</t>
  </si>
  <si>
    <t>800757</t>
  </si>
  <si>
    <t>Muhammad Adhe Irfan</t>
  </si>
  <si>
    <t>IKHSAN ARDHIANSYAH</t>
  </si>
  <si>
    <t>1380026277215</t>
  </si>
  <si>
    <t>Solo Slamet Riyadi</t>
  </si>
  <si>
    <t>+6281238655214</t>
  </si>
  <si>
    <t>3311070605040001</t>
  </si>
  <si>
    <t>800623</t>
  </si>
  <si>
    <t>3455000</t>
  </si>
  <si>
    <t>Anas muzakcy</t>
  </si>
  <si>
    <t>228301008305503</t>
  </si>
  <si>
    <t>RC-Semarang Pandanaran</t>
  </si>
  <si>
    <t>Semarang Pandanaran</t>
  </si>
  <si>
    <t>+6285848333335</t>
  </si>
  <si>
    <t>3321021507960003</t>
  </si>
  <si>
    <t>800622</t>
  </si>
  <si>
    <t>MUHCHAMAT JAFARUDIN</t>
  </si>
  <si>
    <t>1380022563857</t>
  </si>
  <si>
    <t>+628895503901</t>
  </si>
  <si>
    <t>3311062509010003</t>
  </si>
  <si>
    <t>800621</t>
  </si>
  <si>
    <t>Fitriana</t>
  </si>
  <si>
    <t>3420097165</t>
  </si>
  <si>
    <t>+6283115920379</t>
  </si>
  <si>
    <t>3175016301980003</t>
  </si>
  <si>
    <t>2339000</t>
  </si>
  <si>
    <t>Rina Suci Adipratiwi</t>
  </si>
  <si>
    <t>ELTI Purwokerto</t>
  </si>
  <si>
    <t>+6281548882579</t>
  </si>
  <si>
    <t>5313</t>
  </si>
  <si>
    <t>Front Officer dan Marketing</t>
  </si>
  <si>
    <t>3301177009000001</t>
  </si>
  <si>
    <t>800620</t>
  </si>
  <si>
    <t>RINA SUCI ADIPRATIWI</t>
  </si>
  <si>
    <t>Yosephin Alodia A</t>
  </si>
  <si>
    <t>8466006268</t>
  </si>
  <si>
    <t>ELTI Yogyakarta</t>
  </si>
  <si>
    <t>+6282242302361</t>
  </si>
  <si>
    <t>5523</t>
  </si>
  <si>
    <t>3403096303030004</t>
  </si>
  <si>
    <t>800619</t>
  </si>
  <si>
    <t>YOSEPHIN ALODIA ANINDYAKARLA</t>
  </si>
  <si>
    <t>Fandi Ahmad Setyawan</t>
  </si>
  <si>
    <t>+6281281817297</t>
  </si>
  <si>
    <t>3312082401000001</t>
  </si>
  <si>
    <t>800618</t>
  </si>
  <si>
    <t>FANDI AHMAD SETYAWAN</t>
  </si>
  <si>
    <t>IMAN HAMIMAN</t>
  </si>
  <si>
    <t>0382890751</t>
  </si>
  <si>
    <t>RD-Tangerang BSD City Mall</t>
  </si>
  <si>
    <t>Tangerang BSD City Mall</t>
  </si>
  <si>
    <t>+6289685094479</t>
  </si>
  <si>
    <t>1532</t>
  </si>
  <si>
    <t>3272030610960001</t>
  </si>
  <si>
    <t>800616</t>
  </si>
  <si>
    <t>Rizal setiyawan</t>
  </si>
  <si>
    <t>1134161594</t>
  </si>
  <si>
    <t>RG-Sby Manyar</t>
  </si>
  <si>
    <t>+6285646814039</t>
  </si>
  <si>
    <t>3521092607960001</t>
  </si>
  <si>
    <t>800615</t>
  </si>
  <si>
    <t>RIZAL SETIYAWAN</t>
  </si>
  <si>
    <t>BINTANG VALENTYNO</t>
  </si>
  <si>
    <t>1110021466137</t>
  </si>
  <si>
    <t>RD-Padang Damar (Beban regional)</t>
  </si>
  <si>
    <t>Padang Damar</t>
  </si>
  <si>
    <t>+6289506691896</t>
  </si>
  <si>
    <t>20636</t>
  </si>
  <si>
    <t>1371111402020013</t>
  </si>
  <si>
    <t>800613</t>
  </si>
  <si>
    <t>Marlina</t>
  </si>
  <si>
    <t>1630004361856</t>
  </si>
  <si>
    <t>+6289527401977</t>
  </si>
  <si>
    <t>1113</t>
  </si>
  <si>
    <t>3601194805000001</t>
  </si>
  <si>
    <t>800612</t>
  </si>
  <si>
    <t>MARLINA</t>
  </si>
  <si>
    <t>Andika Rama Deswiriyanto</t>
  </si>
  <si>
    <t>+6281369437384</t>
  </si>
  <si>
    <t>1611042212020003</t>
  </si>
  <si>
    <t>800611</t>
  </si>
  <si>
    <t>ANDIKA RAMA DESWIRIYANTO</t>
  </si>
  <si>
    <t>YUSRIL AHMAD ZAKKA</t>
  </si>
  <si>
    <t>630901025558531</t>
  </si>
  <si>
    <t>+6289513773564</t>
  </si>
  <si>
    <t>3524101211000003</t>
  </si>
  <si>
    <t>800610</t>
  </si>
  <si>
    <t>ABDURRAHMAN</t>
  </si>
  <si>
    <t>RE-Balikpapan Plaza</t>
  </si>
  <si>
    <t>Balikpapan Plaza</t>
  </si>
  <si>
    <t>+6281545340183</t>
  </si>
  <si>
    <t>76114</t>
  </si>
  <si>
    <t>6402131706970001</t>
  </si>
  <si>
    <t>800609</t>
  </si>
  <si>
    <t>RIANSYAH</t>
  </si>
  <si>
    <t>RE-Palembang Atmo</t>
  </si>
  <si>
    <t>Palembang Atmo</t>
  </si>
  <si>
    <t>+628973960111</t>
  </si>
  <si>
    <t>3012</t>
  </si>
  <si>
    <t>1601091605960001</t>
  </si>
  <si>
    <t>Non BPJS Kesehatan</t>
  </si>
  <si>
    <t>ANTON PRIANTO</t>
  </si>
  <si>
    <t>GLKU Surabaya</t>
  </si>
  <si>
    <t>+6282343059862</t>
  </si>
  <si>
    <t>3514120906990002</t>
  </si>
  <si>
    <t>800606</t>
  </si>
  <si>
    <t>Harian GLKU 2 bulan</t>
  </si>
  <si>
    <t>Rafly Aji Zakaria</t>
  </si>
  <si>
    <t>GLKU Matraman</t>
  </si>
  <si>
    <t>+6285891312050</t>
  </si>
  <si>
    <t>3174072904960002</t>
  </si>
  <si>
    <t>800605</t>
  </si>
  <si>
    <t>RAFLY AJI ZAKARIA</t>
  </si>
  <si>
    <t>Muhammad Hafid Herdiyanto</t>
  </si>
  <si>
    <t>+62895359634982</t>
  </si>
  <si>
    <t>7613</t>
  </si>
  <si>
    <t>6471012512010001</t>
  </si>
  <si>
    <t>800604</t>
  </si>
  <si>
    <t>MUHAMMAD HAFID HERDIYANTO</t>
  </si>
  <si>
    <t>MOHAMMAD RIZKY DHARMAWAN</t>
  </si>
  <si>
    <t>GLKU Bogor</t>
  </si>
  <si>
    <t>+6288211731253</t>
  </si>
  <si>
    <t>3201122111990004</t>
  </si>
  <si>
    <t>800603</t>
  </si>
  <si>
    <t>PKWT</t>
  </si>
  <si>
    <t>TABLIK SYAHZIHAN</t>
  </si>
  <si>
    <t>0310019795205</t>
  </si>
  <si>
    <t>Banjamasin Veteran</t>
  </si>
  <si>
    <t>+6285754191107</t>
  </si>
  <si>
    <t>6371031509990005</t>
  </si>
  <si>
    <t>800601</t>
  </si>
  <si>
    <t>Naufal Rafi Wibowo</t>
  </si>
  <si>
    <t>RC-Semarang Pandanaran (Beban regional)</t>
  </si>
  <si>
    <t>+6287879663595</t>
  </si>
  <si>
    <t>5013</t>
  </si>
  <si>
    <t>3374060109060002</t>
  </si>
  <si>
    <t>800600</t>
  </si>
  <si>
    <t>NAUFAL RAFI WIBOWO</t>
  </si>
  <si>
    <t>Husaini</t>
  </si>
  <si>
    <t>+6282210832680</t>
  </si>
  <si>
    <t>1113021505920001</t>
  </si>
  <si>
    <t>800607</t>
  </si>
  <si>
    <t>HUSAINI</t>
  </si>
  <si>
    <t>YOHANES PURNAMA</t>
  </si>
  <si>
    <t>057101019389507</t>
  </si>
  <si>
    <t>RG-Bali Teuku Umar</t>
  </si>
  <si>
    <t>Bali Teuku Umar</t>
  </si>
  <si>
    <t>+6285904143816</t>
  </si>
  <si>
    <t>80113</t>
  </si>
  <si>
    <t>5315062406020002</t>
  </si>
  <si>
    <t>800598</t>
  </si>
  <si>
    <t>Yohanes purnama</t>
  </si>
  <si>
    <t>AHMAD YADI</t>
  </si>
  <si>
    <t>1120022399161</t>
  </si>
  <si>
    <t>RA-Depok</t>
  </si>
  <si>
    <t>Depok</t>
  </si>
  <si>
    <t>+6282278073717</t>
  </si>
  <si>
    <t>1644</t>
  </si>
  <si>
    <t>1608160905050001</t>
  </si>
  <si>
    <t>800596</t>
  </si>
  <si>
    <t>158001006010505</t>
  </si>
  <si>
    <t>+6287885356119</t>
  </si>
  <si>
    <t>1216</t>
  </si>
  <si>
    <t>3175076202971002</t>
  </si>
  <si>
    <t>800593</t>
  </si>
  <si>
    <t>Hafilah Pebri Yanti</t>
  </si>
  <si>
    <t>0060011833443</t>
  </si>
  <si>
    <t>+6281292852728</t>
  </si>
  <si>
    <t>3175030203960006</t>
  </si>
  <si>
    <t>800592</t>
  </si>
  <si>
    <t>Mardhika Tri Wibowo</t>
  </si>
  <si>
    <t>+6287847600221</t>
  </si>
  <si>
    <t>3215265408910005</t>
  </si>
  <si>
    <t>800591</t>
  </si>
  <si>
    <t>NINAWATI</t>
  </si>
  <si>
    <t>1490016833412</t>
  </si>
  <si>
    <t>+6285787091366</t>
  </si>
  <si>
    <t>6471030204830003</t>
  </si>
  <si>
    <t>800590</t>
  </si>
  <si>
    <t>MARIO IMMANUEL P</t>
  </si>
  <si>
    <t>Elex Tangerang</t>
  </si>
  <si>
    <t>+6281260055466</t>
  </si>
  <si>
    <t>3671081602990005</t>
  </si>
  <si>
    <t>800589</t>
  </si>
  <si>
    <t>Usman firlana sujarwo</t>
  </si>
  <si>
    <t>RE-Tarakan</t>
  </si>
  <si>
    <t>Tarakan</t>
  </si>
  <si>
    <t>+6282225680274</t>
  </si>
  <si>
    <t>7711</t>
  </si>
  <si>
    <t>6473032212970003</t>
  </si>
  <si>
    <t>800585</t>
  </si>
  <si>
    <t>Dzawil Fahmi Maulana</t>
  </si>
  <si>
    <t>Tangerang CBD Emerald Bintaro</t>
  </si>
  <si>
    <t>+6285183231995</t>
  </si>
  <si>
    <t>1523</t>
  </si>
  <si>
    <t>3601090107950209</t>
  </si>
  <si>
    <t>800584</t>
  </si>
  <si>
    <t>Hasan basri</t>
  </si>
  <si>
    <t>GPU - BIP Editorial &amp; Production Dept</t>
  </si>
  <si>
    <t>Elex Jakarta</t>
  </si>
  <si>
    <t>+6289652412181</t>
  </si>
  <si>
    <t>Outsourcing admin</t>
  </si>
  <si>
    <t>3603232808010004</t>
  </si>
  <si>
    <t>800583</t>
  </si>
  <si>
    <t>Nur Rizqi Alwandy</t>
  </si>
  <si>
    <t>NILUH KETUT AQUARISNAMETRI</t>
  </si>
  <si>
    <t>0490377859</t>
  </si>
  <si>
    <t>+6281236874087</t>
  </si>
  <si>
    <t>5103025008820012</t>
  </si>
  <si>
    <t>800582</t>
  </si>
  <si>
    <t>RIKO SETIAWAN</t>
  </si>
  <si>
    <t>GLKU Jakarta</t>
  </si>
  <si>
    <t>+6285778344604</t>
  </si>
  <si>
    <t>3305261011970001</t>
  </si>
  <si>
    <t>800580</t>
  </si>
  <si>
    <t>Building Maintenance - Jkt Matraman</t>
  </si>
  <si>
    <t>+6281314578824</t>
  </si>
  <si>
    <t>Teknisi</t>
  </si>
  <si>
    <t>3175032105990002</t>
  </si>
  <si>
    <t>800579</t>
  </si>
  <si>
    <t>Ivan Wibisono</t>
  </si>
  <si>
    <t>RIZA MELIA PASARIBU</t>
  </si>
  <si>
    <t>GLKU Bekasi</t>
  </si>
  <si>
    <t>+6281389714578</t>
  </si>
  <si>
    <t>3275115704020013</t>
  </si>
  <si>
    <t>800577</t>
  </si>
  <si>
    <t>7212899326</t>
  </si>
  <si>
    <t>RF-Banda Aceh</t>
  </si>
  <si>
    <t>+6282294287785</t>
  </si>
  <si>
    <t>2312</t>
  </si>
  <si>
    <t>1101061111030002</t>
  </si>
  <si>
    <t>800576</t>
  </si>
  <si>
    <t>NUZUL RAMADHAN</t>
  </si>
  <si>
    <t>+62895703049971</t>
  </si>
  <si>
    <t>3612</t>
  </si>
  <si>
    <t>1505012707010001</t>
  </si>
  <si>
    <t>800575</t>
  </si>
  <si>
    <t>JEFRI JULIANDA</t>
  </si>
  <si>
    <t>Cirebon Cipto</t>
  </si>
  <si>
    <t>082118506735</t>
  </si>
  <si>
    <t>4512</t>
  </si>
  <si>
    <t>3208150401930003</t>
  </si>
  <si>
    <t>800574</t>
  </si>
  <si>
    <t>Ading suoarjo</t>
  </si>
  <si>
    <t>0941106268</t>
  </si>
  <si>
    <t>+6287741699629</t>
  </si>
  <si>
    <t>3175061101800023</t>
  </si>
  <si>
    <t>800573</t>
  </si>
  <si>
    <t>Rino herdianto</t>
  </si>
  <si>
    <t>0680058946</t>
  </si>
  <si>
    <t>+6282127082636</t>
  </si>
  <si>
    <t>3171080405940001</t>
  </si>
  <si>
    <t>800572</t>
  </si>
  <si>
    <t>Ahmad fajar zamzami</t>
  </si>
  <si>
    <t>Procurement &amp; Distribution (Cakung)</t>
  </si>
  <si>
    <t>+6281294889934</t>
  </si>
  <si>
    <t>3172045103940003</t>
  </si>
  <si>
    <t>800587</t>
  </si>
  <si>
    <t>Fitria Hariaty</t>
  </si>
  <si>
    <t>Asep Muhaemin</t>
  </si>
  <si>
    <t>1340026255454</t>
  </si>
  <si>
    <t>Mandiri</t>
  </si>
  <si>
    <t>+6289522534587</t>
  </si>
  <si>
    <t>3209391903950002</t>
  </si>
  <si>
    <t>800595</t>
  </si>
  <si>
    <t>ASEP MUHAEMIN</t>
  </si>
  <si>
    <t>Reynaldi Prasetyo</t>
  </si>
  <si>
    <t>Building Maintenance</t>
  </si>
  <si>
    <t>+6281413528168</t>
  </si>
  <si>
    <t>3171043108970001</t>
  </si>
  <si>
    <t>800570</t>
  </si>
  <si>
    <t>Adi alamsyah</t>
  </si>
  <si>
    <t>1250013631189</t>
  </si>
  <si>
    <t>UA Finance &amp; Accounting</t>
  </si>
  <si>
    <t>+6281380303730</t>
  </si>
  <si>
    <t>Finance ( Collector )</t>
  </si>
  <si>
    <t>3172042611941003</t>
  </si>
  <si>
    <t>800567</t>
  </si>
  <si>
    <t>Rizky Kurnia Sumantri</t>
  </si>
  <si>
    <t>+6281380920469</t>
  </si>
  <si>
    <t>3174082610960002</t>
  </si>
  <si>
    <t>800566</t>
  </si>
  <si>
    <t>25051200928</t>
  </si>
  <si>
    <t>Muhammad Bagas Adhikara</t>
  </si>
  <si>
    <t>+6282219542626</t>
  </si>
  <si>
    <t>3275022506990013</t>
  </si>
  <si>
    <t>800565</t>
  </si>
  <si>
    <t>25051200902</t>
  </si>
  <si>
    <t>Iwel sasela</t>
  </si>
  <si>
    <t>+6281554172293</t>
  </si>
  <si>
    <t>3175036303990010</t>
  </si>
  <si>
    <t>800564</t>
  </si>
  <si>
    <t>Rintho Darmawan</t>
  </si>
  <si>
    <t>+6285946467801</t>
  </si>
  <si>
    <t>3175093012870005</t>
  </si>
  <si>
    <t>800562</t>
  </si>
  <si>
    <t>25051200894</t>
  </si>
  <si>
    <t>MOH.JAFAR</t>
  </si>
  <si>
    <t>RG-Surabaya Pakuwon Mall</t>
  </si>
  <si>
    <t>Surabaya Pakuwon Mall</t>
  </si>
  <si>
    <t>081234501569</t>
  </si>
  <si>
    <t>6021</t>
  </si>
  <si>
    <t>3526110705890002</t>
  </si>
  <si>
    <t>800561</t>
  </si>
  <si>
    <t>MOH JAFAR</t>
  </si>
  <si>
    <t>TOTOK PRASETYA</t>
  </si>
  <si>
    <t>0640722673</t>
  </si>
  <si>
    <t>RG-Sidoarjo Ruko Pahlawan</t>
  </si>
  <si>
    <t>Sidoarjo Ruko Pahlawan</t>
  </si>
  <si>
    <t>+62812300092228</t>
  </si>
  <si>
    <t>6121</t>
  </si>
  <si>
    <t>3515032306880002</t>
  </si>
  <si>
    <t>800560</t>
  </si>
  <si>
    <t>MOCH NGARISAN</t>
  </si>
  <si>
    <t>068401008885539</t>
  </si>
  <si>
    <t>RG-Sby Tunjungan Plz</t>
  </si>
  <si>
    <t>Sby Tunjungan Plz</t>
  </si>
  <si>
    <t>+6287702648816</t>
  </si>
  <si>
    <t>6026</t>
  </si>
  <si>
    <t>3506210403840002</t>
  </si>
  <si>
    <t>800559</t>
  </si>
  <si>
    <t xml:space="preserve">ACHMAD MIFTACHUL HUDA </t>
  </si>
  <si>
    <t>068401035717503</t>
  </si>
  <si>
    <t>RG-Sby Royal Plz</t>
  </si>
  <si>
    <t>Sby Royal Plz</t>
  </si>
  <si>
    <t>+6289602664409</t>
  </si>
  <si>
    <t>6025</t>
  </si>
  <si>
    <t>3578251605970001</t>
  </si>
  <si>
    <t>800558</t>
  </si>
  <si>
    <t>25051200886</t>
  </si>
  <si>
    <t>ACHMAD MIFTACHUL HUDA</t>
  </si>
  <si>
    <t xml:space="preserve">Achmat Saiful Arif </t>
  </si>
  <si>
    <t>316401015185535</t>
  </si>
  <si>
    <t>Sby Manyar</t>
  </si>
  <si>
    <t>+6283852817129</t>
  </si>
  <si>
    <t>6011</t>
  </si>
  <si>
    <t>3515010304880001</t>
  </si>
  <si>
    <t>800557</t>
  </si>
  <si>
    <t>25051200878</t>
  </si>
  <si>
    <t>ACHMAT SAIFUL ARIF</t>
  </si>
  <si>
    <t xml:space="preserve">PURWANTO </t>
  </si>
  <si>
    <t>068401016779502</t>
  </si>
  <si>
    <t>+6285791468035</t>
  </si>
  <si>
    <t>3316040912810002</t>
  </si>
  <si>
    <t>800556</t>
  </si>
  <si>
    <t>25051200860</t>
  </si>
  <si>
    <t>Wadhuha</t>
  </si>
  <si>
    <t>068401016793506</t>
  </si>
  <si>
    <t>+6285646184014</t>
  </si>
  <si>
    <t>3517111501920001</t>
  </si>
  <si>
    <t>800555</t>
  </si>
  <si>
    <t>WADHUHA</t>
  </si>
  <si>
    <t>ALI MASYKUR</t>
  </si>
  <si>
    <t>RG-Sby Manyar (Beban regional)</t>
  </si>
  <si>
    <t>+6285707166205</t>
  </si>
  <si>
    <t>3504110405980002</t>
  </si>
  <si>
    <t>800554</t>
  </si>
  <si>
    <t>25051200852</t>
  </si>
  <si>
    <t>KHUBAIB MAULANA THORIQUDDINULLAH</t>
  </si>
  <si>
    <t>068401038375504</t>
  </si>
  <si>
    <t>Sby Expo</t>
  </si>
  <si>
    <t>+628973901477</t>
  </si>
  <si>
    <t>6023</t>
  </si>
  <si>
    <t>3515112305980003</t>
  </si>
  <si>
    <t>800553</t>
  </si>
  <si>
    <t>25051200845</t>
  </si>
  <si>
    <t>SEPTIAN RAHMAT FADLI</t>
  </si>
  <si>
    <t>068401052022507</t>
  </si>
  <si>
    <t>+6285735996396</t>
  </si>
  <si>
    <t>3578100509920003</t>
  </si>
  <si>
    <t>800552</t>
  </si>
  <si>
    <t>LATIFUL AZIZ</t>
  </si>
  <si>
    <t>638301011748534</t>
  </si>
  <si>
    <t>RG-Malang Olympic Garden</t>
  </si>
  <si>
    <t>Malang Olympic Garden</t>
  </si>
  <si>
    <t>+6282230415111</t>
  </si>
  <si>
    <t>6515</t>
  </si>
  <si>
    <t>3573021209860002</t>
  </si>
  <si>
    <t>800550</t>
  </si>
  <si>
    <t>25051200829</t>
  </si>
  <si>
    <t>Mochamad Nur Aidin</t>
  </si>
  <si>
    <t>068401038957500</t>
  </si>
  <si>
    <t>RG-Malang Basra</t>
  </si>
  <si>
    <t>Malang Basra</t>
  </si>
  <si>
    <t>+6282131986984</t>
  </si>
  <si>
    <t>6511</t>
  </si>
  <si>
    <t>3573031304920003</t>
  </si>
  <si>
    <t>800549</t>
  </si>
  <si>
    <t>25051200811</t>
  </si>
  <si>
    <t>MOCHAMAD NUR AIDIN</t>
  </si>
  <si>
    <t>Eko andriyanto</t>
  </si>
  <si>
    <t>057901006805532</t>
  </si>
  <si>
    <t>+628988487700</t>
  </si>
  <si>
    <t>3573021205820003</t>
  </si>
  <si>
    <t>800548</t>
  </si>
  <si>
    <t>25051200803</t>
  </si>
  <si>
    <t>EKO ANDRIYANTO</t>
  </si>
  <si>
    <t>Moh Nur Huda</t>
  </si>
  <si>
    <t>639001016660538</t>
  </si>
  <si>
    <t>+6285719329063</t>
  </si>
  <si>
    <t>3507171009950001</t>
  </si>
  <si>
    <t>800547</t>
  </si>
  <si>
    <t>25051200795</t>
  </si>
  <si>
    <t>MOH NUR HUDA</t>
  </si>
  <si>
    <t>Muhammad Reza Rizkiawan</t>
  </si>
  <si>
    <t>RG-Malang Basra (Beban regional)</t>
  </si>
  <si>
    <t>+6281331319700</t>
  </si>
  <si>
    <t>3507242707980002</t>
  </si>
  <si>
    <t>800546</t>
  </si>
  <si>
    <t>25051200787</t>
  </si>
  <si>
    <t>MUHAMMAD REZA RIZKIAWAN</t>
  </si>
  <si>
    <t>NURHADI</t>
  </si>
  <si>
    <t>725901009854539</t>
  </si>
  <si>
    <t>+6285815944922</t>
  </si>
  <si>
    <t>3573051010700008</t>
  </si>
  <si>
    <t>800545</t>
  </si>
  <si>
    <t>25051200779</t>
  </si>
  <si>
    <t>SUHARI</t>
  </si>
  <si>
    <t>0332883559</t>
  </si>
  <si>
    <t>RG-Kediri UFO Plaza</t>
  </si>
  <si>
    <t>Kediri UFO Plaza</t>
  </si>
  <si>
    <t>+6285733220097</t>
  </si>
  <si>
    <t>6412</t>
  </si>
  <si>
    <t>3571011406850006</t>
  </si>
  <si>
    <t>800544</t>
  </si>
  <si>
    <t>25051200761</t>
  </si>
  <si>
    <t xml:space="preserve">AKBAR AFANDI </t>
  </si>
  <si>
    <t>0241670511</t>
  </si>
  <si>
    <t>RG-Jember Trunojoyo</t>
  </si>
  <si>
    <t>Jember Trunojoyo</t>
  </si>
  <si>
    <t>+6287758329527</t>
  </si>
  <si>
    <t>68126</t>
  </si>
  <si>
    <t>3509131608860003</t>
  </si>
  <si>
    <t>800543</t>
  </si>
  <si>
    <t>AKBAR AFANDI</t>
  </si>
  <si>
    <t>Rivaldo Pedro Saputra</t>
  </si>
  <si>
    <t>2000580492</t>
  </si>
  <si>
    <t>RG-Jember Trunojoyo (Beban regional)</t>
  </si>
  <si>
    <t>+6282132269278</t>
  </si>
  <si>
    <t>3509213103990004</t>
  </si>
  <si>
    <t>800542</t>
  </si>
  <si>
    <t>RIVALDO PEDRO SAPUTRA</t>
  </si>
  <si>
    <t>Muhammad lutfi riyadi</t>
  </si>
  <si>
    <t>0241669466</t>
  </si>
  <si>
    <t>+6282334893262</t>
  </si>
  <si>
    <t>3509170111920002</t>
  </si>
  <si>
    <t>800541</t>
  </si>
  <si>
    <t>MUHAMMAD LUTFI RIYADI</t>
  </si>
  <si>
    <t>WENSISLAUS FANTURA</t>
  </si>
  <si>
    <t>1450015519891</t>
  </si>
  <si>
    <t>RG-Bali Galeria</t>
  </si>
  <si>
    <t>Bali Galeria</t>
  </si>
  <si>
    <t>+6282144555412</t>
  </si>
  <si>
    <t>8036</t>
  </si>
  <si>
    <t>5315062809030002</t>
  </si>
  <si>
    <t>800540</t>
  </si>
  <si>
    <t>25051200753</t>
  </si>
  <si>
    <t>Minta BPJS Ketenagakerjaan Di non aktifkan bulan depan</t>
  </si>
  <si>
    <t>Fahmi wahyudi ginting</t>
  </si>
  <si>
    <t>1180012502596</t>
  </si>
  <si>
    <t>Medan Gama</t>
  </si>
  <si>
    <t>+6281535253474</t>
  </si>
  <si>
    <t>2011</t>
  </si>
  <si>
    <t>1207232812930008</t>
  </si>
  <si>
    <t>800539</t>
  </si>
  <si>
    <t>25051200746</t>
  </si>
  <si>
    <t>FAHMI WAHYUDI GINTING</t>
  </si>
  <si>
    <t xml:space="preserve">INDRA KESUMA </t>
  </si>
  <si>
    <t>1050017708391</t>
  </si>
  <si>
    <t>+6289524343422</t>
  </si>
  <si>
    <t>1271060306910008</t>
  </si>
  <si>
    <t>800538</t>
  </si>
  <si>
    <t>25051200738</t>
  </si>
  <si>
    <t>INDRA KESUMA</t>
  </si>
  <si>
    <t xml:space="preserve">Rizky ihcsan baihaqhi </t>
  </si>
  <si>
    <t>0223163651</t>
  </si>
  <si>
    <t>RF-Medan Gama (Beban regional)</t>
  </si>
  <si>
    <t>+6282273330500</t>
  </si>
  <si>
    <t>1174041909950001</t>
  </si>
  <si>
    <t>800537</t>
  </si>
  <si>
    <t>25051200720</t>
  </si>
  <si>
    <t>RIZKY IHCSAN BAIHAQHI</t>
  </si>
  <si>
    <t xml:space="preserve">SUNNAH ANNAFIYAH </t>
  </si>
  <si>
    <t>+6282261018172</t>
  </si>
  <si>
    <t>1271050507960001</t>
  </si>
  <si>
    <t>800536</t>
  </si>
  <si>
    <t>25051200712</t>
  </si>
  <si>
    <t>SUNNAH ANNAFIYAH</t>
  </si>
  <si>
    <t>HERDIANSYAH</t>
  </si>
  <si>
    <t>1050019687403</t>
  </si>
  <si>
    <t>+6282162293489</t>
  </si>
  <si>
    <t>1271150804900001</t>
  </si>
  <si>
    <t>800535</t>
  </si>
  <si>
    <t>25051200704</t>
  </si>
  <si>
    <t>FEBRI ASWANDI</t>
  </si>
  <si>
    <t>1180009974030</t>
  </si>
  <si>
    <t>+6285763256697</t>
  </si>
  <si>
    <t>Cleaning Services (Karu)</t>
  </si>
  <si>
    <t>1271152102920003</t>
  </si>
  <si>
    <t>800534</t>
  </si>
  <si>
    <t>25051200696</t>
  </si>
  <si>
    <t xml:space="preserve">JONNI SIAHAAN </t>
  </si>
  <si>
    <t>1180010397445</t>
  </si>
  <si>
    <t>+6285256766080</t>
  </si>
  <si>
    <t>1211103007960001</t>
  </si>
  <si>
    <t>800533</t>
  </si>
  <si>
    <t>25051200688</t>
  </si>
  <si>
    <t>JONNI SIAHAAN</t>
  </si>
  <si>
    <t>Fransiskus Eko Edi Purwanto</t>
  </si>
  <si>
    <t>RF-Karawang Galuh (Beban regional)</t>
  </si>
  <si>
    <t>Karawang Galuh</t>
  </si>
  <si>
    <t>+6287771775299</t>
  </si>
  <si>
    <t>41361</t>
  </si>
  <si>
    <t>3271012212830014</t>
  </si>
  <si>
    <t>800532</t>
  </si>
  <si>
    <t>25051200670</t>
  </si>
  <si>
    <t>FRANSISKUS EKO EDI PURWANTO</t>
  </si>
  <si>
    <t>Muhamad Alfin Fuady</t>
  </si>
  <si>
    <t>+6289510312812</t>
  </si>
  <si>
    <t>3328011911950006</t>
  </si>
  <si>
    <t>800531</t>
  </si>
  <si>
    <t>25051200662</t>
  </si>
  <si>
    <t>MUHAMAD ALFIN FUADY</t>
  </si>
  <si>
    <t>VAVA YOGA PRATAMA</t>
  </si>
  <si>
    <t>068401033887506</t>
  </si>
  <si>
    <t>RF-Karawang Galuh</t>
  </si>
  <si>
    <t>+6285313799741</t>
  </si>
  <si>
    <t>3312110903960001</t>
  </si>
  <si>
    <t>800530</t>
  </si>
  <si>
    <t>25051200654</t>
  </si>
  <si>
    <t>WAHYU</t>
  </si>
  <si>
    <t>068401022302505</t>
  </si>
  <si>
    <t>+6285210708365</t>
  </si>
  <si>
    <t>3215032812830001</t>
  </si>
  <si>
    <t>800529</t>
  </si>
  <si>
    <t>25051200647</t>
  </si>
  <si>
    <t>SAMSUDIN</t>
  </si>
  <si>
    <t>068401022305503</t>
  </si>
  <si>
    <t>+6283815513435</t>
  </si>
  <si>
    <t>3215032212900001</t>
  </si>
  <si>
    <t>800528</t>
  </si>
  <si>
    <t>25051200639</t>
  </si>
  <si>
    <t>Asep Awaludin</t>
  </si>
  <si>
    <t>1730006646997</t>
  </si>
  <si>
    <t>+62895622082919</t>
  </si>
  <si>
    <t>3215260208820001</t>
  </si>
  <si>
    <t>800527</t>
  </si>
  <si>
    <t>25051200621</t>
  </si>
  <si>
    <t>ASEP AWALUDIN</t>
  </si>
  <si>
    <t>Haryati</t>
  </si>
  <si>
    <t>157901017676509</t>
  </si>
  <si>
    <t>+6285777795001</t>
  </si>
  <si>
    <t>3175064210931004</t>
  </si>
  <si>
    <t>800526</t>
  </si>
  <si>
    <t>25051200613</t>
  </si>
  <si>
    <t>HARYATI</t>
  </si>
  <si>
    <t xml:space="preserve">Ivan Fadilah Rifayanto </t>
  </si>
  <si>
    <t>0948527521</t>
  </si>
  <si>
    <t>RF-Bekasi Harapan Indah (Beban regional)</t>
  </si>
  <si>
    <t>Bekasi Harapan Indah</t>
  </si>
  <si>
    <t>+62859106536373</t>
  </si>
  <si>
    <t>1712</t>
  </si>
  <si>
    <t>3175060807920003</t>
  </si>
  <si>
    <t>800525</t>
  </si>
  <si>
    <t>IVAN FADILAH RIFAYANTO</t>
  </si>
  <si>
    <t>Fuad Ali Riyanto</t>
  </si>
  <si>
    <t>068401021638505</t>
  </si>
  <si>
    <t>+6281296430914</t>
  </si>
  <si>
    <t>3275060510950029</t>
  </si>
  <si>
    <t>800524</t>
  </si>
  <si>
    <t>FUAD ALI RIYANTO</t>
  </si>
  <si>
    <t xml:space="preserve">Agus Waluyo </t>
  </si>
  <si>
    <t>725401005539535</t>
  </si>
  <si>
    <t>+6285889620824</t>
  </si>
  <si>
    <t>3275041508820047</t>
  </si>
  <si>
    <t>800523</t>
  </si>
  <si>
    <t>AGUS WALUYO</t>
  </si>
  <si>
    <t>WINDAH</t>
  </si>
  <si>
    <t>068401021599507</t>
  </si>
  <si>
    <t>+62896 4679 1614</t>
  </si>
  <si>
    <t>3216022209850010</t>
  </si>
  <si>
    <t>800522</t>
  </si>
  <si>
    <t xml:space="preserve">Anis choirunnisa </t>
  </si>
  <si>
    <t>479401039683535</t>
  </si>
  <si>
    <t>+6285894434445</t>
  </si>
  <si>
    <t>3216025202950006</t>
  </si>
  <si>
    <t>800521</t>
  </si>
  <si>
    <t>ANIS CHOIRUNNISA</t>
  </si>
  <si>
    <t xml:space="preserve">Akhmad makhfud </t>
  </si>
  <si>
    <t>708301002510507</t>
  </si>
  <si>
    <t>+6281295541448</t>
  </si>
  <si>
    <t>3307140204920004</t>
  </si>
  <si>
    <t>800520</t>
  </si>
  <si>
    <t>25051200605</t>
  </si>
  <si>
    <t>AKHMAD MAKHFUD</t>
  </si>
  <si>
    <t>STEFANO GUNAWAN</t>
  </si>
  <si>
    <t>0850007071</t>
  </si>
  <si>
    <t>Bdng Merdeka</t>
  </si>
  <si>
    <t>+628989820244</t>
  </si>
  <si>
    <t>4011</t>
  </si>
  <si>
    <t>3273180507850002</t>
  </si>
  <si>
    <t>800519</t>
  </si>
  <si>
    <t>TEDI CAHYADI</t>
  </si>
  <si>
    <t>0852355431</t>
  </si>
  <si>
    <t>+6285624788089</t>
  </si>
  <si>
    <t>3273082703900004</t>
  </si>
  <si>
    <t>800518</t>
  </si>
  <si>
    <t>OPAN SOPIAN</t>
  </si>
  <si>
    <t>0852364449</t>
  </si>
  <si>
    <t>+6285831375702</t>
  </si>
  <si>
    <t>3273242705930005</t>
  </si>
  <si>
    <t>800517</t>
  </si>
  <si>
    <t>25051200597</t>
  </si>
  <si>
    <t xml:space="preserve">M.fauzan Al anshory </t>
  </si>
  <si>
    <t>7213223393</t>
  </si>
  <si>
    <t>+6281265004014</t>
  </si>
  <si>
    <t>1106070506960005</t>
  </si>
  <si>
    <t>800516</t>
  </si>
  <si>
    <t>25051200589</t>
  </si>
  <si>
    <t>M.FAUZAN AL ANSHORY</t>
  </si>
  <si>
    <t>ISMAWANDI</t>
  </si>
  <si>
    <t>7144505737</t>
  </si>
  <si>
    <t>+6282351912072</t>
  </si>
  <si>
    <t>1171042612870002</t>
  </si>
  <si>
    <t>800515</t>
  </si>
  <si>
    <t>25051200571</t>
  </si>
  <si>
    <t>SYAHRUL RAMADHAN</t>
  </si>
  <si>
    <t>7142350771</t>
  </si>
  <si>
    <t>+6285260677777</t>
  </si>
  <si>
    <t>1171042904870001</t>
  </si>
  <si>
    <t>800514</t>
  </si>
  <si>
    <t>25051200563</t>
  </si>
  <si>
    <t xml:space="preserve">Zulfahmi </t>
  </si>
  <si>
    <t>7187500669</t>
  </si>
  <si>
    <t>+62895341248711</t>
  </si>
  <si>
    <t>1171070906040001</t>
  </si>
  <si>
    <t>800513</t>
  </si>
  <si>
    <t>25051200555</t>
  </si>
  <si>
    <t>ZULFAHMI</t>
  </si>
  <si>
    <t xml:space="preserve">IKHSAN </t>
  </si>
  <si>
    <t>7144505276</t>
  </si>
  <si>
    <t>+6282217224786</t>
  </si>
  <si>
    <t>1171042404830001</t>
  </si>
  <si>
    <t>800512</t>
  </si>
  <si>
    <t>25051200548</t>
  </si>
  <si>
    <t>IKHSAN</t>
  </si>
  <si>
    <t>RAMA SAPUTRA</t>
  </si>
  <si>
    <t>1690004569379</t>
  </si>
  <si>
    <t>RE-WAM Bangka</t>
  </si>
  <si>
    <t>WAM Bangka</t>
  </si>
  <si>
    <t>+6281368606464</t>
  </si>
  <si>
    <t>3313</t>
  </si>
  <si>
    <t>1971031906050001</t>
  </si>
  <si>
    <t>800511</t>
  </si>
  <si>
    <t>25051200530</t>
  </si>
  <si>
    <t>MUHAMAD REZA KURNIAWAN</t>
  </si>
  <si>
    <t>+6281272122675</t>
  </si>
  <si>
    <t>1971051011000003</t>
  </si>
  <si>
    <t>800510</t>
  </si>
  <si>
    <t>25051200522</t>
  </si>
  <si>
    <t>YOGA YOGI</t>
  </si>
  <si>
    <t>1180010000833</t>
  </si>
  <si>
    <t>+6288276034849</t>
  </si>
  <si>
    <t>1971031111920001</t>
  </si>
  <si>
    <t>800509</t>
  </si>
  <si>
    <t>25051200514</t>
  </si>
  <si>
    <t>ROYAN HADI MAULANA</t>
  </si>
  <si>
    <t>1490014538336</t>
  </si>
  <si>
    <t>+6285822524624</t>
  </si>
  <si>
    <t>6473033003030007</t>
  </si>
  <si>
    <t>800508</t>
  </si>
  <si>
    <t>25051200506</t>
  </si>
  <si>
    <t xml:space="preserve">Miftah khairulloh </t>
  </si>
  <si>
    <t>+6281584828395</t>
  </si>
  <si>
    <t>3175081806950004</t>
  </si>
  <si>
    <t>800507</t>
  </si>
  <si>
    <t>MIFTAH KHAIRULLOH</t>
  </si>
  <si>
    <t>MUHAMAD AKBAR MAULANA</t>
  </si>
  <si>
    <t>+6281586143351</t>
  </si>
  <si>
    <t>3201342609030001</t>
  </si>
  <si>
    <t>800506</t>
  </si>
  <si>
    <t>25051200498</t>
  </si>
  <si>
    <t>YUDA ARDINATA</t>
  </si>
  <si>
    <t>+6282122870315</t>
  </si>
  <si>
    <t>3674062811990004</t>
  </si>
  <si>
    <t>800505</t>
  </si>
  <si>
    <t>25051200480</t>
  </si>
  <si>
    <t>Ferry setiawan</t>
  </si>
  <si>
    <t>+6283863652068</t>
  </si>
  <si>
    <t>3174060802750004</t>
  </si>
  <si>
    <t>800504</t>
  </si>
  <si>
    <t>FERRY SETIAWAN</t>
  </si>
  <si>
    <t xml:space="preserve">Galang Wiji Saputra </t>
  </si>
  <si>
    <t>457101005253500</t>
  </si>
  <si>
    <t xml:space="preserve">+62838-7685-3023 </t>
  </si>
  <si>
    <t>75123</t>
  </si>
  <si>
    <t>6472052106060007</t>
  </si>
  <si>
    <t>800501</t>
  </si>
  <si>
    <t>25051200464</t>
  </si>
  <si>
    <t>GALANG WIJI SAPUTRA</t>
  </si>
  <si>
    <t xml:space="preserve">Dedy Ardiansyah </t>
  </si>
  <si>
    <t>457001032566530</t>
  </si>
  <si>
    <t>+6282152288784</t>
  </si>
  <si>
    <t>6472050202940007</t>
  </si>
  <si>
    <t>800500</t>
  </si>
  <si>
    <t>25051200456</t>
  </si>
  <si>
    <t>DEDY ARDIANSYAH</t>
  </si>
  <si>
    <t>rikwan</t>
  </si>
  <si>
    <t>8855638807</t>
  </si>
  <si>
    <t>‭+6287838503797‬</t>
  </si>
  <si>
    <t>7812</t>
  </si>
  <si>
    <t>6171041204010007</t>
  </si>
  <si>
    <t>800499</t>
  </si>
  <si>
    <t>RIKWAN</t>
  </si>
  <si>
    <t>Yuli Sartika</t>
  </si>
  <si>
    <t>9000029678209</t>
  </si>
  <si>
    <t>Palembang Burlian</t>
  </si>
  <si>
    <t>+6282179396815</t>
  </si>
  <si>
    <t>3014</t>
  </si>
  <si>
    <t>1671064507870011</t>
  </si>
  <si>
    <t>800498</t>
  </si>
  <si>
    <t>YULI SARTIKA</t>
  </si>
  <si>
    <t>Akhmad aryadi</t>
  </si>
  <si>
    <t>0213383440</t>
  </si>
  <si>
    <t>RE-Palembang Burlian (Beban regional)</t>
  </si>
  <si>
    <t>+6282379411371</t>
  </si>
  <si>
    <t>1607100609950005</t>
  </si>
  <si>
    <t>800497</t>
  </si>
  <si>
    <t>AKHMAD ARYADI</t>
  </si>
  <si>
    <t>ALFAZRI HAMID</t>
  </si>
  <si>
    <t>1120022224633</t>
  </si>
  <si>
    <t>+62895636560933</t>
  </si>
  <si>
    <t>1607012605970005</t>
  </si>
  <si>
    <t>800496</t>
  </si>
  <si>
    <t>25051200449</t>
  </si>
  <si>
    <t>ALFAZHRI HAMID</t>
  </si>
  <si>
    <t>Aprizal Tantowi</t>
  </si>
  <si>
    <t>1130016297354</t>
  </si>
  <si>
    <t>+62895338598435</t>
  </si>
  <si>
    <t>1607010204970004</t>
  </si>
  <si>
    <t>800495</t>
  </si>
  <si>
    <t>APRIZAL TANTOWI</t>
  </si>
  <si>
    <t>M.Soleh</t>
  </si>
  <si>
    <t>1120011736571</t>
  </si>
  <si>
    <t>+6281288628240</t>
  </si>
  <si>
    <t>1671060304960008</t>
  </si>
  <si>
    <t>800494</t>
  </si>
  <si>
    <t>25051200431</t>
  </si>
  <si>
    <t>M. SOLEH</t>
  </si>
  <si>
    <t xml:space="preserve">Ardhi Wiranata </t>
  </si>
  <si>
    <t>+6285788460630</t>
  </si>
  <si>
    <t>1671031701960007</t>
  </si>
  <si>
    <t>800493</t>
  </si>
  <si>
    <t>25051200423</t>
  </si>
  <si>
    <t>ARDHI WIRANATA</t>
  </si>
  <si>
    <t xml:space="preserve">Ridho Dimas Syahputra </t>
  </si>
  <si>
    <t>+62895622089322</t>
  </si>
  <si>
    <t>1671072101030007</t>
  </si>
  <si>
    <t>800492</t>
  </si>
  <si>
    <t>25051200415</t>
  </si>
  <si>
    <t>REQUEST</t>
  </si>
  <si>
    <t xml:space="preserve">RIDHO DIMAS SYAHPUTRA </t>
  </si>
  <si>
    <t>KAMALUDIN</t>
  </si>
  <si>
    <t>1130011634387</t>
  </si>
  <si>
    <t>+62895411031080</t>
  </si>
  <si>
    <t>1671140712870006</t>
  </si>
  <si>
    <t>800491</t>
  </si>
  <si>
    <t>25051200407</t>
  </si>
  <si>
    <t xml:space="preserve">Ujidarmawan </t>
  </si>
  <si>
    <t>RE-Jkt Pondok Indah</t>
  </si>
  <si>
    <t>Jkt Pondok Indah</t>
  </si>
  <si>
    <t>+6281410392799</t>
  </si>
  <si>
    <t>3201371901970004</t>
  </si>
  <si>
    <t>800490</t>
  </si>
  <si>
    <t>UJIDARMAWAN</t>
  </si>
  <si>
    <t>Yudha swara dayan</t>
  </si>
  <si>
    <t>+6289512390547</t>
  </si>
  <si>
    <t>3276021610940014</t>
  </si>
  <si>
    <t>800489</t>
  </si>
  <si>
    <t>YUDHA SWARA DAYAN</t>
  </si>
  <si>
    <t>prabowopangestu</t>
  </si>
  <si>
    <t>1100019740619</t>
  </si>
  <si>
    <t>+6283844222848</t>
  </si>
  <si>
    <t>1571020902020042</t>
  </si>
  <si>
    <t>800488</t>
  </si>
  <si>
    <t>25051200381</t>
  </si>
  <si>
    <t>PRABOWO PANGESTU</t>
  </si>
  <si>
    <t xml:space="preserve">GILANG RAMADHAN PRATAMA </t>
  </si>
  <si>
    <t>1100019293866</t>
  </si>
  <si>
    <t>+6283833056647</t>
  </si>
  <si>
    <t>1571072710030121</t>
  </si>
  <si>
    <t>800486</t>
  </si>
  <si>
    <t>25051200340</t>
  </si>
  <si>
    <t>GILANG RAMADHAN PRATAMA</t>
  </si>
  <si>
    <t xml:space="preserve">AGUS TRIONO </t>
  </si>
  <si>
    <t>1100015015537</t>
  </si>
  <si>
    <t>+6282292515699</t>
  </si>
  <si>
    <t>1505062611990006</t>
  </si>
  <si>
    <t>800485</t>
  </si>
  <si>
    <t>25051200332</t>
  </si>
  <si>
    <t>AGUS TRIONO</t>
  </si>
  <si>
    <t>Rafly Faturrahman</t>
  </si>
  <si>
    <t>1490014978573</t>
  </si>
  <si>
    <t>+6285977854780</t>
  </si>
  <si>
    <t>6471020906020003</t>
  </si>
  <si>
    <t>800483</t>
  </si>
  <si>
    <t>25051200290</t>
  </si>
  <si>
    <t>RAFLY FATURRAHMAN</t>
  </si>
  <si>
    <t>Rizal Ardiansyah</t>
  </si>
  <si>
    <t>+6285821707030</t>
  </si>
  <si>
    <t>6471022310010002</t>
  </si>
  <si>
    <t>800482</t>
  </si>
  <si>
    <t>25051200282</t>
  </si>
  <si>
    <t>RIZAL ARDIANSYAH</t>
  </si>
  <si>
    <t xml:space="preserve">Nur Auliani Zakaria </t>
  </si>
  <si>
    <t>448001019946536</t>
  </si>
  <si>
    <t>+6281534062208</t>
  </si>
  <si>
    <t>6471026603950002</t>
  </si>
  <si>
    <t>800481</t>
  </si>
  <si>
    <t>25051199427</t>
  </si>
  <si>
    <t>NUR AULIANI ZAKARIA</t>
  </si>
  <si>
    <t>RAHMATAN</t>
  </si>
  <si>
    <t>0581967780</t>
  </si>
  <si>
    <t>+6285274173786</t>
  </si>
  <si>
    <t>3824</t>
  </si>
  <si>
    <t>1771060503970002</t>
  </si>
  <si>
    <t>800480</t>
  </si>
  <si>
    <t>25051200266</t>
  </si>
  <si>
    <t>Enggi Tomizan</t>
  </si>
  <si>
    <t>1790005057364</t>
  </si>
  <si>
    <t>RE-Bengkulu Meranti (Beban regional)</t>
  </si>
  <si>
    <t>+6282378947281</t>
  </si>
  <si>
    <t>1704080404980001</t>
  </si>
  <si>
    <t>800478</t>
  </si>
  <si>
    <t>25051200241</t>
  </si>
  <si>
    <t>ENGGI TOMIZAN</t>
  </si>
  <si>
    <t>Andri kartiko</t>
  </si>
  <si>
    <t>011501028755539</t>
  </si>
  <si>
    <t>+6282386356305</t>
  </si>
  <si>
    <t>1705052010060002</t>
  </si>
  <si>
    <t>800477</t>
  </si>
  <si>
    <t>25051200944</t>
  </si>
  <si>
    <t>ANDRI KARTIKO</t>
  </si>
  <si>
    <t>Danu</t>
  </si>
  <si>
    <t>0581962079</t>
  </si>
  <si>
    <t>+6283872454150</t>
  </si>
  <si>
    <t>1611022301970002</t>
  </si>
  <si>
    <t>800476</t>
  </si>
  <si>
    <t>25051200233</t>
  </si>
  <si>
    <t>DANU</t>
  </si>
  <si>
    <t>Alda unzani utari ningsih</t>
  </si>
  <si>
    <t>+6285654886561</t>
  </si>
  <si>
    <t>6471055501010002</t>
  </si>
  <si>
    <t>800474</t>
  </si>
  <si>
    <t>25051200217</t>
  </si>
  <si>
    <t>ALDA UNZANI UTARI NINGSIH</t>
  </si>
  <si>
    <t>Muhamad husni ramadhan</t>
  </si>
  <si>
    <t>RD-Tangerang Cikupa</t>
  </si>
  <si>
    <t>Tangerang Cikupa</t>
  </si>
  <si>
    <t>+62895412901850</t>
  </si>
  <si>
    <t>1571</t>
  </si>
  <si>
    <t>3603202403920003</t>
  </si>
  <si>
    <t>800473</t>
  </si>
  <si>
    <t>25051200209</t>
  </si>
  <si>
    <t>M. HUSNI RAMADHAN</t>
  </si>
  <si>
    <t>Ahmad Ghozali</t>
  </si>
  <si>
    <t>RD-Tangerang Cikupa (Beban regional)</t>
  </si>
  <si>
    <t>+6283153266472</t>
  </si>
  <si>
    <t>3673012308980002</t>
  </si>
  <si>
    <t>800470</t>
  </si>
  <si>
    <t>25051200175</t>
  </si>
  <si>
    <t>AHMAD GHOZALI</t>
  </si>
  <si>
    <t>ALDI MAULANA</t>
  </si>
  <si>
    <t>+62895373686988</t>
  </si>
  <si>
    <t>3276031504020001</t>
  </si>
  <si>
    <t>800469</t>
  </si>
  <si>
    <t>25051200167</t>
  </si>
  <si>
    <t>Hafidh Zalainus Sahrul A</t>
  </si>
  <si>
    <t>RD-Tangerang BSD City Mall (Beban regional)</t>
  </si>
  <si>
    <t>+6289619961371</t>
  </si>
  <si>
    <t>3674071803000001</t>
  </si>
  <si>
    <t>800467</t>
  </si>
  <si>
    <t>HAFIDH ZALAINUS SAHRUL AUSATH</t>
  </si>
  <si>
    <t>RIO ALFIANSYAH</t>
  </si>
  <si>
    <t>+6281288380865</t>
  </si>
  <si>
    <t>3201111409990002</t>
  </si>
  <si>
    <t>800466</t>
  </si>
  <si>
    <t>Amjah</t>
  </si>
  <si>
    <t>050901011051533</t>
  </si>
  <si>
    <t>+6289699423106</t>
  </si>
  <si>
    <t>3603220304910001</t>
  </si>
  <si>
    <t>800465</t>
  </si>
  <si>
    <t>AMJAH</t>
  </si>
  <si>
    <t>Diana Sinta</t>
  </si>
  <si>
    <t>080201078411534</t>
  </si>
  <si>
    <t>+6285819464061</t>
  </si>
  <si>
    <t>3201205208960010</t>
  </si>
  <si>
    <t>800464</t>
  </si>
  <si>
    <t>DIANA SINTA</t>
  </si>
  <si>
    <t xml:space="preserve">Dimas Kholil Shomada Arsa </t>
  </si>
  <si>
    <t>+628988473813</t>
  </si>
  <si>
    <t>3674062703990004</t>
  </si>
  <si>
    <t>800463</t>
  </si>
  <si>
    <t>DIMAS KHOLIL SHOMADA ARSA</t>
  </si>
  <si>
    <t>Rofik Hidayatulloh</t>
  </si>
  <si>
    <t>050901011050537</t>
  </si>
  <si>
    <t>+628812330810</t>
  </si>
  <si>
    <t>3674012810020003</t>
  </si>
  <si>
    <t>800462</t>
  </si>
  <si>
    <t>25051200118</t>
  </si>
  <si>
    <t>ROFIK HIDAYATULLOH</t>
  </si>
  <si>
    <t>TAUFIK HIDAYAT</t>
  </si>
  <si>
    <t>050901054780507</t>
  </si>
  <si>
    <t>+6289513817727</t>
  </si>
  <si>
    <t>3603222706890003</t>
  </si>
  <si>
    <t>800461</t>
  </si>
  <si>
    <t>AHMAD HAPIZOH</t>
  </si>
  <si>
    <t>1918801435</t>
  </si>
  <si>
    <t>+6282285622021</t>
  </si>
  <si>
    <t>2811</t>
  </si>
  <si>
    <t>1401040110970001</t>
  </si>
  <si>
    <t>800460</t>
  </si>
  <si>
    <t>25051200100</t>
  </si>
  <si>
    <t>Ahmad hapizoh</t>
  </si>
  <si>
    <t>GIOFANI</t>
  </si>
  <si>
    <t>+62895352160705</t>
  </si>
  <si>
    <t>1304030409980002</t>
  </si>
  <si>
    <t>800459</t>
  </si>
  <si>
    <t>25051200092</t>
  </si>
  <si>
    <t>Azzikri</t>
  </si>
  <si>
    <t>0343505709</t>
  </si>
  <si>
    <t>+6289627984043</t>
  </si>
  <si>
    <t>1471030804030001</t>
  </si>
  <si>
    <t>800458</t>
  </si>
  <si>
    <t>25051200084</t>
  </si>
  <si>
    <t>AZZIKRI</t>
  </si>
  <si>
    <t>RAHMAD HIDAYAT</t>
  </si>
  <si>
    <t>+6282283063465</t>
  </si>
  <si>
    <t>1371060105040005</t>
  </si>
  <si>
    <t>800457</t>
  </si>
  <si>
    <t>25051200076</t>
  </si>
  <si>
    <t>Muhammad Ilham MY</t>
  </si>
  <si>
    <t>0322658620</t>
  </si>
  <si>
    <t>+6283189254608</t>
  </si>
  <si>
    <t>1371112502020010</t>
  </si>
  <si>
    <t>800456</t>
  </si>
  <si>
    <t>25051201108</t>
  </si>
  <si>
    <t>MUHAMMAD ILHAM M.Y.</t>
  </si>
  <si>
    <t>YASMIN ZAHRA</t>
  </si>
  <si>
    <t>220801003404502</t>
  </si>
  <si>
    <t>+6282386692631</t>
  </si>
  <si>
    <t>1371024608980007</t>
  </si>
  <si>
    <t>800455</t>
  </si>
  <si>
    <t>25051199351</t>
  </si>
  <si>
    <t>TRI KOYO</t>
  </si>
  <si>
    <t>0373756242</t>
  </si>
  <si>
    <t>Yogya Sudirman</t>
  </si>
  <si>
    <t>+6281230544858</t>
  </si>
  <si>
    <t>3471031210800001</t>
  </si>
  <si>
    <t>800454</t>
  </si>
  <si>
    <t>Dwi Raharjo</t>
  </si>
  <si>
    <t>0373756234</t>
  </si>
  <si>
    <t>+6285729474483</t>
  </si>
  <si>
    <t>3404130602870002</t>
  </si>
  <si>
    <t>800453</t>
  </si>
  <si>
    <t>25051200068</t>
  </si>
  <si>
    <t>DWI RAHARJO</t>
  </si>
  <si>
    <t>Jumadiono</t>
  </si>
  <si>
    <t>0373755971</t>
  </si>
  <si>
    <t>+6283146718659</t>
  </si>
  <si>
    <t>3402143001840001</t>
  </si>
  <si>
    <t>800452</t>
  </si>
  <si>
    <t>25051200050</t>
  </si>
  <si>
    <t>JUMADIONO</t>
  </si>
  <si>
    <t xml:space="preserve">Sumadi </t>
  </si>
  <si>
    <t>0373756617</t>
  </si>
  <si>
    <t>+6287739203221</t>
  </si>
  <si>
    <t>3402141208850001</t>
  </si>
  <si>
    <t>800451</t>
  </si>
  <si>
    <t>25051200043</t>
  </si>
  <si>
    <t>SUMADI</t>
  </si>
  <si>
    <t>Suprihatin</t>
  </si>
  <si>
    <t>0374033197</t>
  </si>
  <si>
    <t>+6289673899990</t>
  </si>
  <si>
    <t>3402052602910001</t>
  </si>
  <si>
    <t>800449</t>
  </si>
  <si>
    <t>25051200027</t>
  </si>
  <si>
    <t>SUPRIHATIN</t>
  </si>
  <si>
    <t>HARTONO</t>
  </si>
  <si>
    <t>0600701444</t>
  </si>
  <si>
    <t>+62895392532866</t>
  </si>
  <si>
    <t>5528</t>
  </si>
  <si>
    <t>3404062702960006</t>
  </si>
  <si>
    <t>800448</t>
  </si>
  <si>
    <t>AHMAD SULAIMAN ISLAMUDIN</t>
  </si>
  <si>
    <t>RC-Solo Slamet Riyadi (Beban regional)</t>
  </si>
  <si>
    <t>+6282182876114</t>
  </si>
  <si>
    <t>57151</t>
  </si>
  <si>
    <t>3311101212970003</t>
  </si>
  <si>
    <t>800447</t>
  </si>
  <si>
    <t>ENDRIANTO PURWA LEGAWA</t>
  </si>
  <si>
    <t>+6281232769669</t>
  </si>
  <si>
    <t>3313090308000001</t>
  </si>
  <si>
    <t>800446</t>
  </si>
  <si>
    <t>25051200019</t>
  </si>
  <si>
    <t>Sa'adi tri leksono</t>
  </si>
  <si>
    <t>+6282242110126</t>
  </si>
  <si>
    <t>3317071011910004</t>
  </si>
  <si>
    <t>800445</t>
  </si>
  <si>
    <t>25051200001</t>
  </si>
  <si>
    <t>SA'ADI TRI LEKSONO</t>
  </si>
  <si>
    <t>UKHIK ALANTARICSYAH</t>
  </si>
  <si>
    <t>0154155216</t>
  </si>
  <si>
    <t>+6281227146868</t>
  </si>
  <si>
    <t>3311101407980002</t>
  </si>
  <si>
    <t>800444</t>
  </si>
  <si>
    <t>25051199997</t>
  </si>
  <si>
    <t>Sukidi</t>
  </si>
  <si>
    <t>+6287836348359</t>
  </si>
  <si>
    <t>3372020606810002</t>
  </si>
  <si>
    <t>800443</t>
  </si>
  <si>
    <t>25051199989</t>
  </si>
  <si>
    <t>SUKIDI</t>
  </si>
  <si>
    <t>ARIS PURWANTO</t>
  </si>
  <si>
    <t>0152404164</t>
  </si>
  <si>
    <t>+6285728137531</t>
  </si>
  <si>
    <t>3313110702900001</t>
  </si>
  <si>
    <t>800442</t>
  </si>
  <si>
    <t>25051199971</t>
  </si>
  <si>
    <t xml:space="preserve">Masduki </t>
  </si>
  <si>
    <t>1180010422284</t>
  </si>
  <si>
    <t>RC-Semarang Majapahit</t>
  </si>
  <si>
    <t>+6285701052515</t>
  </si>
  <si>
    <t>3374061308830011</t>
  </si>
  <si>
    <t>800441</t>
  </si>
  <si>
    <t>25051199963</t>
  </si>
  <si>
    <t>Soon to be Gramedia Semarang Majapahit</t>
  </si>
  <si>
    <t>MASDUKI</t>
  </si>
  <si>
    <t>Dimas Alif Widayanto</t>
  </si>
  <si>
    <t>1180010397007</t>
  </si>
  <si>
    <t>+6285726627222</t>
  </si>
  <si>
    <t>3374081210910003</t>
  </si>
  <si>
    <t>800439</t>
  </si>
  <si>
    <t>25051199948</t>
  </si>
  <si>
    <t>DIMAS ALIF WIDAYANTO</t>
  </si>
  <si>
    <t xml:space="preserve">Sugeng Riyanto </t>
  </si>
  <si>
    <t>1180010422334</t>
  </si>
  <si>
    <t>RC-Setiabudi Semarang</t>
  </si>
  <si>
    <t>+6285743551000</t>
  </si>
  <si>
    <t>3374112409760004</t>
  </si>
  <si>
    <t>800438</t>
  </si>
  <si>
    <t>25051199930</t>
  </si>
  <si>
    <t>Soon to be Gramedia Semarang Setia Budi</t>
  </si>
  <si>
    <t>SUGENG RIYANTO</t>
  </si>
  <si>
    <t>Ilham Gusti Akbar</t>
  </si>
  <si>
    <t>+628818613050</t>
  </si>
  <si>
    <t>3374061810970006</t>
  </si>
  <si>
    <t>800437</t>
  </si>
  <si>
    <t>25051199922</t>
  </si>
  <si>
    <t>ILHAM GUSTI AKBAR</t>
  </si>
  <si>
    <t>Hery Santoso</t>
  </si>
  <si>
    <t>+6285520758638</t>
  </si>
  <si>
    <t>3321021703990001</t>
  </si>
  <si>
    <t>800435</t>
  </si>
  <si>
    <t>25051199898</t>
  </si>
  <si>
    <t>HERY SANTOSO</t>
  </si>
  <si>
    <t>Rudi kastoro</t>
  </si>
  <si>
    <t>1180010396983</t>
  </si>
  <si>
    <t>+62895424462573</t>
  </si>
  <si>
    <t>3374092809920001</t>
  </si>
  <si>
    <t>800434</t>
  </si>
  <si>
    <t>25051199864</t>
  </si>
  <si>
    <t>RUDI KASTORO</t>
  </si>
  <si>
    <t xml:space="preserve">Teja Abdila Majid </t>
  </si>
  <si>
    <t>4620728794</t>
  </si>
  <si>
    <t>085171710531</t>
  </si>
  <si>
    <t>General Service Supervisor</t>
  </si>
  <si>
    <t>Outsourcing Petugas Pemeliharaan Gedung</t>
  </si>
  <si>
    <t>3374043101000003</t>
  </si>
  <si>
    <t>800433</t>
  </si>
  <si>
    <t>25051199856</t>
  </si>
  <si>
    <t>Bulan depan tambah gp sebesar 350000 (Tetap) dan 750000 (Desember - Juli)</t>
  </si>
  <si>
    <t>Chek apakah iuran BPJS perlu dirubah atau tidak</t>
  </si>
  <si>
    <t>TEJA ABDILA MAJID</t>
  </si>
  <si>
    <t>ADIYO</t>
  </si>
  <si>
    <t>068401028235502</t>
  </si>
  <si>
    <t>RC-Purwokerto Rita</t>
  </si>
  <si>
    <t>Purwokerto Rita</t>
  </si>
  <si>
    <t>+6288802993550</t>
  </si>
  <si>
    <t>5311</t>
  </si>
  <si>
    <t>3302272005860005</t>
  </si>
  <si>
    <t>800432</t>
  </si>
  <si>
    <t>25051199773</t>
  </si>
  <si>
    <t>Mahadi</t>
  </si>
  <si>
    <t>3741186487</t>
  </si>
  <si>
    <t>RC-Cirebon Cipto (Beban regional)</t>
  </si>
  <si>
    <t>+628981800028</t>
  </si>
  <si>
    <t>3209352812980002</t>
  </si>
  <si>
    <t>800431</t>
  </si>
  <si>
    <t>25051199765</t>
  </si>
  <si>
    <t>MAHADI</t>
  </si>
  <si>
    <t>Sigit</t>
  </si>
  <si>
    <t>413501024594537</t>
  </si>
  <si>
    <t>+6281232652968</t>
  </si>
  <si>
    <t>3209201812040002</t>
  </si>
  <si>
    <t>800430</t>
  </si>
  <si>
    <t>25051199757</t>
  </si>
  <si>
    <t>SIGIT</t>
  </si>
  <si>
    <t>Gunawan</t>
  </si>
  <si>
    <t>3741095902</t>
  </si>
  <si>
    <t>+6289677461301</t>
  </si>
  <si>
    <t>3209202410980008</t>
  </si>
  <si>
    <t>800429</t>
  </si>
  <si>
    <t>25051199740</t>
  </si>
  <si>
    <t>GUNAWAN</t>
  </si>
  <si>
    <t>Wartono</t>
  </si>
  <si>
    <t>413301023344533</t>
  </si>
  <si>
    <t>+6283893697764</t>
  </si>
  <si>
    <t>3209221604960005</t>
  </si>
  <si>
    <t>800428</t>
  </si>
  <si>
    <t>25051199732</t>
  </si>
  <si>
    <t>WARTONO</t>
  </si>
  <si>
    <t xml:space="preserve">RIFKIH SAPUTRA </t>
  </si>
  <si>
    <t>1340027508760</t>
  </si>
  <si>
    <t>+6285318452415</t>
  </si>
  <si>
    <t>3209081702990004</t>
  </si>
  <si>
    <t>800427</t>
  </si>
  <si>
    <t>25051199724</t>
  </si>
  <si>
    <t>RIFKIH SAPUTRA</t>
  </si>
  <si>
    <t xml:space="preserve">Agung hermanto </t>
  </si>
  <si>
    <t>068401028222509</t>
  </si>
  <si>
    <t>+62881023544888</t>
  </si>
  <si>
    <t>3209192001870004</t>
  </si>
  <si>
    <t>800426</t>
  </si>
  <si>
    <t>AGUNG HERMANTO</t>
  </si>
  <si>
    <t>MUHIBUDDIN</t>
  </si>
  <si>
    <t>1340030316250</t>
  </si>
  <si>
    <t>+6289501041456</t>
  </si>
  <si>
    <t>3209221008960004</t>
  </si>
  <si>
    <t>800425</t>
  </si>
  <si>
    <t>MURDINI</t>
  </si>
  <si>
    <t>Banjarmasin Veteran</t>
  </si>
  <si>
    <t>+6285350620775</t>
  </si>
  <si>
    <t>7023</t>
  </si>
  <si>
    <t>6303141712880001</t>
  </si>
  <si>
    <t>800424</t>
  </si>
  <si>
    <t>FAZRIYANOR</t>
  </si>
  <si>
    <t>0512655384</t>
  </si>
  <si>
    <t>+6285248163103</t>
  </si>
  <si>
    <t>6304041108920001</t>
  </si>
  <si>
    <t>800423</t>
  </si>
  <si>
    <t>M ABD WAHID</t>
  </si>
  <si>
    <t>0512356468</t>
  </si>
  <si>
    <t>+6289691400250</t>
  </si>
  <si>
    <t>6371032810990005</t>
  </si>
  <si>
    <t>800422</t>
  </si>
  <si>
    <t>Diki Abdullah</t>
  </si>
  <si>
    <t>1650933202</t>
  </si>
  <si>
    <t>+6281384865330</t>
  </si>
  <si>
    <t>3175082512970006</t>
  </si>
  <si>
    <t>800421</t>
  </si>
  <si>
    <t>DIKI ABDULLAH</t>
  </si>
  <si>
    <t xml:space="preserve">Slamet karjono </t>
  </si>
  <si>
    <t>1180013722102</t>
  </si>
  <si>
    <t>+6287876104112</t>
  </si>
  <si>
    <t>3316081603910002</t>
  </si>
  <si>
    <t>800420</t>
  </si>
  <si>
    <t>SLAMET KARJONO</t>
  </si>
  <si>
    <t xml:space="preserve">Achmad Subhan </t>
  </si>
  <si>
    <t>7265177087</t>
  </si>
  <si>
    <t>+6287812003349</t>
  </si>
  <si>
    <t>3171060806800002</t>
  </si>
  <si>
    <t>800419</t>
  </si>
  <si>
    <t>ACHMAD SUBHAN</t>
  </si>
  <si>
    <t>Upid</t>
  </si>
  <si>
    <t>322301016956533</t>
  </si>
  <si>
    <t>+6285882147164</t>
  </si>
  <si>
    <t>3212282405890001</t>
  </si>
  <si>
    <t>800418</t>
  </si>
  <si>
    <t>UPID</t>
  </si>
  <si>
    <t xml:space="preserve">SAEPULOH </t>
  </si>
  <si>
    <t>174801000173539</t>
  </si>
  <si>
    <t>+6285797134522</t>
  </si>
  <si>
    <t>3279042507910001</t>
  </si>
  <si>
    <t>800417</t>
  </si>
  <si>
    <t>SAEPULOH</t>
  </si>
  <si>
    <t xml:space="preserve">Yuni oktaviani </t>
  </si>
  <si>
    <t>33420782721</t>
  </si>
  <si>
    <t>+6285715042578</t>
  </si>
  <si>
    <t>3601295006970002</t>
  </si>
  <si>
    <t>800416</t>
  </si>
  <si>
    <t>YUNI OKTAVIANI</t>
  </si>
  <si>
    <t>Aditya Syah Putra</t>
  </si>
  <si>
    <t>322301016959531</t>
  </si>
  <si>
    <t>+6281293007190</t>
  </si>
  <si>
    <t>3172020101950006</t>
  </si>
  <si>
    <t>800413</t>
  </si>
  <si>
    <t>ADITYA SYAH PUTRA</t>
  </si>
  <si>
    <t>selpi hendra</t>
  </si>
  <si>
    <t>+6285888833072</t>
  </si>
  <si>
    <t>3174021303890002</t>
  </si>
  <si>
    <t>800411</t>
  </si>
  <si>
    <t>SELPI HENDRA</t>
  </si>
  <si>
    <t>Usep arisman</t>
  </si>
  <si>
    <t>3420792696</t>
  </si>
  <si>
    <t>+6287771236235</t>
  </si>
  <si>
    <t>3202331001940009</t>
  </si>
  <si>
    <t>800409</t>
  </si>
  <si>
    <t>USEP ARISMAN</t>
  </si>
  <si>
    <t>Feri fedriawan</t>
  </si>
  <si>
    <t>322301016957539</t>
  </si>
  <si>
    <t>+6282112397601</t>
  </si>
  <si>
    <t>3201400809870006</t>
  </si>
  <si>
    <t>800408</t>
  </si>
  <si>
    <t>FERI FEDRIAWAN</t>
  </si>
  <si>
    <t>Anton Rahmat</t>
  </si>
  <si>
    <t>RB-Jkt Grand Indonesia Mall</t>
  </si>
  <si>
    <t>Jkt Grand Indonesia Mall</t>
  </si>
  <si>
    <t>+6289619171488</t>
  </si>
  <si>
    <t>1287</t>
  </si>
  <si>
    <t>3674030705850012</t>
  </si>
  <si>
    <t>800407</t>
  </si>
  <si>
    <t>25051199666</t>
  </si>
  <si>
    <t>ANTON RAHMAT</t>
  </si>
  <si>
    <t>Ikhwan</t>
  </si>
  <si>
    <t>498801011858537</t>
  </si>
  <si>
    <t>RB-GR Makasar Pettarani</t>
  </si>
  <si>
    <t>GR Makasar Pettarani</t>
  </si>
  <si>
    <t>+6285345599090</t>
  </si>
  <si>
    <t>7371060203910005</t>
  </si>
  <si>
    <t>800406</t>
  </si>
  <si>
    <t>25051199658</t>
  </si>
  <si>
    <t>IKHWAN. S</t>
  </si>
  <si>
    <t xml:space="preserve">RAMLI </t>
  </si>
  <si>
    <t>470301015655533</t>
  </si>
  <si>
    <t>Mataram Pejanggik</t>
  </si>
  <si>
    <t>+6287865643631</t>
  </si>
  <si>
    <t>83127</t>
  </si>
  <si>
    <t>5202020202950008</t>
  </si>
  <si>
    <t>800405</t>
  </si>
  <si>
    <t>25051199641</t>
  </si>
  <si>
    <t>RAMLI</t>
  </si>
  <si>
    <t>ADRI ADRIAN</t>
  </si>
  <si>
    <t>005201212115501</t>
  </si>
  <si>
    <t>+6281352614996</t>
  </si>
  <si>
    <t>5201092512960002</t>
  </si>
  <si>
    <t>800404</t>
  </si>
  <si>
    <t>25051199633</t>
  </si>
  <si>
    <t>HERMAN SYAHRONI</t>
  </si>
  <si>
    <t>357001018553532</t>
  </si>
  <si>
    <t>+6281236567827</t>
  </si>
  <si>
    <t>5271050901960002</t>
  </si>
  <si>
    <t>800403</t>
  </si>
  <si>
    <t>25051199625</t>
  </si>
  <si>
    <t>Amir hamzah</t>
  </si>
  <si>
    <t>0561660076</t>
  </si>
  <si>
    <t>RA-Mataram Pejanggik (Beban regional)</t>
  </si>
  <si>
    <t>+6282339677732</t>
  </si>
  <si>
    <t>5271012408970002</t>
  </si>
  <si>
    <t>800402</t>
  </si>
  <si>
    <t>25051199617</t>
  </si>
  <si>
    <t>AMIR HAMZAH</t>
  </si>
  <si>
    <t>JAGGAT SOPAN SOPIAN</t>
  </si>
  <si>
    <t>357001018365531</t>
  </si>
  <si>
    <t>+6287851058270</t>
  </si>
  <si>
    <t>5271021307930004</t>
  </si>
  <si>
    <t>800401</t>
  </si>
  <si>
    <t>25051199609</t>
  </si>
  <si>
    <t>RISKI MAULANA</t>
  </si>
  <si>
    <t>+6285961482895</t>
  </si>
  <si>
    <t>5271023105030001</t>
  </si>
  <si>
    <t>800400</t>
  </si>
  <si>
    <t>25051199591</t>
  </si>
  <si>
    <t>AHMAD FAISAL</t>
  </si>
  <si>
    <t>+6285881028931</t>
  </si>
  <si>
    <t>3271042507960002</t>
  </si>
  <si>
    <t>800399</t>
  </si>
  <si>
    <t>25051199583</t>
  </si>
  <si>
    <t>Sopiyan sauri</t>
  </si>
  <si>
    <t>+6281574443742</t>
  </si>
  <si>
    <t>3271021202980003</t>
  </si>
  <si>
    <t>800398</t>
  </si>
  <si>
    <t>25051199575</t>
  </si>
  <si>
    <t>SYAIFUL ANWAR</t>
  </si>
  <si>
    <t>+628975935421</t>
  </si>
  <si>
    <t>3201130603950011</t>
  </si>
  <si>
    <t>800397</t>
  </si>
  <si>
    <t>25051199567</t>
  </si>
  <si>
    <t>SUPRIYANTO</t>
  </si>
  <si>
    <t>1290012746786</t>
  </si>
  <si>
    <t>+6288211786197</t>
  </si>
  <si>
    <t>3309162607969001</t>
  </si>
  <si>
    <t>800396</t>
  </si>
  <si>
    <t>25051199559</t>
  </si>
  <si>
    <t>AHMAD MAULANA</t>
  </si>
  <si>
    <t>1290012746893</t>
  </si>
  <si>
    <t>+6285775128750</t>
  </si>
  <si>
    <t>3174092504850013</t>
  </si>
  <si>
    <t>800395</t>
  </si>
  <si>
    <t>25051199542</t>
  </si>
  <si>
    <t>RUSLI SELLA</t>
  </si>
  <si>
    <t>1570009729808</t>
  </si>
  <si>
    <t>+6289508363001</t>
  </si>
  <si>
    <t>3201370709900001</t>
  </si>
  <si>
    <t>800394</t>
  </si>
  <si>
    <t>25051199534</t>
  </si>
  <si>
    <t>USEP SYAEFUL BAKHTIAR</t>
  </si>
  <si>
    <t>+6289509201048</t>
  </si>
  <si>
    <t>3211172909930005</t>
  </si>
  <si>
    <t>800393</t>
  </si>
  <si>
    <t>25051199526</t>
  </si>
  <si>
    <t>Handika Pramudia</t>
  </si>
  <si>
    <t>+6289638084639</t>
  </si>
  <si>
    <t>3173071108980001</t>
  </si>
  <si>
    <t>800392</t>
  </si>
  <si>
    <t>1 Juni 2025</t>
  </si>
  <si>
    <t>HANDIKA PRAMUDIA</t>
  </si>
  <si>
    <t>rico tomana</t>
  </si>
  <si>
    <t>001901051086509</t>
  </si>
  <si>
    <t>+6289661068389</t>
  </si>
  <si>
    <t>Kordinator Cleaning Services</t>
  </si>
  <si>
    <t>3216062206700004</t>
  </si>
  <si>
    <t>Rico Tomana</t>
  </si>
  <si>
    <t>I'I ISTI IQOMAH</t>
  </si>
  <si>
    <t>+6287701043585</t>
  </si>
  <si>
    <t>DATA ENTRY CLERK</t>
  </si>
  <si>
    <t>3327066502990002</t>
  </si>
  <si>
    <t>800388</t>
  </si>
  <si>
    <t xml:space="preserve"> </t>
  </si>
  <si>
    <t>Yohan Bahar Partogi</t>
  </si>
  <si>
    <t>Online Gramedia.com</t>
  </si>
  <si>
    <t>+6287709868191</t>
  </si>
  <si>
    <t>3275051006990020</t>
  </si>
  <si>
    <t>800387</t>
  </si>
  <si>
    <t>YOHAN BAHAR PARTOGI</t>
  </si>
  <si>
    <t>Purwanto</t>
  </si>
  <si>
    <t>9000009216806</t>
  </si>
  <si>
    <t>+6281230022434</t>
  </si>
  <si>
    <t>3175062204760022</t>
  </si>
  <si>
    <t>800386</t>
  </si>
  <si>
    <t>Bulan Depan Tambahkan 2900</t>
  </si>
  <si>
    <t>PURWANTO</t>
  </si>
  <si>
    <t>ARIS PERMANA</t>
  </si>
  <si>
    <t>+6282359204489</t>
  </si>
  <si>
    <t>3206102006940001</t>
  </si>
  <si>
    <t>800385</t>
  </si>
  <si>
    <t>AZRIEL BERIS FUJA ALAM</t>
  </si>
  <si>
    <t>+6281285539387</t>
  </si>
  <si>
    <t>3275122709010003</t>
  </si>
  <si>
    <t>800384</t>
  </si>
  <si>
    <t>Rizki afrizal</t>
  </si>
  <si>
    <t>8710195308</t>
  </si>
  <si>
    <t>+6289606756881</t>
  </si>
  <si>
    <t>3175020604880002</t>
  </si>
  <si>
    <t>800383</t>
  </si>
  <si>
    <t>RIZKI AFRIZAL</t>
  </si>
  <si>
    <t>muhamad irfan s</t>
  </si>
  <si>
    <t>1250014242507</t>
  </si>
  <si>
    <t>+6282211739112</t>
  </si>
  <si>
    <t>Packer</t>
  </si>
  <si>
    <t>3174012606920006</t>
  </si>
  <si>
    <t>800382</t>
  </si>
  <si>
    <t>MUHAMAD IRFAN S</t>
  </si>
  <si>
    <t>LUTFI HAKIM</t>
  </si>
  <si>
    <t>0120302311</t>
  </si>
  <si>
    <t>+6281281805392</t>
  </si>
  <si>
    <t>3325082003920001</t>
  </si>
  <si>
    <t>800381</t>
  </si>
  <si>
    <t>Fakhri Najib</t>
  </si>
  <si>
    <t>+6287796237509</t>
  </si>
  <si>
    <t>Marketing</t>
  </si>
  <si>
    <t>3175022308990006</t>
  </si>
  <si>
    <t>800380</t>
  </si>
  <si>
    <t>FAKHRI NAJIB ARANI PERMANA</t>
  </si>
  <si>
    <t>Rozi suhendra</t>
  </si>
  <si>
    <t>9000009216830</t>
  </si>
  <si>
    <t>+6289501062503</t>
  </si>
  <si>
    <t>3175061008900008</t>
  </si>
  <si>
    <t>800379</t>
  </si>
  <si>
    <t>ROZI SUHENDRA</t>
  </si>
  <si>
    <t>RAHMAT HIDAYAT</t>
  </si>
  <si>
    <t>1250013682117</t>
  </si>
  <si>
    <t>+6289505699670</t>
  </si>
  <si>
    <t>Picker</t>
  </si>
  <si>
    <t>3172041209940003</t>
  </si>
  <si>
    <t>800378</t>
  </si>
  <si>
    <t>AL ASFANI</t>
  </si>
  <si>
    <t>+6289523751150</t>
  </si>
  <si>
    <t>3172041903990007</t>
  </si>
  <si>
    <t>800377</t>
  </si>
  <si>
    <t>ANGGAH SUWITO</t>
  </si>
  <si>
    <t>0920025668</t>
  </si>
  <si>
    <t>+6285819334362</t>
  </si>
  <si>
    <t>3174011911960003</t>
  </si>
  <si>
    <t>800376</t>
  </si>
  <si>
    <t>Dwinda Zahrani</t>
  </si>
  <si>
    <t>+6287800020498</t>
  </si>
  <si>
    <t>3174015309970008</t>
  </si>
  <si>
    <t>800375</t>
  </si>
  <si>
    <t>DWINDA ZAHRANI</t>
  </si>
  <si>
    <t>ABI YAZID ALBUSTHOMI</t>
  </si>
  <si>
    <t>+62895401023600</t>
  </si>
  <si>
    <t>3172040403981001</t>
  </si>
  <si>
    <t>800374</t>
  </si>
  <si>
    <t>Teguh Ardiansyah</t>
  </si>
  <si>
    <t>+6285695123992</t>
  </si>
  <si>
    <t xml:space="preserve">Picker </t>
  </si>
  <si>
    <t>3172042702920003</t>
  </si>
  <si>
    <t>800373</t>
  </si>
  <si>
    <t>TEGUH ARDIANSYAH</t>
  </si>
  <si>
    <t xml:space="preserve">H Fauzan </t>
  </si>
  <si>
    <t>9000024989700</t>
  </si>
  <si>
    <t>+6285770018217</t>
  </si>
  <si>
    <t>3175061201790002</t>
  </si>
  <si>
    <t>800372</t>
  </si>
  <si>
    <t>H FAUZAN</t>
  </si>
  <si>
    <t>Syajarotun Toyyibah</t>
  </si>
  <si>
    <t>+6281401693805</t>
  </si>
  <si>
    <t>3171074110010005</t>
  </si>
  <si>
    <t>800371</t>
  </si>
  <si>
    <t>SYAJAROTUN TOYYIBAH</t>
  </si>
  <si>
    <t>Ega goemaja yudistia</t>
  </si>
  <si>
    <t>+6282133111895</t>
  </si>
  <si>
    <t>3175013107940001</t>
  </si>
  <si>
    <t>800370</t>
  </si>
  <si>
    <t>EGA GOEMAJA YUDISTIA</t>
  </si>
  <si>
    <t>CANDRA A, SETIA</t>
  </si>
  <si>
    <t>+6287711101065</t>
  </si>
  <si>
    <t>3172041108930004</t>
  </si>
  <si>
    <t>800369</t>
  </si>
  <si>
    <t>ALDY MAULANA</t>
  </si>
  <si>
    <t>+6281384597159</t>
  </si>
  <si>
    <t>3174081308980001</t>
  </si>
  <si>
    <t>800368</t>
  </si>
  <si>
    <t>Renaldo Julio maramis</t>
  </si>
  <si>
    <t>+6281317863292</t>
  </si>
  <si>
    <t>7106022907940002</t>
  </si>
  <si>
    <t>800367</t>
  </si>
  <si>
    <t>RENALDO JULIO MARAMIS</t>
  </si>
  <si>
    <t xml:space="preserve">Sulaiman </t>
  </si>
  <si>
    <t>+6289673979502</t>
  </si>
  <si>
    <t>3172041402960008</t>
  </si>
  <si>
    <t>800366</t>
  </si>
  <si>
    <t>SULAIMAN</t>
  </si>
  <si>
    <t xml:space="preserve">Zil mutaqin </t>
  </si>
  <si>
    <t>0120325191</t>
  </si>
  <si>
    <t>+6281280112869</t>
  </si>
  <si>
    <t>3172040704910003</t>
  </si>
  <si>
    <t>800365</t>
  </si>
  <si>
    <t>ZIL MUTAQIN</t>
  </si>
  <si>
    <t>Fahrul Roji</t>
  </si>
  <si>
    <t>+6283808165423</t>
  </si>
  <si>
    <t>3174021606960001</t>
  </si>
  <si>
    <t>800364</t>
  </si>
  <si>
    <t>FAHRUL RODJI</t>
  </si>
  <si>
    <t>WIKE APRIANI</t>
  </si>
  <si>
    <t>+6288211856926</t>
  </si>
  <si>
    <t>3671135104890005</t>
  </si>
  <si>
    <t>800362</t>
  </si>
  <si>
    <t>SYAPRUDDIN</t>
  </si>
  <si>
    <t>+6285780053978</t>
  </si>
  <si>
    <t>3175032506960004</t>
  </si>
  <si>
    <t>800361</t>
  </si>
  <si>
    <t>HIKMATUNNISA</t>
  </si>
  <si>
    <t>+6281584665532</t>
  </si>
  <si>
    <t>3172046008940008</t>
  </si>
  <si>
    <t>800360</t>
  </si>
  <si>
    <t>SUCI SUSILOWATI</t>
  </si>
  <si>
    <t>+6289514786507</t>
  </si>
  <si>
    <t>3175086807940001</t>
  </si>
  <si>
    <t>800359</t>
  </si>
  <si>
    <t>Afrijul Ghauts</t>
  </si>
  <si>
    <t>Jkt Gramedia GTC</t>
  </si>
  <si>
    <t>+6285778866627</t>
  </si>
  <si>
    <t>3172040809980011</t>
  </si>
  <si>
    <t>800357</t>
  </si>
  <si>
    <t>AFRIJUL GHAUTS</t>
  </si>
  <si>
    <t>Hazizah</t>
  </si>
  <si>
    <t>079901063262531</t>
  </si>
  <si>
    <t>+6281574701630</t>
  </si>
  <si>
    <t>3216020302030011</t>
  </si>
  <si>
    <t>800356</t>
  </si>
  <si>
    <t>FAHRIYAN SYAH</t>
  </si>
  <si>
    <t>Alif Rafi Putra Buanata</t>
  </si>
  <si>
    <t>+6282327361847</t>
  </si>
  <si>
    <t>3175052903010001</t>
  </si>
  <si>
    <t>800355</t>
  </si>
  <si>
    <t>25051199492</t>
  </si>
  <si>
    <t>ALIF RAFI PUTRA BUANATA</t>
  </si>
  <si>
    <t>Maimunah</t>
  </si>
  <si>
    <t>1020010716857</t>
  </si>
  <si>
    <t>+6287883997485</t>
  </si>
  <si>
    <t>3174050711790010</t>
  </si>
  <si>
    <t>800354</t>
  </si>
  <si>
    <t>ACHMAD SOFIAN HADI</t>
  </si>
  <si>
    <t xml:space="preserve">Yahdi kumullah </t>
  </si>
  <si>
    <t>+6281574870094</t>
  </si>
  <si>
    <t>3216022603020003</t>
  </si>
  <si>
    <t>800353</t>
  </si>
  <si>
    <t>YAHDI KUMULLAH</t>
  </si>
  <si>
    <t>EGI AGISTA ADHARI</t>
  </si>
  <si>
    <t>1030011967755</t>
  </si>
  <si>
    <t>+6288210401310</t>
  </si>
  <si>
    <t>3604212101050002</t>
  </si>
  <si>
    <t>800352</t>
  </si>
  <si>
    <t>25051199484</t>
  </si>
  <si>
    <t>STEVANUS TJAHJADI</t>
  </si>
  <si>
    <t>+6285281126953</t>
  </si>
  <si>
    <t>3171032304830012</t>
  </si>
  <si>
    <t>800351</t>
  </si>
  <si>
    <t>25051199476</t>
  </si>
  <si>
    <t>ENGKOS KOSASIH</t>
  </si>
  <si>
    <t>+6285942057297</t>
  </si>
  <si>
    <t>3602080401920005</t>
  </si>
  <si>
    <t>800350</t>
  </si>
  <si>
    <t>Junaidi</t>
  </si>
  <si>
    <t>+6285695873419</t>
  </si>
  <si>
    <t>3216012709900007</t>
  </si>
  <si>
    <t>800349</t>
  </si>
  <si>
    <t>25051199468</t>
  </si>
  <si>
    <t>JUNAIDI</t>
  </si>
  <si>
    <t>MUADZIN</t>
  </si>
  <si>
    <t>+6283808614929</t>
  </si>
  <si>
    <t>3172041509930008</t>
  </si>
  <si>
    <t>800348</t>
  </si>
  <si>
    <t>25051199450</t>
  </si>
  <si>
    <t xml:space="preserve">SUPRIYADI </t>
  </si>
  <si>
    <t>+6287770412872</t>
  </si>
  <si>
    <t>3175062606840013</t>
  </si>
  <si>
    <t>800347</t>
  </si>
  <si>
    <t>25051199443</t>
  </si>
  <si>
    <t>INTAN DWI LESTARI</t>
  </si>
  <si>
    <t>+6289667817527</t>
  </si>
  <si>
    <t>3275120511850007</t>
  </si>
  <si>
    <t>800346</t>
  </si>
  <si>
    <t>25051201090</t>
  </si>
  <si>
    <t>ELIH</t>
  </si>
  <si>
    <t>Abdullah Nashirudin Kamil</t>
  </si>
  <si>
    <t>+6281255071444</t>
  </si>
  <si>
    <t>3204321007990009</t>
  </si>
  <si>
    <t>800345</t>
  </si>
  <si>
    <t>25051201082</t>
  </si>
  <si>
    <t>ABDULLAH NASHIRUDIN KAMIL</t>
  </si>
  <si>
    <t>MUHAMAD SAFI IH</t>
  </si>
  <si>
    <t>1670003626875</t>
  </si>
  <si>
    <t>+6287867627697</t>
  </si>
  <si>
    <t>3175072104930009</t>
  </si>
  <si>
    <t>800344</t>
  </si>
  <si>
    <t>25051201074</t>
  </si>
  <si>
    <t>Ahmad Toha</t>
  </si>
  <si>
    <t>+6281214810715</t>
  </si>
  <si>
    <t>3209340305950001</t>
  </si>
  <si>
    <t>800343</t>
  </si>
  <si>
    <t>AHMAD TOHA</t>
  </si>
  <si>
    <t>Fajar muhtar</t>
  </si>
  <si>
    <t>+6289686776667</t>
  </si>
  <si>
    <t>3275092912950019</t>
  </si>
  <si>
    <t>800342</t>
  </si>
  <si>
    <t>25051201066</t>
  </si>
  <si>
    <t>FAJAR MUHTAR</t>
  </si>
  <si>
    <t>MUHAMAD YUSUF</t>
  </si>
  <si>
    <t>+6281513535100</t>
  </si>
  <si>
    <t>3216011309970002</t>
  </si>
  <si>
    <t>800341</t>
  </si>
  <si>
    <t>Ardi sutrisno wibowo</t>
  </si>
  <si>
    <t>1250007861834</t>
  </si>
  <si>
    <t>+6287882418867</t>
  </si>
  <si>
    <t>3275032306820027</t>
  </si>
  <si>
    <t>800340</t>
  </si>
  <si>
    <t>25051201058</t>
  </si>
  <si>
    <t>ARDI SUTRISNO WIBOWO</t>
  </si>
  <si>
    <t>Maulana Yusuf</t>
  </si>
  <si>
    <t>+6281563570687</t>
  </si>
  <si>
    <t>3173051101790011</t>
  </si>
  <si>
    <t>800339</t>
  </si>
  <si>
    <t>25051201041</t>
  </si>
  <si>
    <t>MAULANA YUSUF</t>
  </si>
  <si>
    <t xml:space="preserve">Ade kurniallah </t>
  </si>
  <si>
    <t>+6281323784593</t>
  </si>
  <si>
    <t>3172041705870006</t>
  </si>
  <si>
    <t>800338</t>
  </si>
  <si>
    <t>25051201033</t>
  </si>
  <si>
    <t xml:space="preserve">ADE KURNIALLAH </t>
  </si>
  <si>
    <t>Rohman</t>
  </si>
  <si>
    <t>UA Unit Pusat</t>
  </si>
  <si>
    <t>+6287880505372</t>
  </si>
  <si>
    <t>Outsourcing Kurir</t>
  </si>
  <si>
    <t>00090</t>
  </si>
  <si>
    <t>3171071904720003</t>
  </si>
  <si>
    <t>800336</t>
  </si>
  <si>
    <t>25051201025</t>
  </si>
  <si>
    <t>ROHMAN</t>
  </si>
  <si>
    <t>ERIZAL</t>
  </si>
  <si>
    <t>120201000282536</t>
  </si>
  <si>
    <t>+6281388755124</t>
  </si>
  <si>
    <t>3171080206820001</t>
  </si>
  <si>
    <t>800335</t>
  </si>
  <si>
    <t>25051201017</t>
  </si>
  <si>
    <t xml:space="preserve">SUTANTO MUHARJO </t>
  </si>
  <si>
    <t>+6285774383289</t>
  </si>
  <si>
    <t>3173070711890003</t>
  </si>
  <si>
    <t>800334</t>
  </si>
  <si>
    <t>25051200969</t>
  </si>
  <si>
    <t>SUTANTO MUHARJO</t>
  </si>
  <si>
    <t>Muhamad suherman</t>
  </si>
  <si>
    <t>1660005262480</t>
  </si>
  <si>
    <t>+6282123938859</t>
  </si>
  <si>
    <t>3173052611890010</t>
  </si>
  <si>
    <t>800333</t>
  </si>
  <si>
    <t>25051201009</t>
  </si>
  <si>
    <t>MUHAMAD SUHERMAN</t>
  </si>
  <si>
    <t>Mohamad zubaidi</t>
  </si>
  <si>
    <t>5520784812</t>
  </si>
  <si>
    <t>+62895330801849</t>
  </si>
  <si>
    <t>3174031701810002</t>
  </si>
  <si>
    <t>800332</t>
  </si>
  <si>
    <t>25051200993</t>
  </si>
  <si>
    <t>MOHAMAD ZUBAIDI</t>
  </si>
  <si>
    <t>Jumadi</t>
  </si>
  <si>
    <t>2290699021</t>
  </si>
  <si>
    <t>+6289652245423</t>
  </si>
  <si>
    <t>3671060201770004</t>
  </si>
  <si>
    <t>800331</t>
  </si>
  <si>
    <t>25051200985</t>
  </si>
  <si>
    <t>JUMADI</t>
  </si>
  <si>
    <t>NANANG</t>
  </si>
  <si>
    <t>702474236100</t>
  </si>
  <si>
    <t>CIMB</t>
  </si>
  <si>
    <t>+6287884471774</t>
  </si>
  <si>
    <t>3174032809840005</t>
  </si>
  <si>
    <t>800330</t>
  </si>
  <si>
    <t>25051200977</t>
  </si>
  <si>
    <t>Muhamad Gondzo Aditya</t>
  </si>
  <si>
    <t>5500604851</t>
  </si>
  <si>
    <t>+6282130228636</t>
  </si>
  <si>
    <t>3674031409890007</t>
  </si>
  <si>
    <t>800329</t>
  </si>
  <si>
    <t>25051200951</t>
  </si>
  <si>
    <t>MUHAMAD GONDZO ADITYA</t>
  </si>
  <si>
    <t>Aditya nur saleh</t>
  </si>
  <si>
    <t>7246840158</t>
  </si>
  <si>
    <t>088225231579</t>
  </si>
  <si>
    <t>5522</t>
  </si>
  <si>
    <t>3404110210000001</t>
  </si>
  <si>
    <t>800625</t>
  </si>
  <si>
    <t>M FARID ZAINAL ABIDIN</t>
  </si>
  <si>
    <t>1740009876178</t>
  </si>
  <si>
    <t>Makasar Nipah Park</t>
  </si>
  <si>
    <t>081242613346</t>
  </si>
  <si>
    <t>7371121512880004</t>
  </si>
  <si>
    <t>800299</t>
  </si>
  <si>
    <t>25038744642</t>
  </si>
  <si>
    <t>AULIA RAHMA QONITA</t>
  </si>
  <si>
    <t>081322811534</t>
  </si>
  <si>
    <t>3275044105010013</t>
  </si>
  <si>
    <t>800298</t>
  </si>
  <si>
    <t>25038744667</t>
  </si>
  <si>
    <t>Aulia Rahma Qonita</t>
  </si>
  <si>
    <t>Fitria Rahmah</t>
  </si>
  <si>
    <t>+6288210333468</t>
  </si>
  <si>
    <t>3174095601020006</t>
  </si>
  <si>
    <t>800322</t>
  </si>
  <si>
    <t>25038744659</t>
  </si>
  <si>
    <t>Bulan Depan Adjust Rumus Potongan dan Iuran Perusahaan serta tambahkan di komponen lain-lain sebesar 60,450</t>
  </si>
  <si>
    <t>Mahendra Yudha Manggala</t>
  </si>
  <si>
    <t>901783995754</t>
  </si>
  <si>
    <t>SeaBank</t>
  </si>
  <si>
    <t>085842758499</t>
  </si>
  <si>
    <t>3403122811050004</t>
  </si>
  <si>
    <t>800662</t>
  </si>
  <si>
    <t>ECHA AKBAR CAHYA</t>
  </si>
  <si>
    <t>0375339141</t>
  </si>
  <si>
    <t>083827837829</t>
  </si>
  <si>
    <t>3404102211040003</t>
  </si>
  <si>
    <t>800663</t>
  </si>
  <si>
    <t>Dyah Ayu Puspitasari</t>
  </si>
  <si>
    <t>+6288232451421</t>
  </si>
  <si>
    <t>3403074906000001</t>
  </si>
  <si>
    <t>800304</t>
  </si>
  <si>
    <t>25038744592</t>
  </si>
  <si>
    <t>Ridho Ustaddin Zalasa</t>
  </si>
  <si>
    <t>+6287715309371</t>
  </si>
  <si>
    <t>3402102707040001</t>
  </si>
  <si>
    <t>800306</t>
  </si>
  <si>
    <t>25038744618</t>
  </si>
  <si>
    <t>Wanda Nisrina Putri</t>
  </si>
  <si>
    <t>GLKU Bandung</t>
  </si>
  <si>
    <t>085559762875</t>
  </si>
  <si>
    <t>3278044101050003</t>
  </si>
  <si>
    <t>1</t>
  </si>
  <si>
    <t>25038744675</t>
  </si>
  <si>
    <t>ZIDAN ZAMORA ZAMORANO</t>
  </si>
  <si>
    <t>GLKU Yogyakarta</t>
  </si>
  <si>
    <t>081227994178</t>
  </si>
  <si>
    <t>55511</t>
  </si>
  <si>
    <t>3471131803040001</t>
  </si>
  <si>
    <t>800302</t>
  </si>
  <si>
    <t>25038744683</t>
  </si>
  <si>
    <t>Muhammad Arief Kurniawan</t>
  </si>
  <si>
    <t>4451873690</t>
  </si>
  <si>
    <t>Books Merchandising 1</t>
  </si>
  <si>
    <t>085780048882</t>
  </si>
  <si>
    <t>Buyer</t>
  </si>
  <si>
    <t>3471071903990001</t>
  </si>
  <si>
    <t>800239</t>
  </si>
  <si>
    <t>20013792245</t>
  </si>
  <si>
    <t>MUHAMMAD ARIEF KURNIAWAN</t>
  </si>
  <si>
    <t>TANDRA WIDERU</t>
  </si>
  <si>
    <t>0310012714955</t>
  </si>
  <si>
    <t>08129477129</t>
  </si>
  <si>
    <t>Security (Chief)</t>
  </si>
  <si>
    <t>3276021207710002</t>
  </si>
  <si>
    <t>#N/A</t>
  </si>
  <si>
    <t>Adjust Iuran BPJS Ketenagakerjaan Perusahaan</t>
  </si>
  <si>
    <t>MUHAMAD SUSENO</t>
  </si>
  <si>
    <t>1350020652010</t>
  </si>
  <si>
    <t>088216392159</t>
  </si>
  <si>
    <t>3321020506050002</t>
  </si>
  <si>
    <t>800296</t>
  </si>
  <si>
    <t>25038744691</t>
  </si>
  <si>
    <t>DONE (Barang di keep di Unit dan Tagihan di Hold sampai ada Informasi terkait permintaan pengadaan seragam jabatan Security)</t>
  </si>
  <si>
    <t>URIP MALIKI LUTMAN</t>
  </si>
  <si>
    <t>1540014670164</t>
  </si>
  <si>
    <t>RA-Jayapura</t>
  </si>
  <si>
    <t>Jayapura</t>
  </si>
  <si>
    <t>082248505196</t>
  </si>
  <si>
    <t>99350</t>
  </si>
  <si>
    <t>9171012807960004</t>
  </si>
  <si>
    <t>800295</t>
  </si>
  <si>
    <t>25023140293</t>
  </si>
  <si>
    <t>ARNOLDUS GAYUS</t>
  </si>
  <si>
    <t>064001022084507</t>
  </si>
  <si>
    <t>081248144306</t>
  </si>
  <si>
    <t>5310121807950006</t>
  </si>
  <si>
    <t>800294</t>
  </si>
  <si>
    <t>MELIANUS PATTIPEILOHY</t>
  </si>
  <si>
    <t>214101036824507</t>
  </si>
  <si>
    <t>082358788605</t>
  </si>
  <si>
    <t>8101120805010003</t>
  </si>
  <si>
    <t>800293</t>
  </si>
  <si>
    <t>DHODI FRONT KRISTANTO</t>
  </si>
  <si>
    <t>1640004474427</t>
  </si>
  <si>
    <t>081380643503</t>
  </si>
  <si>
    <t>3674032707760008</t>
  </si>
  <si>
    <t>800292</t>
  </si>
  <si>
    <t>BPJS Kesehatan Kemungkinan Aktif di tagihan namun akan jadi beban FMB jika benar aktif</t>
  </si>
  <si>
    <t>1410013304852</t>
  </si>
  <si>
    <t>+6285711242072</t>
  </si>
  <si>
    <t>3578131112860001</t>
  </si>
  <si>
    <t>800205</t>
  </si>
  <si>
    <t>24057576563</t>
  </si>
  <si>
    <t>SUPRIANTO</t>
  </si>
  <si>
    <t>FANDA WAHYU PRATAMA</t>
  </si>
  <si>
    <t>1420016621970</t>
  </si>
  <si>
    <t>+628819626808</t>
  </si>
  <si>
    <t>3515181109870004</t>
  </si>
  <si>
    <t>800204</t>
  </si>
  <si>
    <t>25023139980</t>
  </si>
  <si>
    <t>Mulyono</t>
  </si>
  <si>
    <t>3630189771</t>
  </si>
  <si>
    <t>+6282311187140</t>
  </si>
  <si>
    <t>3521162511830001</t>
  </si>
  <si>
    <t>800290</t>
  </si>
  <si>
    <t>MULYONO</t>
  </si>
  <si>
    <t>ABDUL GOFUR</t>
  </si>
  <si>
    <t>1780000368502</t>
  </si>
  <si>
    <t>+6285850489312</t>
  </si>
  <si>
    <t>3524260101870015</t>
  </si>
  <si>
    <t>800203</t>
  </si>
  <si>
    <t>24057576555</t>
  </si>
  <si>
    <t>AGUS SUPRAYITNO</t>
  </si>
  <si>
    <t>1420013310270</t>
  </si>
  <si>
    <t>+6282142365551</t>
  </si>
  <si>
    <t>3522021607940002</t>
  </si>
  <si>
    <t>800201</t>
  </si>
  <si>
    <t>25023141523</t>
  </si>
  <si>
    <t>Topan Nuryanto</t>
  </si>
  <si>
    <t>0101707589</t>
  </si>
  <si>
    <t>+6287852241391</t>
  </si>
  <si>
    <t>3577012804850002</t>
  </si>
  <si>
    <t>800199</t>
  </si>
  <si>
    <t>25023141481</t>
  </si>
  <si>
    <t>TOPAN NURYANTO</t>
  </si>
  <si>
    <t>ACHMAD WAHYUDI</t>
  </si>
  <si>
    <t>1420013690416</t>
  </si>
  <si>
    <t>+62 87717922944</t>
  </si>
  <si>
    <t>3578102003950001</t>
  </si>
  <si>
    <t>800288</t>
  </si>
  <si>
    <t>Ladi Saputra Utama</t>
  </si>
  <si>
    <t>3280284725</t>
  </si>
  <si>
    <t>Sby Pakuwon</t>
  </si>
  <si>
    <t>+6281233580486</t>
  </si>
  <si>
    <t>3519120306910001</t>
  </si>
  <si>
    <t>800200</t>
  </si>
  <si>
    <t>25023141515</t>
  </si>
  <si>
    <t>LADI SAPUTRA UTAMA</t>
  </si>
  <si>
    <t>Asis Ludfianto</t>
  </si>
  <si>
    <t>1420014806268</t>
  </si>
  <si>
    <t>+62895366684428</t>
  </si>
  <si>
    <t>3578062605810007</t>
  </si>
  <si>
    <t>800198</t>
  </si>
  <si>
    <t>25023141473</t>
  </si>
  <si>
    <t>ASIS LUDFIANTO</t>
  </si>
  <si>
    <t>DARWIN VALENTINO IMANUEL</t>
  </si>
  <si>
    <t>0263026630</t>
  </si>
  <si>
    <t>RG-Manado Town Square</t>
  </si>
  <si>
    <t>Manado Town Square</t>
  </si>
  <si>
    <t>+6281343931887</t>
  </si>
  <si>
    <t>9512</t>
  </si>
  <si>
    <t>7103241412760001</t>
  </si>
  <si>
    <t>800196</t>
  </si>
  <si>
    <t>25023139915</t>
  </si>
  <si>
    <t>Deswandi papoto</t>
  </si>
  <si>
    <t>0263225071</t>
  </si>
  <si>
    <t>Manado Samratulangi</t>
  </si>
  <si>
    <t>+6283121647610</t>
  </si>
  <si>
    <t>9511</t>
  </si>
  <si>
    <t>Security (Danru)</t>
  </si>
  <si>
    <t>7104062112930001</t>
  </si>
  <si>
    <t>800287</t>
  </si>
  <si>
    <t>Ada Rapelan</t>
  </si>
  <si>
    <t>DESWANDI PAPOTO</t>
  </si>
  <si>
    <t>JEFRY MUHARAM</t>
  </si>
  <si>
    <t>0263088368</t>
  </si>
  <si>
    <t>+6285256924253</t>
  </si>
  <si>
    <t>7171032409800001</t>
  </si>
  <si>
    <t>800238</t>
  </si>
  <si>
    <t>25023139949</t>
  </si>
  <si>
    <t>JOSHUA CHALVIN LUNGKANG</t>
  </si>
  <si>
    <t>1700564912</t>
  </si>
  <si>
    <t>+62895395377801</t>
  </si>
  <si>
    <t>7171051607990021</t>
  </si>
  <si>
    <t>800194</t>
  </si>
  <si>
    <t>25023139899</t>
  </si>
  <si>
    <t>ARNOL IBRAHIM</t>
  </si>
  <si>
    <t>1816987616</t>
  </si>
  <si>
    <t>+6289631026707</t>
  </si>
  <si>
    <t>7106013004960001</t>
  </si>
  <si>
    <t>800193</t>
  </si>
  <si>
    <t>25023139881</t>
  </si>
  <si>
    <t>Abdul Fauzan Umar</t>
  </si>
  <si>
    <t>8295334084</t>
  </si>
  <si>
    <t>+6281342643494</t>
  </si>
  <si>
    <t>7171041706920001</t>
  </si>
  <si>
    <t>800192</t>
  </si>
  <si>
    <t>25023139873</t>
  </si>
  <si>
    <t>ABDUL FAUZAN UMAR</t>
  </si>
  <si>
    <t>PIERRE TRYANTO BREK</t>
  </si>
  <si>
    <t>0263184251</t>
  </si>
  <si>
    <t>+6285398940050</t>
  </si>
  <si>
    <t>7106060508920003</t>
  </si>
  <si>
    <t>800191</t>
  </si>
  <si>
    <t>25023139865</t>
  </si>
  <si>
    <t>Junso Loboy</t>
  </si>
  <si>
    <t>7800679774</t>
  </si>
  <si>
    <t>+6281241458287</t>
  </si>
  <si>
    <t>7207070801030001</t>
  </si>
  <si>
    <t>800189</t>
  </si>
  <si>
    <t>25023140228</t>
  </si>
  <si>
    <t>JUNSO LOBOY</t>
  </si>
  <si>
    <t>Cecep hendri setiawan</t>
  </si>
  <si>
    <t>+62895414552677</t>
  </si>
  <si>
    <t>3507192308820005</t>
  </si>
  <si>
    <t>800188</t>
  </si>
  <si>
    <t>25023139840</t>
  </si>
  <si>
    <t>CECEP HENDRI SETIAWAN</t>
  </si>
  <si>
    <t>SUKRON ASRORI</t>
  </si>
  <si>
    <t>1230715471</t>
  </si>
  <si>
    <t>+6282234020512</t>
  </si>
  <si>
    <t>3507310205970002</t>
  </si>
  <si>
    <t>800216</t>
  </si>
  <si>
    <t>25023140079</t>
  </si>
  <si>
    <t>Sukron Asrori</t>
  </si>
  <si>
    <t>SUPRIADI</t>
  </si>
  <si>
    <t>1440016577584</t>
  </si>
  <si>
    <t>+6285704702134</t>
  </si>
  <si>
    <t>3573021005800009</t>
  </si>
  <si>
    <t>800187</t>
  </si>
  <si>
    <t>25023139832</t>
  </si>
  <si>
    <t>EDI HARTANTO</t>
  </si>
  <si>
    <t>1440016577477</t>
  </si>
  <si>
    <t>+6282140046199</t>
  </si>
  <si>
    <t>3573031205890002</t>
  </si>
  <si>
    <t>800186</t>
  </si>
  <si>
    <t>MUHAMMAD KOSIM</t>
  </si>
  <si>
    <t>1410019070754</t>
  </si>
  <si>
    <t>+6285853212650</t>
  </si>
  <si>
    <t>3514072911930001</t>
  </si>
  <si>
    <t>800185</t>
  </si>
  <si>
    <t>25023139824</t>
  </si>
  <si>
    <t>KARDI WANTONO</t>
  </si>
  <si>
    <t>1440016577576</t>
  </si>
  <si>
    <t>+6282336964026</t>
  </si>
  <si>
    <t>3573010511780005</t>
  </si>
  <si>
    <t>800184</t>
  </si>
  <si>
    <t>25023139816</t>
  </si>
  <si>
    <t>ANDIK ARIFIN</t>
  </si>
  <si>
    <t>1440013472953</t>
  </si>
  <si>
    <t>+6289501171674</t>
  </si>
  <si>
    <t>3507101608830005</t>
  </si>
  <si>
    <t>800183</t>
  </si>
  <si>
    <t>25023139808</t>
  </si>
  <si>
    <t>YAYAS SISWANTORO</t>
  </si>
  <si>
    <t>2981412577</t>
  </si>
  <si>
    <t>+6282297618017</t>
  </si>
  <si>
    <t>3506041911980001</t>
  </si>
  <si>
    <t>800182</t>
  </si>
  <si>
    <t>24032440323</t>
  </si>
  <si>
    <t>HARI PRASETIYO</t>
  </si>
  <si>
    <t>4030260771</t>
  </si>
  <si>
    <t>+6285608033187</t>
  </si>
  <si>
    <t>3506041312000002</t>
  </si>
  <si>
    <t>800181</t>
  </si>
  <si>
    <t>25023139790</t>
  </si>
  <si>
    <t>AHMAT ROJAK IQBAL H</t>
  </si>
  <si>
    <t>2000762159</t>
  </si>
  <si>
    <t>+6287846072912</t>
  </si>
  <si>
    <t>3509191905000004</t>
  </si>
  <si>
    <t>800286</t>
  </si>
  <si>
    <t>AHMAT ROJAK IQBAL HAKIKI</t>
  </si>
  <si>
    <t>AKHMAD FARIS ALFARIZI</t>
  </si>
  <si>
    <t>0241673579</t>
  </si>
  <si>
    <t>+6281554050267</t>
  </si>
  <si>
    <t>3509230311950004</t>
  </si>
  <si>
    <t>800285</t>
  </si>
  <si>
    <t>Heru purwanto</t>
  </si>
  <si>
    <t>1420019188795</t>
  </si>
  <si>
    <t>+6285804765426</t>
  </si>
  <si>
    <t>3509180204990005</t>
  </si>
  <si>
    <t>800284</t>
  </si>
  <si>
    <t>HERU PURWANTO</t>
  </si>
  <si>
    <t>DEDI RIDY SISWANTORO</t>
  </si>
  <si>
    <t>0241673285</t>
  </si>
  <si>
    <t>+6282335732383</t>
  </si>
  <si>
    <t>3509223008920001</t>
  </si>
  <si>
    <t>800283</t>
  </si>
  <si>
    <t>EDO BAGUS SAPUTRO</t>
  </si>
  <si>
    <t>1440016577469</t>
  </si>
  <si>
    <t>+6281906001604</t>
  </si>
  <si>
    <t>3306150208920001</t>
  </si>
  <si>
    <t>800282</t>
  </si>
  <si>
    <t>Ali Nurdin</t>
  </si>
  <si>
    <t>7976250973</t>
  </si>
  <si>
    <t>RG-Gorontalo HOS Cokroaminoto</t>
  </si>
  <si>
    <t>Gorontalo HOS Cokroaminoto</t>
  </si>
  <si>
    <t>+6282190045193</t>
  </si>
  <si>
    <t>9611</t>
  </si>
  <si>
    <t>7571021902930002</t>
  </si>
  <si>
    <t>800180</t>
  </si>
  <si>
    <t>23035375841</t>
  </si>
  <si>
    <t>ALI NURDIN</t>
  </si>
  <si>
    <t>FRANSISKUS SALTUS</t>
  </si>
  <si>
    <t>201001008447500</t>
  </si>
  <si>
    <t>+6281225253858</t>
  </si>
  <si>
    <t>5315022212970004</t>
  </si>
  <si>
    <t>800177</t>
  </si>
  <si>
    <t>Dean yeremias kana</t>
  </si>
  <si>
    <t>6985176063</t>
  </si>
  <si>
    <t>+6282213354276</t>
  </si>
  <si>
    <t>5371013107970001</t>
  </si>
  <si>
    <t>800176</t>
  </si>
  <si>
    <t>25023139758</t>
  </si>
  <si>
    <t>DEAN YEREMIAS KANA</t>
  </si>
  <si>
    <t>Martinus Yoris</t>
  </si>
  <si>
    <t>0603726006</t>
  </si>
  <si>
    <t>RG-Bali Duta Plz</t>
  </si>
  <si>
    <t>Bali Duta Plz</t>
  </si>
  <si>
    <t>+6282146455368</t>
  </si>
  <si>
    <t>8011</t>
  </si>
  <si>
    <t>5308191111930002</t>
  </si>
  <si>
    <t>800175</t>
  </si>
  <si>
    <t>25023139741</t>
  </si>
  <si>
    <t>MARTINUS YORIS</t>
  </si>
  <si>
    <t>Iwansyahputra</t>
  </si>
  <si>
    <t>1180010951886</t>
  </si>
  <si>
    <t>+6285358671915</t>
  </si>
  <si>
    <t>1205041704870005</t>
  </si>
  <si>
    <t>800174</t>
  </si>
  <si>
    <t>23101709345</t>
  </si>
  <si>
    <t>IWAN SYAHPUTRA</t>
  </si>
  <si>
    <t>Safrizal</t>
  </si>
  <si>
    <t>0223238006</t>
  </si>
  <si>
    <t>+6281260993316</t>
  </si>
  <si>
    <t>1271011906860002</t>
  </si>
  <si>
    <t>800172</t>
  </si>
  <si>
    <t>25023139725</t>
  </si>
  <si>
    <t>SAFRIZAL</t>
  </si>
  <si>
    <t>ADE AGUS WARUWU</t>
  </si>
  <si>
    <t>1050014901239</t>
  </si>
  <si>
    <t>+6281375467452</t>
  </si>
  <si>
    <t>1224090708960001</t>
  </si>
  <si>
    <t>800170</t>
  </si>
  <si>
    <t>25023139709</t>
  </si>
  <si>
    <t>Melani arisma</t>
  </si>
  <si>
    <t>1060015330510</t>
  </si>
  <si>
    <t>+6289613617920</t>
  </si>
  <si>
    <t>1207244105000010</t>
  </si>
  <si>
    <t>800169</t>
  </si>
  <si>
    <t>25023141572</t>
  </si>
  <si>
    <t>MELANI ARISMA</t>
  </si>
  <si>
    <t>Rizky andika</t>
  </si>
  <si>
    <t>1050015347887</t>
  </si>
  <si>
    <t>+6281269188051</t>
  </si>
  <si>
    <t>1213012310920003</t>
  </si>
  <si>
    <t>800168</t>
  </si>
  <si>
    <t>25023141556</t>
  </si>
  <si>
    <t>RIZKY ANDIKA</t>
  </si>
  <si>
    <t>Iriadi</t>
  </si>
  <si>
    <t>1050016567319</t>
  </si>
  <si>
    <t>+6285896094175</t>
  </si>
  <si>
    <t>1271032508790006</t>
  </si>
  <si>
    <t>800167</t>
  </si>
  <si>
    <t>25023140533</t>
  </si>
  <si>
    <t>IRIADI</t>
  </si>
  <si>
    <t>Syaiful Bakhri Ambiya</t>
  </si>
  <si>
    <t>8075355501</t>
  </si>
  <si>
    <t>+6285765479082</t>
  </si>
  <si>
    <t>1275011205980002</t>
  </si>
  <si>
    <t>800166</t>
  </si>
  <si>
    <t>25023141457</t>
  </si>
  <si>
    <t>SYAIFUL BAKHRI AMBIYA</t>
  </si>
  <si>
    <t>Eko Nurohim</t>
  </si>
  <si>
    <t>1730013466215</t>
  </si>
  <si>
    <t>+6283833101804</t>
  </si>
  <si>
    <t>3215030704900001</t>
  </si>
  <si>
    <t>800246</t>
  </si>
  <si>
    <t>25023140277</t>
  </si>
  <si>
    <t>EKO NUROHIM</t>
  </si>
  <si>
    <t>Agus hikmat</t>
  </si>
  <si>
    <t>7045126340</t>
  </si>
  <si>
    <t>+6281282047092</t>
  </si>
  <si>
    <t>3215012908810002</t>
  </si>
  <si>
    <t>Agus Hikmat</t>
  </si>
  <si>
    <t>DENI RUKMANA</t>
  </si>
  <si>
    <t>1730012940897</t>
  </si>
  <si>
    <t>+62895348045377</t>
  </si>
  <si>
    <t>3215030906920003</t>
  </si>
  <si>
    <t>800244</t>
  </si>
  <si>
    <t>25023140251</t>
  </si>
  <si>
    <t>Siti Rokayah</t>
  </si>
  <si>
    <t>1730005247599</t>
  </si>
  <si>
    <t xml:space="preserve"> 085817366028</t>
  </si>
  <si>
    <t>3215274701900001</t>
  </si>
  <si>
    <t>800242</t>
  </si>
  <si>
    <t>24028907228</t>
  </si>
  <si>
    <t>Ijan Priyadi</t>
  </si>
  <si>
    <t>1560019412545</t>
  </si>
  <si>
    <t>+62895389544702</t>
  </si>
  <si>
    <t>3216031012790005</t>
  </si>
  <si>
    <t>800247</t>
  </si>
  <si>
    <t>25023140285</t>
  </si>
  <si>
    <t>IJAN PRIYADI</t>
  </si>
  <si>
    <t>ASEP BUDIMAN</t>
  </si>
  <si>
    <t>1730017685604</t>
  </si>
  <si>
    <t xml:space="preserve"> 081317994105</t>
  </si>
  <si>
    <t>3215030402840003</t>
  </si>
  <si>
    <t>800245</t>
  </si>
  <si>
    <t>25023140269</t>
  </si>
  <si>
    <t>UCI</t>
  </si>
  <si>
    <t>1230007453014</t>
  </si>
  <si>
    <t>085885846950</t>
  </si>
  <si>
    <t>7271031307830003</t>
  </si>
  <si>
    <t>800243</t>
  </si>
  <si>
    <t>22130787298</t>
  </si>
  <si>
    <t>hidayattulloh jamali</t>
  </si>
  <si>
    <t>7425604961</t>
  </si>
  <si>
    <t>+6285782316572</t>
  </si>
  <si>
    <t>3215170912780001</t>
  </si>
  <si>
    <t>800241</t>
  </si>
  <si>
    <t>25023140244</t>
  </si>
  <si>
    <t>Hidayattulloh Jamali</t>
  </si>
  <si>
    <t>Haerul Anwar</t>
  </si>
  <si>
    <t>4210616999</t>
  </si>
  <si>
    <t>+6285715191749</t>
  </si>
  <si>
    <t>3601170103980001</t>
  </si>
  <si>
    <t>800165</t>
  </si>
  <si>
    <t>25023141440</t>
  </si>
  <si>
    <t>TUNDA</t>
  </si>
  <si>
    <t>HAERUL ANWAR</t>
  </si>
  <si>
    <t>Riswanto</t>
  </si>
  <si>
    <t>1200014212265</t>
  </si>
  <si>
    <t>+6288210986864</t>
  </si>
  <si>
    <t>3172022901790002</t>
  </si>
  <si>
    <t>800164</t>
  </si>
  <si>
    <t>25023141432</t>
  </si>
  <si>
    <t>Waryono</t>
  </si>
  <si>
    <t>1180012584750</t>
  </si>
  <si>
    <t>+6289673942167</t>
  </si>
  <si>
    <t>3301060104880005</t>
  </si>
  <si>
    <t>800163</t>
  </si>
  <si>
    <t>25023141424</t>
  </si>
  <si>
    <t>WARYONO</t>
  </si>
  <si>
    <t>Abdul Haris</t>
  </si>
  <si>
    <t>1180012584768</t>
  </si>
  <si>
    <t>+6285774091237</t>
  </si>
  <si>
    <t>3175070503750022</t>
  </si>
  <si>
    <t>800160</t>
  </si>
  <si>
    <t>25023141416</t>
  </si>
  <si>
    <t>ABDUL HARIS</t>
  </si>
  <si>
    <t>GISKA MARSA PERMANA</t>
  </si>
  <si>
    <t>8106142641</t>
  </si>
  <si>
    <t>+6288229248816</t>
  </si>
  <si>
    <t>3273016603980001</t>
  </si>
  <si>
    <t>800159</t>
  </si>
  <si>
    <t>25023141408</t>
  </si>
  <si>
    <t>CAHYA HIDAYAT</t>
  </si>
  <si>
    <t>7940404481</t>
  </si>
  <si>
    <t>+6281222419121</t>
  </si>
  <si>
    <t>3211262207000002</t>
  </si>
  <si>
    <t>800158</t>
  </si>
  <si>
    <t>25023141390</t>
  </si>
  <si>
    <t>MUJIONO</t>
  </si>
  <si>
    <t>6775168181</t>
  </si>
  <si>
    <t>+6281382263388</t>
  </si>
  <si>
    <t>3273152004800015</t>
  </si>
  <si>
    <t>800157</t>
  </si>
  <si>
    <t>25023141382</t>
  </si>
  <si>
    <t>ASEP FERI</t>
  </si>
  <si>
    <t>1570757730</t>
  </si>
  <si>
    <t>+6283896130421</t>
  </si>
  <si>
    <t>3273150808880001</t>
  </si>
  <si>
    <t>800156</t>
  </si>
  <si>
    <t>24071456180</t>
  </si>
  <si>
    <t>IKRAM LATUKAU</t>
  </si>
  <si>
    <t>7940391037</t>
  </si>
  <si>
    <t>+6281312976814</t>
  </si>
  <si>
    <t>8171021801960006</t>
  </si>
  <si>
    <t>800155</t>
  </si>
  <si>
    <t>25023141689</t>
  </si>
  <si>
    <t>BAGUS RAKHMANSYAH</t>
  </si>
  <si>
    <t>2800505227</t>
  </si>
  <si>
    <t>+6289604468400</t>
  </si>
  <si>
    <t>3273160108750008</t>
  </si>
  <si>
    <t>800154</t>
  </si>
  <si>
    <t>25023141671</t>
  </si>
  <si>
    <t>RANDI FIRMANSYAH</t>
  </si>
  <si>
    <t>7940404031</t>
  </si>
  <si>
    <t>+62817210481</t>
  </si>
  <si>
    <t>3273052701940003</t>
  </si>
  <si>
    <t>800153</t>
  </si>
  <si>
    <t>25023141663</t>
  </si>
  <si>
    <t>ATEP JAJANG SAEPULOH</t>
  </si>
  <si>
    <t>8103134763</t>
  </si>
  <si>
    <t>+6285318199292</t>
  </si>
  <si>
    <t>3204160902860003</t>
  </si>
  <si>
    <t>800152</t>
  </si>
  <si>
    <t>25023141655</t>
  </si>
  <si>
    <t>BUDI SETIAWAN</t>
  </si>
  <si>
    <t>7940404163</t>
  </si>
  <si>
    <t>+6283826226695</t>
  </si>
  <si>
    <t>3273030505910005</t>
  </si>
  <si>
    <t>800151</t>
  </si>
  <si>
    <t>24071456297</t>
  </si>
  <si>
    <t>SANDI YULYADI</t>
  </si>
  <si>
    <t>0861085499</t>
  </si>
  <si>
    <t>RF-Bandung WR Supratman</t>
  </si>
  <si>
    <t>Bandung WR Supratman</t>
  </si>
  <si>
    <t>+62 881022704242</t>
  </si>
  <si>
    <t>4014</t>
  </si>
  <si>
    <t>3206020807930005</t>
  </si>
  <si>
    <t>800150</t>
  </si>
  <si>
    <t>25023141648</t>
  </si>
  <si>
    <t>DEDE IKPIANA</t>
  </si>
  <si>
    <t>2810841501</t>
  </si>
  <si>
    <t>+6285624403623</t>
  </si>
  <si>
    <t>3201170306910004</t>
  </si>
  <si>
    <t>800149</t>
  </si>
  <si>
    <t>25023141630</t>
  </si>
  <si>
    <t>RIDHWAN NURUL SIDIQ</t>
  </si>
  <si>
    <t>0861084107</t>
  </si>
  <si>
    <t>+6288706369309</t>
  </si>
  <si>
    <t>3217080111900003</t>
  </si>
  <si>
    <t>800148</t>
  </si>
  <si>
    <t>25023141622</t>
  </si>
  <si>
    <t>Hardiansyah</t>
  </si>
  <si>
    <t>1130005634054</t>
  </si>
  <si>
    <t>081333039775</t>
  </si>
  <si>
    <t>1171041212750004</t>
  </si>
  <si>
    <t>HARDIANSYAH,S.SOS</t>
  </si>
  <si>
    <t>DEDE ZUHAIRI</t>
  </si>
  <si>
    <t>7237453934</t>
  </si>
  <si>
    <t>+6282268906086</t>
  </si>
  <si>
    <t>1106082810970002</t>
  </si>
  <si>
    <t>800147</t>
  </si>
  <si>
    <t>25023141614</t>
  </si>
  <si>
    <t>MUNAWIR</t>
  </si>
  <si>
    <t>7147285498</t>
  </si>
  <si>
    <t>+6289680710600</t>
  </si>
  <si>
    <t>1171041208830002</t>
  </si>
  <si>
    <t>800146</t>
  </si>
  <si>
    <t>25023141606</t>
  </si>
  <si>
    <t>7168004324</t>
  </si>
  <si>
    <t>+6282290445106</t>
  </si>
  <si>
    <t>1106071301980004</t>
  </si>
  <si>
    <t>800143</t>
  </si>
  <si>
    <t>25023141507</t>
  </si>
  <si>
    <t>HERDI SUSANDRA</t>
  </si>
  <si>
    <t>7152128775</t>
  </si>
  <si>
    <t>+6282362676820</t>
  </si>
  <si>
    <t>1106050105820003</t>
  </si>
  <si>
    <t>800142</t>
  </si>
  <si>
    <t>25023141499</t>
  </si>
  <si>
    <t>EFFENDi</t>
  </si>
  <si>
    <t>7167998617</t>
  </si>
  <si>
    <t>+6281269059643</t>
  </si>
  <si>
    <t>1106100101830010</t>
  </si>
  <si>
    <t>800141</t>
  </si>
  <si>
    <t>25023140616</t>
  </si>
  <si>
    <t>ALJAHRI</t>
  </si>
  <si>
    <t>1061371709</t>
  </si>
  <si>
    <t>+6281434093813</t>
  </si>
  <si>
    <t>1102072303970002</t>
  </si>
  <si>
    <t>800140</t>
  </si>
  <si>
    <t>25023141465</t>
  </si>
  <si>
    <t>AL JAHRI</t>
  </si>
  <si>
    <t>SYAHRIAL</t>
  </si>
  <si>
    <t>1690002755459</t>
  </si>
  <si>
    <t>+628883331250</t>
  </si>
  <si>
    <t>1971010409000003</t>
  </si>
  <si>
    <t>800139</t>
  </si>
  <si>
    <t>25023141002</t>
  </si>
  <si>
    <t>SANDI</t>
  </si>
  <si>
    <t>1690000961752</t>
  </si>
  <si>
    <t>+6282310747834</t>
  </si>
  <si>
    <t>1904040808850001</t>
  </si>
  <si>
    <t>800137</t>
  </si>
  <si>
    <t>25023140418</t>
  </si>
  <si>
    <t>ANCHA ARFIANDA</t>
  </si>
  <si>
    <t>1690002805106</t>
  </si>
  <si>
    <t>+6288286175146</t>
  </si>
  <si>
    <t>1971042004930002</t>
  </si>
  <si>
    <t>800136</t>
  </si>
  <si>
    <t>25023140400</t>
  </si>
  <si>
    <t>ROSLI</t>
  </si>
  <si>
    <t>1690003619225</t>
  </si>
  <si>
    <t>+6282184714891</t>
  </si>
  <si>
    <t>1903031104940002</t>
  </si>
  <si>
    <t>800135</t>
  </si>
  <si>
    <t>25023140392</t>
  </si>
  <si>
    <t>Adrianus Yohanes nau</t>
  </si>
  <si>
    <t>+6285397940046</t>
  </si>
  <si>
    <t>5309012908970002</t>
  </si>
  <si>
    <t>800133</t>
  </si>
  <si>
    <t>24005788864</t>
  </si>
  <si>
    <t>ADRIANUS YOHANES NAU</t>
  </si>
  <si>
    <t>INDRU KUMAR</t>
  </si>
  <si>
    <t>1640004514917</t>
  </si>
  <si>
    <t>+6282179887356</t>
  </si>
  <si>
    <t>1801101009860005</t>
  </si>
  <si>
    <t>800211</t>
  </si>
  <si>
    <t>22024028015</t>
  </si>
  <si>
    <t>A. SOLIHIN AMARATEN</t>
  </si>
  <si>
    <t>1640004451185</t>
  </si>
  <si>
    <t>+6285664201137</t>
  </si>
  <si>
    <t>1803021712960003</t>
  </si>
  <si>
    <t>800132</t>
  </si>
  <si>
    <t>25023140434</t>
  </si>
  <si>
    <t>AHMAD SOLIHIN AMARATEN</t>
  </si>
  <si>
    <t>MUHAMMAD ANDRI MUHLI</t>
  </si>
  <si>
    <t>1010011913272</t>
  </si>
  <si>
    <t>+6281218057314</t>
  </si>
  <si>
    <t>3316042103000004</t>
  </si>
  <si>
    <t>800131</t>
  </si>
  <si>
    <t>25023140426</t>
  </si>
  <si>
    <t>MUHAMMAD ANDRI MUHLIHUN</t>
  </si>
  <si>
    <t>Robi Setiawan</t>
  </si>
  <si>
    <t>1180012550223</t>
  </si>
  <si>
    <t>+6282217826308</t>
  </si>
  <si>
    <t>1812032807970002</t>
  </si>
  <si>
    <t>800129</t>
  </si>
  <si>
    <t>25023140368</t>
  </si>
  <si>
    <t>ROBI SETIAWAN</t>
  </si>
  <si>
    <t>RIZKY RAMADHAN ARDIANTO</t>
  </si>
  <si>
    <t>4741283888</t>
  </si>
  <si>
    <t>+6281213666947</t>
  </si>
  <si>
    <t>3674030304910009</t>
  </si>
  <si>
    <t>800128</t>
  </si>
  <si>
    <t>25023140343</t>
  </si>
  <si>
    <t>RAMANDA ASNAWI</t>
  </si>
  <si>
    <t>1330029685575</t>
  </si>
  <si>
    <t>+6283808021262</t>
  </si>
  <si>
    <t>3201331011010003</t>
  </si>
  <si>
    <t>800127</t>
  </si>
  <si>
    <t>25023140335</t>
  </si>
  <si>
    <t>Muhamad gandi</t>
  </si>
  <si>
    <t>1640004438182</t>
  </si>
  <si>
    <t>+6285718557104</t>
  </si>
  <si>
    <t>3201041708940017</t>
  </si>
  <si>
    <t>800126</t>
  </si>
  <si>
    <t>25023141309</t>
  </si>
  <si>
    <t>MUHAMAD GANDI</t>
  </si>
  <si>
    <t>3984000</t>
  </si>
  <si>
    <t>ANDI RESMANA RACHMAN</t>
  </si>
  <si>
    <t>6585249550</t>
  </si>
  <si>
    <t>+6285952808889</t>
  </si>
  <si>
    <t>6472040206990003</t>
  </si>
  <si>
    <t>800125</t>
  </si>
  <si>
    <t>25023141291</t>
  </si>
  <si>
    <t>Debrian</t>
  </si>
  <si>
    <t>6465542431</t>
  </si>
  <si>
    <t>+6285821760040</t>
  </si>
  <si>
    <t>6108020512050003</t>
  </si>
  <si>
    <t>800279</t>
  </si>
  <si>
    <t>DEBRIAN</t>
  </si>
  <si>
    <t>NUNIK PRATIWI</t>
  </si>
  <si>
    <t>1711596327</t>
  </si>
  <si>
    <t>+6289680260884</t>
  </si>
  <si>
    <t>6112015711960010</t>
  </si>
  <si>
    <t>800122</t>
  </si>
  <si>
    <t>25023141275</t>
  </si>
  <si>
    <t>Fahrizal</t>
  </si>
  <si>
    <t>6177054251</t>
  </si>
  <si>
    <t>+6281378761101</t>
  </si>
  <si>
    <t>1671071412760010</t>
  </si>
  <si>
    <t>FAHRIZAL</t>
  </si>
  <si>
    <t>6175535474</t>
  </si>
  <si>
    <t>+6285273440010</t>
  </si>
  <si>
    <t>1671070408790013</t>
  </si>
  <si>
    <t>800235</t>
  </si>
  <si>
    <t>HUSNI THAMRIN</t>
  </si>
  <si>
    <t>6175535831</t>
  </si>
  <si>
    <t>+6281272619998</t>
  </si>
  <si>
    <t>1671071810770015</t>
  </si>
  <si>
    <t>800121</t>
  </si>
  <si>
    <t>Oki juliansyah</t>
  </si>
  <si>
    <t>8438057653</t>
  </si>
  <si>
    <t>+6288806344732</t>
  </si>
  <si>
    <t>1671141707980005</t>
  </si>
  <si>
    <t>800120</t>
  </si>
  <si>
    <t>OKI JULIANSYAH</t>
  </si>
  <si>
    <t>Budi aryadi</t>
  </si>
  <si>
    <t>6175535598</t>
  </si>
  <si>
    <t>+6281273681081</t>
  </si>
  <si>
    <t>1809010810810002</t>
  </si>
  <si>
    <t>800119</t>
  </si>
  <si>
    <t>BUDI ARYADI</t>
  </si>
  <si>
    <t>AWI</t>
  </si>
  <si>
    <t>6177054439</t>
  </si>
  <si>
    <t>+6289637000450</t>
  </si>
  <si>
    <t>1673081210780003</t>
  </si>
  <si>
    <t>800118</t>
  </si>
  <si>
    <t>FERRY FADLI</t>
  </si>
  <si>
    <t>6175535687</t>
  </si>
  <si>
    <t>+6289670065557</t>
  </si>
  <si>
    <t>1671071306880003</t>
  </si>
  <si>
    <t>800117</t>
  </si>
  <si>
    <t>RAAJ MAHMUD KHAN</t>
  </si>
  <si>
    <t>8435697905</t>
  </si>
  <si>
    <t>+6285273071625</t>
  </si>
  <si>
    <t>1671142303710005</t>
  </si>
  <si>
    <t>800115</t>
  </si>
  <si>
    <t>ALWI</t>
  </si>
  <si>
    <t>1130013364207</t>
  </si>
  <si>
    <t>+6289632681604</t>
  </si>
  <si>
    <t>1671131808890005</t>
  </si>
  <si>
    <t>800114</t>
  </si>
  <si>
    <t>ARDIANSYAH</t>
  </si>
  <si>
    <t>1180010337409</t>
  </si>
  <si>
    <t>+6289624494894</t>
  </si>
  <si>
    <t>1602151712760004</t>
  </si>
  <si>
    <t>800113</t>
  </si>
  <si>
    <t>JONI</t>
  </si>
  <si>
    <t>1120021585109</t>
  </si>
  <si>
    <t>+6281998326852</t>
  </si>
  <si>
    <t>1671021204980014</t>
  </si>
  <si>
    <t>800112</t>
  </si>
  <si>
    <t>Imam Purwanto</t>
  </si>
  <si>
    <t>1180009955534</t>
  </si>
  <si>
    <t>+628877760852</t>
  </si>
  <si>
    <t>1671140612920007</t>
  </si>
  <si>
    <t>800110</t>
  </si>
  <si>
    <t>IMAM PURWANTO</t>
  </si>
  <si>
    <t>KRISMAN YONO</t>
  </si>
  <si>
    <t>1100019313706</t>
  </si>
  <si>
    <t>+6282279608681</t>
  </si>
  <si>
    <t>1501171006980001</t>
  </si>
  <si>
    <t>800107</t>
  </si>
  <si>
    <t>Suryadi</t>
  </si>
  <si>
    <t>1100014735705</t>
  </si>
  <si>
    <t>+6285273993695</t>
  </si>
  <si>
    <t>1571030806010021</t>
  </si>
  <si>
    <t>800106</t>
  </si>
  <si>
    <t>SURYADI</t>
  </si>
  <si>
    <t>BUYUNG ARIF SETYADI</t>
  </si>
  <si>
    <t>1490014324240</t>
  </si>
  <si>
    <t>+62895412513981</t>
  </si>
  <si>
    <t>6471020111970002</t>
  </si>
  <si>
    <t>800210</t>
  </si>
  <si>
    <t>ANDIKA</t>
  </si>
  <si>
    <t>1913026059</t>
  </si>
  <si>
    <t>+62895408433060</t>
  </si>
  <si>
    <t>6471051111000002</t>
  </si>
  <si>
    <t>800102</t>
  </si>
  <si>
    <t>JULIANSYAH EFENDI</t>
  </si>
  <si>
    <t>0581953894</t>
  </si>
  <si>
    <t>+6285352212824</t>
  </si>
  <si>
    <t>1709010707970001</t>
  </si>
  <si>
    <t>800215</t>
  </si>
  <si>
    <t>Gura uga bane</t>
  </si>
  <si>
    <t>1520031635879</t>
  </si>
  <si>
    <t>+62895601596633</t>
  </si>
  <si>
    <t>1771062903010004</t>
  </si>
  <si>
    <t>800214</t>
  </si>
  <si>
    <t>GURA UGA BANE</t>
  </si>
  <si>
    <t>RIZKY DAISMEY PRATAMA</t>
  </si>
  <si>
    <t>1890624606</t>
  </si>
  <si>
    <t>+6285840936263</t>
  </si>
  <si>
    <t>1708052205980001</t>
  </si>
  <si>
    <t>800105</t>
  </si>
  <si>
    <t>TK/3</t>
  </si>
  <si>
    <t>Sucipto</t>
  </si>
  <si>
    <t>1790004343914</t>
  </si>
  <si>
    <t>+628998888081</t>
  </si>
  <si>
    <t>1771031008960002</t>
  </si>
  <si>
    <t>800104</t>
  </si>
  <si>
    <t>SUCIPTO</t>
  </si>
  <si>
    <t>Harun Al Rasyid</t>
  </si>
  <si>
    <t>9000036979798</t>
  </si>
  <si>
    <t>+6285350231003</t>
  </si>
  <si>
    <t>6471030702730001</t>
  </si>
  <si>
    <t>800212</t>
  </si>
  <si>
    <t>Tri Laras Sati</t>
  </si>
  <si>
    <t>1912937806</t>
  </si>
  <si>
    <t>+6282255614315</t>
  </si>
  <si>
    <t>6471055202980004</t>
  </si>
  <si>
    <t>800101</t>
  </si>
  <si>
    <t>TRI LARAS SATI</t>
  </si>
  <si>
    <t>MUHAMMAD AKBAR</t>
  </si>
  <si>
    <t>1490017844913</t>
  </si>
  <si>
    <t>+6289603874693</t>
  </si>
  <si>
    <t>6471041704970004</t>
  </si>
  <si>
    <t>800047</t>
  </si>
  <si>
    <t>YAN ANTONO</t>
  </si>
  <si>
    <t>081901037258534</t>
  </si>
  <si>
    <t>+6281283665228</t>
  </si>
  <si>
    <t>3603220311820001</t>
  </si>
  <si>
    <t>800277</t>
  </si>
  <si>
    <t>Umar dani</t>
  </si>
  <si>
    <t>781201006128539</t>
  </si>
  <si>
    <t>+6281213027835</t>
  </si>
  <si>
    <t>3603032910860002</t>
  </si>
  <si>
    <t>800276</t>
  </si>
  <si>
    <t>UMAR DANI</t>
  </si>
  <si>
    <t>IDHAM</t>
  </si>
  <si>
    <t>8831218215</t>
  </si>
  <si>
    <t>+6281280491615</t>
  </si>
  <si>
    <t>3603280506800015</t>
  </si>
  <si>
    <t>800275</t>
  </si>
  <si>
    <t>Idham</t>
  </si>
  <si>
    <t>SAMSUL BAHRI</t>
  </si>
  <si>
    <t>1720253697</t>
  </si>
  <si>
    <t>+6289674068663</t>
  </si>
  <si>
    <t>3603230202860007</t>
  </si>
  <si>
    <t>800274</t>
  </si>
  <si>
    <t>DWI FAUZUL AKBAR</t>
  </si>
  <si>
    <t>1720257030</t>
  </si>
  <si>
    <t>+6281380914960</t>
  </si>
  <si>
    <t>3674020801000006</t>
  </si>
  <si>
    <t>800272</t>
  </si>
  <si>
    <t xml:space="preserve">25077450531	</t>
  </si>
  <si>
    <t>SIDIQ ZAELANI</t>
  </si>
  <si>
    <t>3431227370</t>
  </si>
  <si>
    <t>+6282249118711</t>
  </si>
  <si>
    <t>3212011009930001</t>
  </si>
  <si>
    <t>800271</t>
  </si>
  <si>
    <t>Asnawi</t>
  </si>
  <si>
    <t>7485197061</t>
  </si>
  <si>
    <t>+6287773776671</t>
  </si>
  <si>
    <t>3212310511920002</t>
  </si>
  <si>
    <t>800270</t>
  </si>
  <si>
    <t>ASNAWI</t>
  </si>
  <si>
    <t>Ade Kurniawan</t>
  </si>
  <si>
    <t>708701009220531</t>
  </si>
  <si>
    <t>+6283893674181</t>
  </si>
  <si>
    <t>3201112705860001</t>
  </si>
  <si>
    <t>800269</t>
  </si>
  <si>
    <t>ADE KURNIAWAN</t>
  </si>
  <si>
    <t>FERIYATMAN</t>
  </si>
  <si>
    <t>3770951568</t>
  </si>
  <si>
    <t>+6285793647490</t>
  </si>
  <si>
    <t>3202321008980002</t>
  </si>
  <si>
    <t>800268</t>
  </si>
  <si>
    <t>RASYID TRI RAHARDJO</t>
  </si>
  <si>
    <t>5876075021</t>
  </si>
  <si>
    <t>+6285711552350</t>
  </si>
  <si>
    <t>3603111102060003</t>
  </si>
  <si>
    <t>800267</t>
  </si>
  <si>
    <t>IHSAN ROMADON</t>
  </si>
  <si>
    <t>8456105403</t>
  </si>
  <si>
    <t>+6285375756195</t>
  </si>
  <si>
    <t>1401170211030003</t>
  </si>
  <si>
    <t>800099</t>
  </si>
  <si>
    <t>GILANG BRAHMANA PUTRA</t>
  </si>
  <si>
    <t>007458651585</t>
  </si>
  <si>
    <t>BlueBCA</t>
  </si>
  <si>
    <t>+6281277089054</t>
  </si>
  <si>
    <t>1371060507000005</t>
  </si>
  <si>
    <t>800097</t>
  </si>
  <si>
    <t>Raja Muhammad Teguh</t>
  </si>
  <si>
    <t>1080023118335</t>
  </si>
  <si>
    <t>+6282247381975</t>
  </si>
  <si>
    <t>1402061506990007</t>
  </si>
  <si>
    <t>800096</t>
  </si>
  <si>
    <t>RAJA MUHAMMAD TEGUH</t>
  </si>
  <si>
    <t>YUDHI FEBRI ANDESCHA</t>
  </si>
  <si>
    <t>1110022689489</t>
  </si>
  <si>
    <t>+6289530683201</t>
  </si>
  <si>
    <t>1371111702930004</t>
  </si>
  <si>
    <t>800093</t>
  </si>
  <si>
    <t>MUHAMMAD ALAM MAISUKRA</t>
  </si>
  <si>
    <t>1110022520569</t>
  </si>
  <si>
    <t>+6282386359015</t>
  </si>
  <si>
    <t>1301060305030003</t>
  </si>
  <si>
    <t>800091</t>
  </si>
  <si>
    <t>muhammad rauf rifaat</t>
  </si>
  <si>
    <t>546201018735533</t>
  </si>
  <si>
    <t>+6283155412403</t>
  </si>
  <si>
    <t>1305041503030001</t>
  </si>
  <si>
    <t>800090</t>
  </si>
  <si>
    <t>MUHAMMAD RAUF RIFAAT</t>
  </si>
  <si>
    <t>ILHAM DESRI YETTO</t>
  </si>
  <si>
    <t>1110022501676</t>
  </si>
  <si>
    <t>+6282268058185</t>
  </si>
  <si>
    <t>1311021112930001</t>
  </si>
  <si>
    <t>800089</t>
  </si>
  <si>
    <t>EDIS IRAWAN</t>
  </si>
  <si>
    <t>1140025025811</t>
  </si>
  <si>
    <t>+6283169614474</t>
  </si>
  <si>
    <t>34518</t>
  </si>
  <si>
    <t>1809012202790002</t>
  </si>
  <si>
    <t>800087</t>
  </si>
  <si>
    <t>Riswanda raja imawan</t>
  </si>
  <si>
    <t>1140029073734</t>
  </si>
  <si>
    <t>+6283809783372</t>
  </si>
  <si>
    <t>1809011012020009</t>
  </si>
  <si>
    <t>800085</t>
  </si>
  <si>
    <t>RISWANDA RAJA IMAWAN</t>
  </si>
  <si>
    <t>Agus suwito</t>
  </si>
  <si>
    <t>1140021969681</t>
  </si>
  <si>
    <t>+6288287624462</t>
  </si>
  <si>
    <t>1801051508930003</t>
  </si>
  <si>
    <t>800084</t>
  </si>
  <si>
    <t>AGUS SUWITO</t>
  </si>
  <si>
    <t>IKHWALUDIN</t>
  </si>
  <si>
    <t>1140019100901</t>
  </si>
  <si>
    <t>RD-Lampung Kedaton Mall</t>
  </si>
  <si>
    <t>Lampung Kedaton Mall</t>
  </si>
  <si>
    <t>+6285609610576</t>
  </si>
  <si>
    <t>3514</t>
  </si>
  <si>
    <t>1809050104990002</t>
  </si>
  <si>
    <t>800083</t>
  </si>
  <si>
    <t>Dicki ibrahim</t>
  </si>
  <si>
    <t>1140028410218</t>
  </si>
  <si>
    <t>+628156417064</t>
  </si>
  <si>
    <t>1804041304960004</t>
  </si>
  <si>
    <t>800082</t>
  </si>
  <si>
    <t>DICKI IBRAHIM</t>
  </si>
  <si>
    <t>RIZKI HASRI</t>
  </si>
  <si>
    <t>1090021804067</t>
  </si>
  <si>
    <t>RD-Batam City Square</t>
  </si>
  <si>
    <t>Batam City Square</t>
  </si>
  <si>
    <t>+6281262084180</t>
  </si>
  <si>
    <t>2943</t>
  </si>
  <si>
    <t>1210182802040003</t>
  </si>
  <si>
    <t>800266</t>
  </si>
  <si>
    <t>Muhammad ari hutapea</t>
  </si>
  <si>
    <t>1090019868454</t>
  </si>
  <si>
    <t>+6282279789518</t>
  </si>
  <si>
    <t>2171021501939004</t>
  </si>
  <si>
    <t>800086</t>
  </si>
  <si>
    <t>MUHAMMAD ARI HUTAPEA</t>
  </si>
  <si>
    <t>Muhammad Al-Fayed Lumban Tobing</t>
  </si>
  <si>
    <t>8000938212</t>
  </si>
  <si>
    <t>+62895351213246</t>
  </si>
  <si>
    <t>1201101505000003</t>
  </si>
  <si>
    <t>800080</t>
  </si>
  <si>
    <t>MUHAMMAD AL-FAYED LUMBAN TOBING</t>
  </si>
  <si>
    <t>ANGGA PUJIYANTO</t>
  </si>
  <si>
    <t>1370013966367</t>
  </si>
  <si>
    <t>RC-Yogya Malioboro</t>
  </si>
  <si>
    <t>Yogya Malioboro</t>
  </si>
  <si>
    <t>+6288233912289</t>
  </si>
  <si>
    <t>3402172101950001</t>
  </si>
  <si>
    <t>800072</t>
  </si>
  <si>
    <t>Untung Famuji</t>
  </si>
  <si>
    <t>1670005067136</t>
  </si>
  <si>
    <t>+628817282037</t>
  </si>
  <si>
    <t>3302181211890001</t>
  </si>
  <si>
    <t>800058</t>
  </si>
  <si>
    <t>UNTUNG FAMUJI</t>
  </si>
  <si>
    <t>DODO SUBAGJA</t>
  </si>
  <si>
    <t>026101063587508</t>
  </si>
  <si>
    <t>08995836080</t>
  </si>
  <si>
    <t>3208141704950003</t>
  </si>
  <si>
    <t>800264</t>
  </si>
  <si>
    <t>MOHAMAD SYAMSUL JAIS</t>
  </si>
  <si>
    <t>7642003880</t>
  </si>
  <si>
    <t>+6283826322541</t>
  </si>
  <si>
    <t>3209182006980008</t>
  </si>
  <si>
    <t>800055</t>
  </si>
  <si>
    <t>Jaenal Abidin</t>
  </si>
  <si>
    <t>1340021871230</t>
  </si>
  <si>
    <t>+6289697763537</t>
  </si>
  <si>
    <t>3209131609940002</t>
  </si>
  <si>
    <t>800053</t>
  </si>
  <si>
    <t>JAENAL ABIDIN</t>
  </si>
  <si>
    <t>OKI HADI TRESNA</t>
  </si>
  <si>
    <t>1340028429164</t>
  </si>
  <si>
    <t>089523760611</t>
  </si>
  <si>
    <t>3274012110900004</t>
  </si>
  <si>
    <t>800052</t>
  </si>
  <si>
    <t>Didi Ahmadi</t>
  </si>
  <si>
    <t>1340017733774</t>
  </si>
  <si>
    <t>08973097244</t>
  </si>
  <si>
    <t>3209391701920001</t>
  </si>
  <si>
    <t>800051</t>
  </si>
  <si>
    <t>DIDI AHMADI</t>
  </si>
  <si>
    <t>FUJI ASTUTI</t>
  </si>
  <si>
    <t>7820829802</t>
  </si>
  <si>
    <t>+6287803072639</t>
  </si>
  <si>
    <t>6304055408850002</t>
  </si>
  <si>
    <t>800262</t>
  </si>
  <si>
    <t>MUHAMMAD ZAINI</t>
  </si>
  <si>
    <t>0512634336</t>
  </si>
  <si>
    <t>+6283856204727</t>
  </si>
  <si>
    <t>6303040802030005</t>
  </si>
  <si>
    <t>800049</t>
  </si>
  <si>
    <t>IRFAN TEAPON</t>
  </si>
  <si>
    <t>1860004010969</t>
  </si>
  <si>
    <t>RB-Ternate Jatiland Mall</t>
  </si>
  <si>
    <t>Ternate Jatiland Mall</t>
  </si>
  <si>
    <t>+6282187709575</t>
  </si>
  <si>
    <t>4276</t>
  </si>
  <si>
    <t>8205180507920001</t>
  </si>
  <si>
    <t>800260</t>
  </si>
  <si>
    <t>Sedang Proses Pengajuan</t>
  </si>
  <si>
    <t>Novi Uktolseya</t>
  </si>
  <si>
    <t>1860001851662</t>
  </si>
  <si>
    <t>RB-Maluku City Mall</t>
  </si>
  <si>
    <t>Maluku City Mall</t>
  </si>
  <si>
    <t>+6282259754545</t>
  </si>
  <si>
    <t>9712</t>
  </si>
  <si>
    <t>8171021011860010</t>
  </si>
  <si>
    <t>800206</t>
  </si>
  <si>
    <t>NOVI UKTOLSEYA</t>
  </si>
  <si>
    <t>KASIM LITILOLY</t>
  </si>
  <si>
    <t>1860004263188</t>
  </si>
  <si>
    <t>+6281343473383</t>
  </si>
  <si>
    <t>8104061303950005</t>
  </si>
  <si>
    <t>800045</t>
  </si>
  <si>
    <t>BAHTIAR</t>
  </si>
  <si>
    <t>0978327796</t>
  </si>
  <si>
    <t>RB-Makassar Ratu Indah</t>
  </si>
  <si>
    <t>Makassar Ratu Indah</t>
  </si>
  <si>
    <t>+62895800884618</t>
  </si>
  <si>
    <t>9013</t>
  </si>
  <si>
    <t>7306071302820003</t>
  </si>
  <si>
    <t>800044</t>
  </si>
  <si>
    <t>Bahtiar</t>
  </si>
  <si>
    <t>RUSFARDILA ARLY</t>
  </si>
  <si>
    <t>5850153231</t>
  </si>
  <si>
    <t>+6285770560717</t>
  </si>
  <si>
    <t>3175011912900002</t>
  </si>
  <si>
    <t>800259</t>
  </si>
  <si>
    <t>Bayu hadiprasetyo</t>
  </si>
  <si>
    <t>0784135140</t>
  </si>
  <si>
    <t>085770420623</t>
  </si>
  <si>
    <t>3175103009910002</t>
  </si>
  <si>
    <t>800258</t>
  </si>
  <si>
    <t>BAYU HADIPRASETYO</t>
  </si>
  <si>
    <t>DEDE MIMING</t>
  </si>
  <si>
    <t>0786188599</t>
  </si>
  <si>
    <t>+6285894666276</t>
  </si>
  <si>
    <t>3175070608830004</t>
  </si>
  <si>
    <t>800257</t>
  </si>
  <si>
    <t>JUMIRAL</t>
  </si>
  <si>
    <t>0786188645</t>
  </si>
  <si>
    <t>+6281315303932</t>
  </si>
  <si>
    <t>1301040607840003</t>
  </si>
  <si>
    <t>800256</t>
  </si>
  <si>
    <t>INDRA SURYAMAN</t>
  </si>
  <si>
    <t>0784135515</t>
  </si>
  <si>
    <t>+6285892099303</t>
  </si>
  <si>
    <t>3175100412820005</t>
  </si>
  <si>
    <t>800255</t>
  </si>
  <si>
    <t>Andara Rozalia</t>
  </si>
  <si>
    <t>5750621114</t>
  </si>
  <si>
    <t>082210746864</t>
  </si>
  <si>
    <t>3671074306920001</t>
  </si>
  <si>
    <t>800042</t>
  </si>
  <si>
    <t>ANDARA ROZALIA</t>
  </si>
  <si>
    <t>ISWAHYUDI</t>
  </si>
  <si>
    <t>8681023968</t>
  </si>
  <si>
    <t>+6281804244508</t>
  </si>
  <si>
    <t>3404111108800002</t>
  </si>
  <si>
    <t>800041</t>
  </si>
  <si>
    <t>Tagihan bulan Desember 2025 di bebankan ke Gramedia Puri Indah Mall</t>
  </si>
  <si>
    <t>EKO SRI HARTONO</t>
  </si>
  <si>
    <t>0784134179</t>
  </si>
  <si>
    <t>+6287885672900</t>
  </si>
  <si>
    <t>3310251601890001</t>
  </si>
  <si>
    <t>800040</t>
  </si>
  <si>
    <t>0784134805</t>
  </si>
  <si>
    <t>+6281382656928</t>
  </si>
  <si>
    <t>3175072105790001</t>
  </si>
  <si>
    <t>800039</t>
  </si>
  <si>
    <t>Pipit Ayu Pratiwi</t>
  </si>
  <si>
    <t>0070450593</t>
  </si>
  <si>
    <t>+6289526559068</t>
  </si>
  <si>
    <t>3172027003860006</t>
  </si>
  <si>
    <t>800038</t>
  </si>
  <si>
    <t>PIPIT AYU PRATIWI</t>
  </si>
  <si>
    <t>Gangsar aditiya</t>
  </si>
  <si>
    <t>5260793405</t>
  </si>
  <si>
    <t>+6288289023315</t>
  </si>
  <si>
    <t>3520111407940001</t>
  </si>
  <si>
    <t>800037</t>
  </si>
  <si>
    <t>GANGSAR ADITIYA</t>
  </si>
  <si>
    <t>Maliki</t>
  </si>
  <si>
    <t>1914895496</t>
  </si>
  <si>
    <t>+6281808746622</t>
  </si>
  <si>
    <t>3174090804790002</t>
  </si>
  <si>
    <t>800036</t>
  </si>
  <si>
    <t>MALIKI</t>
  </si>
  <si>
    <t>ANDHIKA TRIANTONO PUTRO</t>
  </si>
  <si>
    <t>8288098127</t>
  </si>
  <si>
    <t>Jkt Central Park Mall</t>
  </si>
  <si>
    <t>+628888520975</t>
  </si>
  <si>
    <t>1146</t>
  </si>
  <si>
    <t>3275092306910007</t>
  </si>
  <si>
    <t>800254</t>
  </si>
  <si>
    <t>ANDIKA BULAN PUTRA TUAN</t>
  </si>
  <si>
    <t>0974346917</t>
  </si>
  <si>
    <t>+6288245610777</t>
  </si>
  <si>
    <t>7371130205820007</t>
  </si>
  <si>
    <t>800253</t>
  </si>
  <si>
    <t>ARIFIN</t>
  </si>
  <si>
    <t>0976790655</t>
  </si>
  <si>
    <t>RB-Makassar Panakukang</t>
  </si>
  <si>
    <t>Makassar Panakukang</t>
  </si>
  <si>
    <t>+6282347405498</t>
  </si>
  <si>
    <t>9023</t>
  </si>
  <si>
    <t>7306162108950003</t>
  </si>
  <si>
    <t>800252</t>
  </si>
  <si>
    <t>AHMAD FADLY DJAWAS</t>
  </si>
  <si>
    <t>1599242906</t>
  </si>
  <si>
    <t>+6281339395387</t>
  </si>
  <si>
    <t>5371012802000003</t>
  </si>
  <si>
    <t>800043</t>
  </si>
  <si>
    <t>ANDRIAN</t>
  </si>
  <si>
    <t>1566123012</t>
  </si>
  <si>
    <t>+6285298307755</t>
  </si>
  <si>
    <t>7306012002000002</t>
  </si>
  <si>
    <t>800251</t>
  </si>
  <si>
    <t>Yosef Kosmas Handriyani</t>
  </si>
  <si>
    <t>1810001940197</t>
  </si>
  <si>
    <t>RA-Maumere Kesehatan</t>
  </si>
  <si>
    <t>Maumere Kesehatan</t>
  </si>
  <si>
    <t>+6282237302336</t>
  </si>
  <si>
    <t>8611</t>
  </si>
  <si>
    <t>5307072003810002</t>
  </si>
  <si>
    <t>800031</t>
  </si>
  <si>
    <t>YOSEF KOSMAS HANDRIYANI</t>
  </si>
  <si>
    <t>OSWALDUS ROMANUS</t>
  </si>
  <si>
    <t>1810001942961</t>
  </si>
  <si>
    <t>+6281239921876</t>
  </si>
  <si>
    <t>5307151009810001</t>
  </si>
  <si>
    <t>800030</t>
  </si>
  <si>
    <t>Saverius dedy</t>
  </si>
  <si>
    <t>1810001608729</t>
  </si>
  <si>
    <t>+6282236398108</t>
  </si>
  <si>
    <t>5307050909890004</t>
  </si>
  <si>
    <t>800029</t>
  </si>
  <si>
    <t>SAVERIUS DEDY</t>
  </si>
  <si>
    <t>MATHIAS MADA</t>
  </si>
  <si>
    <t>1810001938753</t>
  </si>
  <si>
    <t>+6282235024485</t>
  </si>
  <si>
    <t>5307100411850004</t>
  </si>
  <si>
    <t>800028</t>
  </si>
  <si>
    <t>Chek Potongan Gaji jika sudah ditransfer balik</t>
  </si>
  <si>
    <t>sunanul huda</t>
  </si>
  <si>
    <t>1610013683250</t>
  </si>
  <si>
    <t>+6281803597121</t>
  </si>
  <si>
    <t>5201021404990004</t>
  </si>
  <si>
    <t>800027</t>
  </si>
  <si>
    <t>SUNANUL HUDA</t>
  </si>
  <si>
    <t>MUHAMAD ARIP NURRAHMAN ALIAN HAKIM</t>
  </si>
  <si>
    <t>0562413870</t>
  </si>
  <si>
    <t>+6287866193979</t>
  </si>
  <si>
    <t>5203040107810503</t>
  </si>
  <si>
    <t>800026</t>
  </si>
  <si>
    <t>Muhamad Arip Nurrahman alian hakim</t>
  </si>
  <si>
    <t>Ahmad Sopian</t>
  </si>
  <si>
    <t>1610004899196</t>
  </si>
  <si>
    <t>+6287803584646</t>
  </si>
  <si>
    <t>5271051310920002</t>
  </si>
  <si>
    <t>800025</t>
  </si>
  <si>
    <t>AHMAD SOPIAN</t>
  </si>
  <si>
    <t>Muhammad Rizky Apriadi</t>
  </si>
  <si>
    <t>1610011888091</t>
  </si>
  <si>
    <t>+628980136791</t>
  </si>
  <si>
    <t>5271012904020001</t>
  </si>
  <si>
    <t>800024</t>
  </si>
  <si>
    <t>Lalu Muhammad Rizki Maulana suangsa</t>
  </si>
  <si>
    <t>2690700533</t>
  </si>
  <si>
    <t>+6281770242321</t>
  </si>
  <si>
    <t>5202050605000002</t>
  </si>
  <si>
    <t>800023</t>
  </si>
  <si>
    <t>LALU MUHAMMAD RIZKI MAULANA SUANGSA</t>
  </si>
  <si>
    <t>Antonius Anggriawan</t>
  </si>
  <si>
    <t>2020237131</t>
  </si>
  <si>
    <t>+6285205000648</t>
  </si>
  <si>
    <t>5271031702910004</t>
  </si>
  <si>
    <t>800021</t>
  </si>
  <si>
    <t>ANTONIUS ANGGRIAWAN</t>
  </si>
  <si>
    <t>SEPRIANUS PANDU</t>
  </si>
  <si>
    <t>467501023390534</t>
  </si>
  <si>
    <t>RA-Kupang Sudirman</t>
  </si>
  <si>
    <t>Kupang Sudirman</t>
  </si>
  <si>
    <t>+6285738624868</t>
  </si>
  <si>
    <t>85119</t>
  </si>
  <si>
    <t>5301052009930002</t>
  </si>
  <si>
    <t>800250</t>
  </si>
  <si>
    <t>RICKY OCTAV RIWU</t>
  </si>
  <si>
    <t>467001026247536</t>
  </si>
  <si>
    <t>+6285904408463</t>
  </si>
  <si>
    <t>5371040310860005</t>
  </si>
  <si>
    <t>800249</t>
  </si>
  <si>
    <t>Iron Lussy</t>
  </si>
  <si>
    <t>349001070657532</t>
  </si>
  <si>
    <t>+6281237990895</t>
  </si>
  <si>
    <t>5371041312910006</t>
  </si>
  <si>
    <t>800020</t>
  </si>
  <si>
    <t>IRON LUSSY</t>
  </si>
  <si>
    <t>RAFLES PATRIX MARANI</t>
  </si>
  <si>
    <t>1540019413149</t>
  </si>
  <si>
    <t>081248307765</t>
  </si>
  <si>
    <t>9171032203980003</t>
  </si>
  <si>
    <t>800018</t>
  </si>
  <si>
    <t>JANUARIO SERAN</t>
  </si>
  <si>
    <t>1540019160005</t>
  </si>
  <si>
    <t>081343054029</t>
  </si>
  <si>
    <t>5301100501990001</t>
  </si>
  <si>
    <t>800017</t>
  </si>
  <si>
    <t>Metusalla ofias</t>
  </si>
  <si>
    <t>8140521575</t>
  </si>
  <si>
    <t>082198315254</t>
  </si>
  <si>
    <t>9106022711000002</t>
  </si>
  <si>
    <t>800015</t>
  </si>
  <si>
    <t>METUSALLA OFIAS</t>
  </si>
  <si>
    <t>STEVI CORNELIUS TAHAPARY</t>
  </si>
  <si>
    <t>8140564371</t>
  </si>
  <si>
    <t>082239174832</t>
  </si>
  <si>
    <t>8101140309900006</t>
  </si>
  <si>
    <t>800014</t>
  </si>
  <si>
    <t>Rapelan Kekurangan Transfer karena UMK terbaru</t>
  </si>
  <si>
    <t>ARIS SUTIARIS</t>
  </si>
  <si>
    <t>1330010789303</t>
  </si>
  <si>
    <t>+6285810801400</t>
  </si>
  <si>
    <t>3201390806890006</t>
  </si>
  <si>
    <t>800012</t>
  </si>
  <si>
    <t>Nacep bonang</t>
  </si>
  <si>
    <t>0801351255</t>
  </si>
  <si>
    <t>+6283818414047</t>
  </si>
  <si>
    <t>3276040707800001</t>
  </si>
  <si>
    <t>800011</t>
  </si>
  <si>
    <t>NACEP BONANG</t>
  </si>
  <si>
    <t>Yudhistira Bagaskara Siregar</t>
  </si>
  <si>
    <t>6611282653</t>
  </si>
  <si>
    <t>+62895616850106</t>
  </si>
  <si>
    <t>1371103001900005</t>
  </si>
  <si>
    <t>800010</t>
  </si>
  <si>
    <t>YUDHISTIRA BAGASKARA SIREGAR</t>
  </si>
  <si>
    <t>ERI SUJATMAN</t>
  </si>
  <si>
    <t>5035298565</t>
  </si>
  <si>
    <t>+6285891718517</t>
  </si>
  <si>
    <t>3202051607940002</t>
  </si>
  <si>
    <t>800009</t>
  </si>
  <si>
    <t>Muhamad Abduh</t>
  </si>
  <si>
    <t>1672918230</t>
  </si>
  <si>
    <t>+6281292708434</t>
  </si>
  <si>
    <t>3206282211990004</t>
  </si>
  <si>
    <t>800008</t>
  </si>
  <si>
    <t>MUHAMAD ABDUH</t>
  </si>
  <si>
    <t>RAFIYUDIN AL AFGANI</t>
  </si>
  <si>
    <t>6035049847</t>
  </si>
  <si>
    <t>+62895702098991</t>
  </si>
  <si>
    <t>3276012105020001</t>
  </si>
  <si>
    <t>800007</t>
  </si>
  <si>
    <t>RAFFIYUDIN AL AFGANI</t>
  </si>
  <si>
    <t>MAKIH</t>
  </si>
  <si>
    <t>6611282416</t>
  </si>
  <si>
    <t>+6289636435213</t>
  </si>
  <si>
    <t>3276081604820001</t>
  </si>
  <si>
    <t>800006</t>
  </si>
  <si>
    <t>RUSDI SETIAWAN</t>
  </si>
  <si>
    <t>1370012704645</t>
  </si>
  <si>
    <t>+6282138735858</t>
  </si>
  <si>
    <t>3320021909900003</t>
  </si>
  <si>
    <t>800005</t>
  </si>
  <si>
    <t>Hermawan</t>
  </si>
  <si>
    <t>9000016369762</t>
  </si>
  <si>
    <t>+6289526266111</t>
  </si>
  <si>
    <t>3402121008840006</t>
  </si>
  <si>
    <t>800004</t>
  </si>
  <si>
    <t>HERMAWAN</t>
  </si>
  <si>
    <t>Edi Priyanto</t>
  </si>
  <si>
    <t>1370004396566</t>
  </si>
  <si>
    <t>+6289652106007</t>
  </si>
  <si>
    <t>3402120810740001</t>
  </si>
  <si>
    <t>800003</t>
  </si>
  <si>
    <t>EDI PRIYANTO</t>
  </si>
  <si>
    <t>YUDI WIARSO</t>
  </si>
  <si>
    <t>2870056845</t>
  </si>
  <si>
    <t>+6287886138556</t>
  </si>
  <si>
    <t>3173081601780004</t>
  </si>
  <si>
    <t>800248</t>
  </si>
  <si>
    <t>ANTO RIYADI</t>
  </si>
  <si>
    <t>1180012584735</t>
  </si>
  <si>
    <t>+6282111248007</t>
  </si>
  <si>
    <t>3216061911710011</t>
  </si>
  <si>
    <t>SUMARDIANSYAH</t>
  </si>
  <si>
    <t>6044682821</t>
  </si>
  <si>
    <t>+6281287222205</t>
  </si>
  <si>
    <t>3174082603840001</t>
  </si>
  <si>
    <t>800032</t>
  </si>
  <si>
    <t>MUHAYYI</t>
  </si>
  <si>
    <t>0700006061688</t>
  </si>
  <si>
    <t>+6281511737607</t>
  </si>
  <si>
    <t>3171080707670001</t>
  </si>
  <si>
    <t>Ferdiansyah aqyar</t>
  </si>
  <si>
    <t>GPU Jakarta</t>
  </si>
  <si>
    <t>08888320561</t>
  </si>
  <si>
    <t>3172011110030004</t>
  </si>
  <si>
    <t>800240</t>
  </si>
  <si>
    <t>FERDIANSYAH AQYAR</t>
  </si>
  <si>
    <t>GADING GILANG KENCANA</t>
  </si>
  <si>
    <t>089502154693</t>
  </si>
  <si>
    <t>3603171508010006</t>
  </si>
  <si>
    <t>800237</t>
  </si>
  <si>
    <t>Lukmanul Hakim</t>
  </si>
  <si>
    <t>085892395938</t>
  </si>
  <si>
    <t>3674061610990010</t>
  </si>
  <si>
    <t>800236</t>
  </si>
  <si>
    <t>LUKMANUL HAKIM</t>
  </si>
  <si>
    <t>BAGUS YUDA PRASETYA</t>
  </si>
  <si>
    <t>1370022980409</t>
  </si>
  <si>
    <t>+6283149927794</t>
  </si>
  <si>
    <t>3404131706020001</t>
  </si>
  <si>
    <t>800079</t>
  </si>
  <si>
    <t>HARSYA PUTRA ATMAJA</t>
  </si>
  <si>
    <t>1370023782184</t>
  </si>
  <si>
    <t>+6288980780370</t>
  </si>
  <si>
    <t>3404022506030006</t>
  </si>
  <si>
    <t>800078</t>
  </si>
  <si>
    <t>ZAKI FALAH MAHADIKA</t>
  </si>
  <si>
    <t>1380021546101</t>
  </si>
  <si>
    <t>+6281225405254</t>
  </si>
  <si>
    <t>3310011807030001</t>
  </si>
  <si>
    <t>800077</t>
  </si>
  <si>
    <t>Dwi Hidayat</t>
  </si>
  <si>
    <t>1370013704685</t>
  </si>
  <si>
    <t>+6285747029221</t>
  </si>
  <si>
    <t>3404052606900002</t>
  </si>
  <si>
    <t>800076</t>
  </si>
  <si>
    <t>DWI HIDAYAT</t>
  </si>
  <si>
    <t>Pujang Jamaludin Khoir</t>
  </si>
  <si>
    <t>1370020021024</t>
  </si>
  <si>
    <t>+6289667501959</t>
  </si>
  <si>
    <t>3404051704970001</t>
  </si>
  <si>
    <t>800075</t>
  </si>
  <si>
    <t>PUJANG JAMALUDIN KHOIR</t>
  </si>
  <si>
    <t>Annisa Rachman</t>
  </si>
  <si>
    <t>0374545872</t>
  </si>
  <si>
    <t>082227042993</t>
  </si>
  <si>
    <t>3404144309950002</t>
  </si>
  <si>
    <t>800074</t>
  </si>
  <si>
    <t>ANNISA RACHMAN</t>
  </si>
  <si>
    <t>ANHARDIKA MELZA PRATAMA</t>
  </si>
  <si>
    <t>1370023140474</t>
  </si>
  <si>
    <t>+6285862767809</t>
  </si>
  <si>
    <t>3404161005020002</t>
  </si>
  <si>
    <t>800073</t>
  </si>
  <si>
    <t>EDI SUWANDANA</t>
  </si>
  <si>
    <t>1380023028678</t>
  </si>
  <si>
    <t>+6289669644345</t>
  </si>
  <si>
    <t>3310162706940004</t>
  </si>
  <si>
    <t>800071</t>
  </si>
  <si>
    <t>Edo Pradana Putra</t>
  </si>
  <si>
    <t>1380014917491</t>
  </si>
  <si>
    <t>+6281911440298</t>
  </si>
  <si>
    <t>3309052505959004</t>
  </si>
  <si>
    <t>800070</t>
  </si>
  <si>
    <t>EDO PRADANA PUTRA</t>
  </si>
  <si>
    <t>Muhammad Soleh</t>
  </si>
  <si>
    <t>1380016113230</t>
  </si>
  <si>
    <t>+6287736420984</t>
  </si>
  <si>
    <t>3311072511940003</t>
  </si>
  <si>
    <t>800068</t>
  </si>
  <si>
    <t>MUHAMMAD SOLEH</t>
  </si>
  <si>
    <t>SETIAWAN EKO SAPUTRO</t>
  </si>
  <si>
    <t>1380022280346</t>
  </si>
  <si>
    <t>+6281246207187</t>
  </si>
  <si>
    <t>3309072901950001</t>
  </si>
  <si>
    <t>800066</t>
  </si>
  <si>
    <t>AHMAD ABDUL AZIZ</t>
  </si>
  <si>
    <t>1390019112360</t>
  </si>
  <si>
    <t>+6282322089921</t>
  </si>
  <si>
    <t>3324092804870004</t>
  </si>
  <si>
    <t>800065</t>
  </si>
  <si>
    <t>JOKO SUTRISNO</t>
  </si>
  <si>
    <t>1420015985509</t>
  </si>
  <si>
    <t>+6289509075304</t>
  </si>
  <si>
    <t>3374131304870002</t>
  </si>
  <si>
    <t>800063</t>
  </si>
  <si>
    <t>ADI SETIAWAN</t>
  </si>
  <si>
    <t>1350020396121</t>
  </si>
  <si>
    <t>+6288983056077</t>
  </si>
  <si>
    <t>3321070306890001</t>
  </si>
  <si>
    <t>800062</t>
  </si>
  <si>
    <t>Sugiyono</t>
  </si>
  <si>
    <t>1420015983082</t>
  </si>
  <si>
    <t>+6287717715613</t>
  </si>
  <si>
    <t>3321011002820008</t>
  </si>
  <si>
    <t>800060</t>
  </si>
  <si>
    <t>SUGIYONO</t>
  </si>
  <si>
    <t>FAIDSAL ABIDIN</t>
  </si>
  <si>
    <t>0463156805</t>
  </si>
  <si>
    <t>087773566212</t>
  </si>
  <si>
    <t>3302271008970002</t>
  </si>
  <si>
    <t>800231</t>
  </si>
  <si>
    <t>Munawar</t>
  </si>
  <si>
    <t>8710276634</t>
  </si>
  <si>
    <t>081299383126</t>
  </si>
  <si>
    <t>3529080205940003</t>
  </si>
  <si>
    <t>800002</t>
  </si>
  <si>
    <t>Gaji Februari 2026 dibayar penuh tapi selesai per 31 Januari 2026</t>
  </si>
  <si>
    <t>6 Februari 2026</t>
  </si>
  <si>
    <t>1 JANUARI 2026 - 6 FEBRUARI 2026</t>
  </si>
  <si>
    <t>MUNAWAR</t>
  </si>
  <si>
    <t>Denny yulianto</t>
  </si>
  <si>
    <t>6590066239</t>
  </si>
  <si>
    <t>DC Cakung</t>
  </si>
  <si>
    <t>081808406537</t>
  </si>
  <si>
    <t>13960</t>
  </si>
  <si>
    <t>3175031507830019</t>
  </si>
  <si>
    <t>800219</t>
  </si>
  <si>
    <t>DENNY YULIANTO</t>
  </si>
  <si>
    <t>Sumardani</t>
  </si>
  <si>
    <t>1271168506</t>
  </si>
  <si>
    <t>089602773209</t>
  </si>
  <si>
    <t>3202120510850001</t>
  </si>
  <si>
    <t>800218</t>
  </si>
  <si>
    <t>SUMARDANI</t>
  </si>
  <si>
    <t>HERIYANTI</t>
  </si>
  <si>
    <t>4281775868</t>
  </si>
  <si>
    <t>08988781402</t>
  </si>
  <si>
    <t>3172024905940001</t>
  </si>
  <si>
    <t>800217</t>
  </si>
  <si>
    <t>Muna Tia Nihayatun Zen</t>
  </si>
  <si>
    <t>0463156686</t>
  </si>
  <si>
    <t>0895325502828</t>
  </si>
  <si>
    <t>3320025404000006</t>
  </si>
  <si>
    <t>800221</t>
  </si>
  <si>
    <t>MUNA TIA NIHAYATUN ZEN</t>
  </si>
  <si>
    <t>Fressadhani Prabasari</t>
  </si>
  <si>
    <t>0463156716</t>
  </si>
  <si>
    <t>087839054894</t>
  </si>
  <si>
    <t>3302194401980001</t>
  </si>
  <si>
    <t>800227</t>
  </si>
  <si>
    <t>FRESSADHANI PRABASARI</t>
  </si>
  <si>
    <t>Wakhit Daryo Saputro</t>
  </si>
  <si>
    <t>3920795128</t>
  </si>
  <si>
    <t>ELTI Solo</t>
  </si>
  <si>
    <t>085701022928</t>
  </si>
  <si>
    <t>5714</t>
  </si>
  <si>
    <t>3372051610840004</t>
  </si>
  <si>
    <t>800230</t>
  </si>
  <si>
    <t>WAKHIT DARYO SAPUTRO</t>
  </si>
  <si>
    <t>JOKO PURNOMO</t>
  </si>
  <si>
    <t>8175670374</t>
  </si>
  <si>
    <t>081578570672</t>
  </si>
  <si>
    <t>3313132204880001</t>
  </si>
  <si>
    <t>800222</t>
  </si>
  <si>
    <t>Sugiyatmi</t>
  </si>
  <si>
    <t>0790440307</t>
  </si>
  <si>
    <t>085725372068</t>
  </si>
  <si>
    <t>3372056712840006</t>
  </si>
  <si>
    <t>800224</t>
  </si>
  <si>
    <t>SUGIYATMI</t>
  </si>
  <si>
    <t>Devinta Rahmawati</t>
  </si>
  <si>
    <t>8020599848</t>
  </si>
  <si>
    <t>089526234138</t>
  </si>
  <si>
    <t>3404024410930003</t>
  </si>
  <si>
    <t>800228</t>
  </si>
  <si>
    <t>DEVINTA RAHMAWATI</t>
  </si>
  <si>
    <t>Jakyudin</t>
  </si>
  <si>
    <t>7317170911</t>
  </si>
  <si>
    <t>082122343618</t>
  </si>
  <si>
    <t>3209052404930002</t>
  </si>
  <si>
    <t>800223</t>
  </si>
  <si>
    <t>JAKYUDIN</t>
  </si>
  <si>
    <t>Ela Fatimah</t>
  </si>
  <si>
    <t>6975658868</t>
  </si>
  <si>
    <t>081225992304</t>
  </si>
  <si>
    <t>3307046002000004</t>
  </si>
  <si>
    <t>800229</t>
  </si>
  <si>
    <t>ELA FATIMAH</t>
  </si>
  <si>
    <t>Vivi Wulandari</t>
  </si>
  <si>
    <t>7317170902</t>
  </si>
  <si>
    <t>088803911355</t>
  </si>
  <si>
    <t>3402094808080004</t>
  </si>
  <si>
    <t>800225</t>
  </si>
  <si>
    <t>Bernadeta Febyana Herlanda</t>
  </si>
  <si>
    <t>4561358839</t>
  </si>
  <si>
    <t>082125815019</t>
  </si>
  <si>
    <t>3404115702920001</t>
  </si>
  <si>
    <t>800226</t>
  </si>
  <si>
    <t>BERNADETA FEBYANA HERLANDA</t>
  </si>
  <si>
    <t>PT</t>
  </si>
  <si>
    <t>CEK SELISIH</t>
  </si>
  <si>
    <t>Tunjangan Jams 4,54% (y + bl)</t>
  </si>
  <si>
    <t>Iuran THT 5,7% (av+ax)</t>
  </si>
  <si>
    <t>KET BPJS</t>
  </si>
  <si>
    <t>TLL</t>
  </si>
  <si>
    <t>Validasi</t>
  </si>
  <si>
    <t>Iuran Salah menggunakan UMK lama</t>
  </si>
  <si>
    <t>Setoran</t>
  </si>
  <si>
    <t>Setoran Ke BPJS KESEHATAN</t>
  </si>
  <si>
    <t>Biaya Jabatan</t>
  </si>
  <si>
    <t>Iuran JHT</t>
  </si>
  <si>
    <t>Setoran Ke BPJS NAKER</t>
  </si>
  <si>
    <t>POTONGAN BPJS KESEHATAN KARYAWAN</t>
  </si>
  <si>
    <t>POTONGAN BPJS KETENAGAKERJAAN</t>
  </si>
  <si>
    <t>NILAI TRANSFER (INC BPJS INC BIAYA TRANSFER)</t>
  </si>
  <si>
    <t>NILAI TRANSFER (INC BPJS EXC BIAYA TRANSFER)</t>
  </si>
  <si>
    <t>BIAYA TRANSFER</t>
  </si>
  <si>
    <t>PPh KARYAWAN</t>
  </si>
  <si>
    <t>STATUS PAJAK</t>
  </si>
  <si>
    <t>POTONGAN BPJS KARYAWAN</t>
  </si>
  <si>
    <t>TOTAL TAGIHAN</t>
  </si>
  <si>
    <t>Total Tanpa PPN untuk FTI</t>
  </si>
  <si>
    <t>PPh 23 (2%)</t>
  </si>
  <si>
    <t>PPn JASA (11%)</t>
  </si>
  <si>
    <t>FEE MANAGEMENT (6%)</t>
  </si>
  <si>
    <t>TOTAL BIAYA KARYAWAN</t>
  </si>
  <si>
    <t>Tunjangan JHT (3.70%)</t>
  </si>
  <si>
    <t>BPJS KETENAGAKERJAAN (6.24%)</t>
  </si>
  <si>
    <t>BPJS KESEHATAN (4%)</t>
  </si>
  <si>
    <t xml:space="preserve">Total BPJS PERUSAHAAN </t>
  </si>
  <si>
    <t>TOTAL UPAH</t>
  </si>
  <si>
    <t>POTONGAN GAJI KARYAWAN (KEHADIRAN DAN PERIODE MASUK)</t>
  </si>
  <si>
    <t>KOMPONEN LAIN (Susulan dll)</t>
  </si>
  <si>
    <t>LEMBUR CONDITIONAL</t>
  </si>
  <si>
    <t>LEMBUR PERMANEN</t>
  </si>
  <si>
    <t>TUNJANGAN LAINNYA (JABATAN/ BPJS)</t>
  </si>
  <si>
    <t>TUNJANGAN TETAP</t>
  </si>
  <si>
    <t>SELISIH</t>
  </si>
  <si>
    <t>UMK</t>
  </si>
  <si>
    <t>UMK 2026</t>
  </si>
  <si>
    <t>GAJI POKOK</t>
  </si>
  <si>
    <t>NAMA REKENING</t>
  </si>
  <si>
    <t>NOMER REKENING</t>
  </si>
  <si>
    <t>BANK</t>
  </si>
  <si>
    <t>UNIT</t>
  </si>
  <si>
    <t>UNIT - REGI</t>
  </si>
  <si>
    <t>No. HP WA</t>
  </si>
  <si>
    <t>KODE SUKU PSA ODOO</t>
  </si>
  <si>
    <t>JABATAN</t>
  </si>
  <si>
    <t>365 POSITION</t>
  </si>
  <si>
    <t>FINDIM FMB</t>
  </si>
  <si>
    <t>COST CENTER</t>
  </si>
  <si>
    <t>NIK</t>
  </si>
  <si>
    <t>KPJ BPJS Kesehatan</t>
  </si>
  <si>
    <t>NIK BPJS Kesehatan</t>
  </si>
  <si>
    <t>KPJ BPJS NAKER</t>
  </si>
  <si>
    <t>Actual Join Date</t>
  </si>
  <si>
    <t>NIK Pegawai</t>
  </si>
  <si>
    <t>CATATAN TAMBAHAN</t>
  </si>
  <si>
    <t>CATATAN AWAL</t>
  </si>
  <si>
    <t>KARTU AKSES (HO)</t>
  </si>
  <si>
    <t>SERAGAM</t>
  </si>
  <si>
    <t>ID CARD</t>
  </si>
  <si>
    <t>JANGKA WAKTU PERPANJANGAN KHUSUS</t>
  </si>
  <si>
    <t>PERIODE PKWT</t>
  </si>
  <si>
    <t>NAMA KARYAWAN</t>
  </si>
  <si>
    <t>NO</t>
  </si>
  <si>
    <t>-000-000-000-00</t>
  </si>
  <si>
    <t>DESEMBER 2025</t>
  </si>
  <si>
    <t>National Sales and Promotion</t>
  </si>
  <si>
    <t>Andini Nabila</t>
  </si>
  <si>
    <t>DESEMBER</t>
  </si>
  <si>
    <t>JANUARI 2026</t>
  </si>
  <si>
    <t>Tagihan BPJS Ditanggung oleh FMB Sepnuhnya sampai Februari 2026</t>
  </si>
  <si>
    <t>Melawai</t>
  </si>
  <si>
    <t>2 Januari 2026</t>
  </si>
  <si>
    <t>SPA</t>
  </si>
  <si>
    <t>Jangam ditagihkan bulan Januari 2026</t>
  </si>
  <si>
    <t>6 bulan</t>
  </si>
  <si>
    <t>PPH 23</t>
  </si>
  <si>
    <t>PPN</t>
  </si>
  <si>
    <t>FEE</t>
  </si>
  <si>
    <t>TOTAL BIAYA LARYAWAN</t>
  </si>
  <si>
    <t>Note</t>
  </si>
  <si>
    <t>Potongan Gaji</t>
  </si>
  <si>
    <t>Nominal Transfer</t>
  </si>
  <si>
    <t>Biaya Transfer</t>
  </si>
  <si>
    <t>Potongan BPJS Kesehatan</t>
  </si>
  <si>
    <t>Potongan BPJS Ketenagakerjaan</t>
  </si>
  <si>
    <t>Iuran BPJS Perusahaan</t>
  </si>
  <si>
    <t>Jumlah Kehadiran Bulanan</t>
  </si>
  <si>
    <t>UMK Terbaru</t>
  </si>
  <si>
    <t>Upah Harian</t>
  </si>
  <si>
    <t>Jangka Waktu Perjanjian</t>
  </si>
  <si>
    <t>bank</t>
  </si>
  <si>
    <t>PERIODE</t>
  </si>
  <si>
    <t>acc</t>
  </si>
  <si>
    <t>Nama</t>
  </si>
  <si>
    <t>Nomor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</si>
</sst>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rgb="FF434343"/>
      <name val="Arial"/>
      <family val="2"/>
    </font>
    <font>
      <sz val="10"/>
      <color theme="1"/>
      <name val="Calibri"/>
      <family val="2"/>
      <scheme val="minor"/>
    </font>
    <font>
      <sz val="10"/>
      <color rgb="FF434343"/>
      <name val="Roboto"/>
    </font>
    <font>
      <sz val="12"/>
      <name val="Calibri"/>
      <family val="2"/>
      <scheme val="minor"/>
    </font>
    <font>
      <sz val="10"/>
      <color theme="1"/>
      <name val="Roboto"/>
    </font>
    <font>
      <sz val="10"/>
      <name val="Roboto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1" fillId="0" borderId="0"/>
  </cellStyleXfs>
  <cellXfs count="153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3" fontId="0" fillId="0" borderId="0" xfId="0" applyNumberFormat="1"/>
    <xf numFmtId="165" fontId="0" fillId="0" borderId="0" xfId="1" applyNumberFormat="1" applyFont="1" applyFill="1"/>
    <xf numFmtId="165" fontId="0" fillId="0" borderId="0" xfId="1" applyNumberFormat="1" applyFont="1" applyFill="1" applyBorder="1"/>
    <xf numFmtId="166" fontId="0" fillId="0" borderId="0" xfId="0" applyNumberFormat="1"/>
    <xf numFmtId="165" fontId="0" fillId="0" borderId="0" xfId="0" applyNumberFormat="1"/>
    <xf numFmtId="165" fontId="0" fillId="2" borderId="0" xfId="1" applyNumberFormat="1" applyFont="1" applyFill="1"/>
    <xf numFmtId="0" fontId="0" fillId="3" borderId="0" xfId="0" applyFill="1"/>
    <xf numFmtId="0" fontId="3" fillId="0" borderId="0" xfId="0" applyFont="1" applyAlignment="1">
      <alignment vertical="center"/>
    </xf>
    <xf numFmtId="166" fontId="3" fillId="0" borderId="0" xfId="1" applyNumberFormat="1" applyFont="1" applyFill="1" applyBorder="1" applyAlignment="1">
      <alignment vertical="center"/>
    </xf>
    <xf numFmtId="166" fontId="3" fillId="0" borderId="0" xfId="1" applyNumberFormat="1" applyFont="1" applyFill="1" applyBorder="1"/>
    <xf numFmtId="0" fontId="0" fillId="0" borderId="0" xfId="0" quotePrefix="1"/>
    <xf numFmtId="0" fontId="0" fillId="2" borderId="0" xfId="0" applyFill="1"/>
    <xf numFmtId="166" fontId="0" fillId="2" borderId="0" xfId="0" applyNumberFormat="1" applyFill="1"/>
    <xf numFmtId="0" fontId="3" fillId="2" borderId="0" xfId="0" applyFont="1" applyFill="1" applyAlignment="1">
      <alignment vertical="center"/>
    </xf>
    <xf numFmtId="166" fontId="3" fillId="2" borderId="0" xfId="1" applyNumberFormat="1" applyFont="1" applyFill="1" applyBorder="1" applyAlignment="1">
      <alignment vertical="center"/>
    </xf>
    <xf numFmtId="166" fontId="3" fillId="2" borderId="0" xfId="1" applyNumberFormat="1" applyFont="1" applyFill="1" applyBorder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0" borderId="1" xfId="0" applyBorder="1"/>
    <xf numFmtId="164" fontId="0" fillId="4" borderId="0" xfId="1" applyFont="1" applyFill="1"/>
    <xf numFmtId="164" fontId="1" fillId="4" borderId="0" xfId="1" applyFont="1" applyFill="1" applyAlignment="1">
      <alignment horizontal="center"/>
    </xf>
    <xf numFmtId="164" fontId="0" fillId="4" borderId="0" xfId="1" applyFont="1" applyFill="1" applyAlignment="1">
      <alignment horizontal="left" vertical="center"/>
    </xf>
    <xf numFmtId="164" fontId="0" fillId="4" borderId="0" xfId="1" applyFont="1" applyFill="1" applyAlignment="1">
      <alignment horizontal="center" vertical="center"/>
    </xf>
    <xf numFmtId="164" fontId="0" fillId="4" borderId="0" xfId="1" quotePrefix="1" applyFont="1" applyFill="1"/>
    <xf numFmtId="164" fontId="0" fillId="4" borderId="0" xfId="1" applyFont="1" applyFill="1" applyAlignment="1">
      <alignment horizont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vertical="center"/>
    </xf>
    <xf numFmtId="3" fontId="3" fillId="3" borderId="0" xfId="0" applyNumberFormat="1" applyFont="1" applyFill="1" applyAlignment="1">
      <alignment vertical="center"/>
    </xf>
    <xf numFmtId="14" fontId="0" fillId="0" borderId="0" xfId="0" applyNumberFormat="1"/>
    <xf numFmtId="166" fontId="3" fillId="0" borderId="0" xfId="1" applyNumberFormat="1" applyFont="1" applyFill="1" applyBorder="1" applyAlignment="1">
      <alignment horizontal="center" vertical="center"/>
    </xf>
    <xf numFmtId="0" fontId="3" fillId="0" borderId="0" xfId="2" applyFont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0" xfId="0" quotePrefix="1" applyNumberFormat="1"/>
    <xf numFmtId="49" fontId="0" fillId="0" borderId="0" xfId="0" applyNumberFormat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164" fontId="3" fillId="0" borderId="0" xfId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quotePrefix="1" applyFont="1"/>
    <xf numFmtId="0" fontId="0" fillId="0" borderId="0" xfId="0" quotePrefix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49" fontId="0" fillId="0" borderId="0" xfId="0" quotePrefix="1" applyNumberFormat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49" fontId="5" fillId="0" borderId="0" xfId="0" quotePrefix="1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49" fontId="1" fillId="0" borderId="0" xfId="1" applyNumberFormat="1" applyFont="1" applyFill="1" applyBorder="1" applyAlignment="1">
      <alignment horizontal="center" vertical="top"/>
    </xf>
    <xf numFmtId="0" fontId="3" fillId="2" borderId="0" xfId="0" applyFont="1" applyFill="1"/>
    <xf numFmtId="3" fontId="0" fillId="2" borderId="0" xfId="0" applyNumberFormat="1" applyFill="1"/>
    <xf numFmtId="3" fontId="3" fillId="2" borderId="0" xfId="0" applyNumberFormat="1" applyFont="1" applyFill="1" applyAlignment="1">
      <alignment vertical="center"/>
    </xf>
    <xf numFmtId="49" fontId="3" fillId="2" borderId="0" xfId="3" applyNumberFormat="1" applyFont="1" applyFill="1" applyAlignment="1">
      <alignment horizontal="center"/>
    </xf>
    <xf numFmtId="0" fontId="3" fillId="2" borderId="0" xfId="2" applyFont="1" applyFill="1" applyAlignment="1">
      <alignment horizontal="center"/>
    </xf>
    <xf numFmtId="49" fontId="0" fillId="2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49" fontId="0" fillId="2" borderId="0" xfId="0" applyNumberFormat="1" applyFill="1"/>
    <xf numFmtId="0" fontId="3" fillId="0" borderId="0" xfId="3" applyFont="1" applyAlignment="1">
      <alignment horizontal="center"/>
    </xf>
    <xf numFmtId="15" fontId="0" fillId="0" borderId="0" xfId="0" applyNumberFormat="1" applyAlignment="1">
      <alignment horizontal="center" vertical="center"/>
    </xf>
    <xf numFmtId="0" fontId="1" fillId="0" borderId="0" xfId="1" applyNumberFormat="1" applyFont="1" applyFill="1" applyBorder="1" applyAlignment="1">
      <alignment horizontal="center" vertical="top"/>
    </xf>
    <xf numFmtId="49" fontId="10" fillId="0" borderId="0" xfId="0" quotePrefix="1" applyNumberFormat="1" applyFont="1" applyAlignment="1">
      <alignment horizontal="center" vertical="center"/>
    </xf>
    <xf numFmtId="0" fontId="3" fillId="2" borderId="0" xfId="1" applyNumberFormat="1" applyFont="1" applyFill="1" applyBorder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quotePrefix="1" applyNumberFormat="1" applyFont="1" applyAlignment="1">
      <alignment horizontal="left" vertical="center"/>
    </xf>
    <xf numFmtId="0" fontId="7" fillId="0" borderId="0" xfId="0" applyFont="1" applyAlignment="1">
      <alignment vertical="center" wrapText="1"/>
    </xf>
    <xf numFmtId="49" fontId="7" fillId="0" borderId="0" xfId="0" quotePrefix="1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center" vertical="center"/>
    </xf>
    <xf numFmtId="49" fontId="0" fillId="0" borderId="0" xfId="0" applyNumberFormat="1" applyAlignme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/>
    <xf numFmtId="49" fontId="1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5" fontId="3" fillId="0" borderId="0" xfId="1" applyNumberFormat="1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2" fillId="0" borderId="0" xfId="1" applyNumberFormat="1" applyFont="1" applyFill="1"/>
    <xf numFmtId="166" fontId="2" fillId="0" borderId="0" xfId="0" applyNumberFormat="1" applyFont="1"/>
    <xf numFmtId="0" fontId="13" fillId="0" borderId="0" xfId="0" applyFont="1"/>
    <xf numFmtId="3" fontId="2" fillId="0" borderId="0" xfId="0" applyNumberFormat="1" applyFont="1"/>
    <xf numFmtId="3" fontId="13" fillId="0" borderId="0" xfId="0" applyNumberFormat="1" applyFont="1" applyAlignment="1">
      <alignment vertical="center"/>
    </xf>
    <xf numFmtId="3" fontId="13" fillId="3" borderId="0" xfId="0" applyNumberFormat="1" applyFont="1" applyFill="1" applyAlignment="1">
      <alignment vertical="center"/>
    </xf>
    <xf numFmtId="0" fontId="13" fillId="0" borderId="0" xfId="0" applyFont="1" applyAlignment="1">
      <alignment vertical="center"/>
    </xf>
    <xf numFmtId="166" fontId="13" fillId="0" borderId="0" xfId="1" applyNumberFormat="1" applyFont="1" applyFill="1" applyBorder="1" applyAlignment="1">
      <alignment vertical="center"/>
    </xf>
    <xf numFmtId="166" fontId="13" fillId="0" borderId="0" xfId="1" applyNumberFormat="1" applyFont="1" applyFill="1" applyBorder="1"/>
    <xf numFmtId="0" fontId="13" fillId="0" borderId="0" xfId="1" applyNumberFormat="1" applyFont="1" applyFill="1" applyBorder="1" applyAlignment="1">
      <alignment horizontal="center" vertical="center"/>
    </xf>
    <xf numFmtId="0" fontId="13" fillId="0" borderId="0" xfId="2" applyFont="1" applyAlignment="1">
      <alignment horizontal="center"/>
    </xf>
    <xf numFmtId="0" fontId="13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1" applyNumberFormat="1" applyFont="1" applyFill="1" applyBorder="1" applyAlignment="1">
      <alignment vertical="center"/>
    </xf>
    <xf numFmtId="49" fontId="3" fillId="0" borderId="0" xfId="1" applyNumberFormat="1" applyFont="1" applyFill="1" applyBorder="1" applyAlignment="1">
      <alignment vertical="center"/>
    </xf>
    <xf numFmtId="0" fontId="14" fillId="6" borderId="0" xfId="0" applyFont="1" applyFill="1" applyAlignment="1">
      <alignment horizontal="center" vertical="center"/>
    </xf>
    <xf numFmtId="165" fontId="13" fillId="2" borderId="2" xfId="1" applyNumberFormat="1" applyFont="1" applyFill="1" applyBorder="1" applyAlignment="1">
      <alignment horizontal="center" vertical="center" wrapText="1"/>
    </xf>
    <xf numFmtId="165" fontId="13" fillId="2" borderId="0" xfId="1" applyNumberFormat="1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10" fontId="13" fillId="2" borderId="0" xfId="0" applyNumberFormat="1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10" fontId="2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1" applyNumberFormat="1" applyFont="1" applyFill="1" applyBorder="1" applyAlignment="1">
      <alignment horizontal="center" vertical="center" wrapText="1"/>
    </xf>
    <xf numFmtId="166" fontId="15" fillId="0" borderId="0" xfId="1" applyNumberFormat="1" applyFont="1" applyFill="1" applyBorder="1" applyAlignment="1">
      <alignment horizontal="center" vertical="center" wrapText="1"/>
    </xf>
    <xf numFmtId="166" fontId="2" fillId="2" borderId="0" xfId="1" applyNumberFormat="1" applyFont="1" applyFill="1" applyBorder="1" applyAlignment="1">
      <alignment horizontal="center" vertical="center" wrapText="1"/>
    </xf>
    <xf numFmtId="166" fontId="13" fillId="0" borderId="0" xfId="1" applyNumberFormat="1" applyFont="1" applyFill="1" applyBorder="1" applyAlignment="1">
      <alignment horizontal="center" vertical="center" wrapText="1"/>
    </xf>
    <xf numFmtId="49" fontId="2" fillId="0" borderId="0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" fontId="0" fillId="0" borderId="0" xfId="0" applyNumberFormat="1"/>
    <xf numFmtId="166" fontId="3" fillId="0" borderId="1" xfId="1" applyNumberFormat="1" applyFont="1" applyFill="1" applyBorder="1" applyAlignment="1">
      <alignment vertical="center"/>
    </xf>
    <xf numFmtId="165" fontId="0" fillId="0" borderId="1" xfId="1" applyNumberFormat="1" applyFont="1" applyFill="1" applyBorder="1"/>
    <xf numFmtId="0" fontId="0" fillId="0" borderId="1" xfId="0" quotePrefix="1" applyBorder="1"/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0" fillId="0" borderId="1" xfId="1" applyNumberFormat="1" applyFont="1" applyFill="1" applyBorder="1"/>
    <xf numFmtId="1" fontId="0" fillId="0" borderId="1" xfId="0" applyNumberFormat="1" applyBorder="1"/>
    <xf numFmtId="17" fontId="0" fillId="0" borderId="1" xfId="0" quotePrefix="1" applyNumberFormat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3" fillId="0" borderId="1" xfId="1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">
    <cellStyle name="Comma 2" xfId="1" xr:uid="{278BB4E7-BC47-4BE1-A9F0-03AFC9804EB2}"/>
    <cellStyle name="Normal" xfId="0" builtinId="0"/>
    <cellStyle name="Normal 2" xfId="2" xr:uid="{2FD94D37-3B8A-49C5-8AD3-21A806603E5F}"/>
    <cellStyle name="Normal 4" xfId="3" xr:uid="{F0661D2A-E975-4E52-8DC3-C16E99F13BD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tgo\OneDrive\Documents\PT%20FORTUNA%20MANDIRI%20BERDIKARI\Kode%20Posisi.xlsx" TargetMode="External"/><Relationship Id="rId1" Type="http://schemas.openxmlformats.org/officeDocument/2006/relationships/externalLinkPath" Target="file:///C:\Users\sitgo\OneDrive\Documents\PT%20FORTUNA%20MANDIRI%20BERDIKARI\Kode%20Posisi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T%20FORTUNA%20MANDIRI%20BERDIKARI/FMB%20-%20TAGIHAN/TAHUN%202026/INTERNAL%20GORP/4%20APRIL%202026/Tagihan%20April%202026-versi%20mba%20lia.xlsx" TargetMode="External"/><Relationship Id="rId2" Type="http://schemas.openxmlformats.org/officeDocument/2006/relationships/externalLinkPath" Target="file:///D:\PT%20FORTUNA%20MANDIRI%20BERDIKARI\FMB%20-%20TAGIHAN\TAHUN%202026\INTERNAL%20GORP\4%20APRIL%202026\Tagihan%20April%202026-versi%20mba%20lia.xlsx" TargetMode="External"/><Relationship Id="rId1" Type="http://schemas.openxmlformats.org/officeDocument/2006/relationships/externalLinkPath" Target="/PT%20FORTUNA%20MANDIRI%20BERDIKARI/FMB%20-%20TAGIHAN/TAHUN%202026/INTERNAL%20GORP/4%20APRIL%202026/Tagihan%20April%202026-versi%20mba%20li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yo%20Tangguh%20SKSKW\Downloads\template_koreksi_tk_25032035%20(14).xlsx" TargetMode="External"/><Relationship Id="rId1" Type="http://schemas.openxmlformats.org/officeDocument/2006/relationships/externalLinkPath" Target="file:///C:\Users\Haryo%20Tangguh%20SKSKW\Downloads\template_koreksi_tk_25032035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yo%20Tangguh%20SKSKW\Downloads\template_upah_25032035%20(10).xlsx" TargetMode="External"/><Relationship Id="rId1" Type="http://schemas.openxmlformats.org/officeDocument/2006/relationships/externalLinkPath" Target="file:///C:\Users\Haryo%20Tangguh%20SKSKW\Downloads\template_upah_25032035%20(10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yo%20Tangguh%20SKSKW\Downloads\INPUT%20DATA%20PRIBADI%20KARYAWAN%20BARU%20LAST%20UPDATED%20CS.xlsx" TargetMode="External"/><Relationship Id="rId1" Type="http://schemas.openxmlformats.org/officeDocument/2006/relationships/externalLinkPath" Target="file:///C:\Users\Haryo%20Tangguh%20SKSKW\Downloads\INPUT%20DATA%20PRIBADI%20KARYAWAN%20BARU%20LAST%20UPDATED%20C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cb739172e2e2b8b/Documents/Data%20Baru%20FMB%202026.xlsx" TargetMode="External"/><Relationship Id="rId1" Type="http://schemas.openxmlformats.org/officeDocument/2006/relationships/externalLinkPath" Target="https://d.docs.live.net/ecb739172e2e2b8b/Documents/Data%20Baru%20FMB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yo%20Tangguh%20SKSKW\Downloads\Data%20Karyawan%20Baru%20Januari%202026.xlsx" TargetMode="External"/><Relationship Id="rId1" Type="http://schemas.openxmlformats.org/officeDocument/2006/relationships/externalLinkPath" Target="file:///C:\Users\Haryo%20Tangguh%20SKSKW\Downloads\Data%20Karyawan%20Baru%20Januari%202026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cb739172e2e2b8b/Documents/Rekap%20Absensi%20untuk%20bulan%20Desember%202025.xlsx" TargetMode="External"/><Relationship Id="rId1" Type="http://schemas.openxmlformats.org/officeDocument/2006/relationships/externalLinkPath" Target="https://d.docs.live.net/ecb739172e2e2b8b/Documents/Rekap%20Absensi%20untuk%20bulan%20Desember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yo%20Tangguh%20SKSKW\Downloads\Rekap%20Absensi%20untuk%20Gaji%20Januari%202026.xlsx" TargetMode="External"/><Relationship Id="rId1" Type="http://schemas.openxmlformats.org/officeDocument/2006/relationships/externalLinkPath" Target="file:///C:\Users\Haryo%20Tangguh%20SKSKW\Downloads\Rekap%20Absensi%20untuk%20Gaji%20Januari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tgo\OneDrive\Documents\PT%20FORTUNA%20MANDIRI%20BERDIKARI\TAGIHAN\TAHUN%202025\12%20DES%2025\Source%20Tagihan%20dan%20Penyelesaiian%20BS%20Desember%202025.xlsx" TargetMode="External"/><Relationship Id="rId1" Type="http://schemas.openxmlformats.org/officeDocument/2006/relationships/externalLinkPath" Target="file:///C:\Users\sitgo\OneDrive\Documents\PT%20FORTUNA%20MANDIRI%20BERDIKARI\TAGIHAN\TAHUN%202025\12%20DES%2025\Source%20Tagihan%20dan%20Penyelesaiian%20BS%20Des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ount Posisi"/>
      <sheetName val="Kode Posisi"/>
      <sheetName val="Account Biaya"/>
    </sheetNames>
    <sheetDataSet>
      <sheetData sheetId="0">
        <row r="3">
          <cell r="A3">
            <v>530210</v>
          </cell>
        </row>
      </sheetData>
      <sheetData sheetId="1">
        <row r="2">
          <cell r="A2" t="str">
            <v>Jabatan</v>
          </cell>
        </row>
        <row r="3">
          <cell r="A3" t="str">
            <v>Accounting</v>
          </cell>
          <cell r="B3" t="str">
            <v>Outsourcing Petugas Administrasi</v>
          </cell>
        </row>
        <row r="4">
          <cell r="A4" t="str">
            <v>Admin Fullfilment</v>
          </cell>
          <cell r="B4" t="str">
            <v>Outsourcing Petugas Administrasi</v>
          </cell>
        </row>
        <row r="5">
          <cell r="A5" t="str">
            <v>Admin Shipment (Pengiriman)</v>
          </cell>
          <cell r="B5" t="str">
            <v>Outsourcing Petugas Administrasi</v>
          </cell>
        </row>
        <row r="6">
          <cell r="A6" t="str">
            <v>ADMIN STORAGE</v>
          </cell>
          <cell r="B6" t="str">
            <v>Outsourcing Petugas Administrasi</v>
          </cell>
        </row>
        <row r="7">
          <cell r="A7" t="str">
            <v>Administrator</v>
          </cell>
          <cell r="B7" t="str">
            <v>Outsourcing Petugas Administrasi</v>
          </cell>
        </row>
        <row r="8">
          <cell r="A8" t="str">
            <v>Buyer</v>
          </cell>
          <cell r="B8" t="str">
            <v>Outsourcing Petugas Administrasi</v>
          </cell>
        </row>
        <row r="9">
          <cell r="A9" t="str">
            <v>Checker</v>
          </cell>
          <cell r="B9" t="str">
            <v>Outsourcing Petugas Administrasi</v>
          </cell>
        </row>
        <row r="10">
          <cell r="A10" t="str">
            <v>Resepsionis</v>
          </cell>
          <cell r="B10" t="str">
            <v>Outsourcing Petugas Administrasi</v>
          </cell>
        </row>
        <row r="11">
          <cell r="A11" t="str">
            <v>Cleaning Services</v>
          </cell>
          <cell r="B11" t="str">
            <v>Outsourcing Cleaning Service</v>
          </cell>
        </row>
        <row r="12">
          <cell r="A12" t="str">
            <v>Cleaning Services (Anggota)</v>
          </cell>
          <cell r="B12" t="str">
            <v>Outsourcing Cleaning Service</v>
          </cell>
        </row>
        <row r="13">
          <cell r="A13" t="str">
            <v>Cleaning Services (Karu)</v>
          </cell>
          <cell r="B13" t="str">
            <v>Outsourcing Cleaning Service</v>
          </cell>
        </row>
        <row r="14">
          <cell r="A14" t="str">
            <v>Customer Services</v>
          </cell>
          <cell r="B14" t="str">
            <v>Outsourcing Penjualan</v>
          </cell>
        </row>
        <row r="15">
          <cell r="A15" t="str">
            <v>Data entry</v>
          </cell>
          <cell r="B15" t="str">
            <v>Outsourcing Petugas Administrasi</v>
          </cell>
        </row>
        <row r="16">
          <cell r="A16" t="str">
            <v>DATA ENTRY CLERK</v>
          </cell>
          <cell r="B16" t="str">
            <v>Outsourcing Petugas Administrasi</v>
          </cell>
        </row>
        <row r="17">
          <cell r="A17" t="str">
            <v>Finance ( Collector )</v>
          </cell>
          <cell r="B17" t="str">
            <v>Outsourcing Petugas Administrasi</v>
          </cell>
        </row>
        <row r="18">
          <cell r="A18" t="str">
            <v>Finance Administration</v>
          </cell>
          <cell r="B18" t="str">
            <v>Outsourcing Petugas Administrasi</v>
          </cell>
        </row>
        <row r="19">
          <cell r="A19" t="str">
            <v>FO and Marketing</v>
          </cell>
          <cell r="B19" t="str">
            <v>Outsourcing Penjualan</v>
          </cell>
        </row>
        <row r="20">
          <cell r="A20" t="str">
            <v>Front Officer</v>
          </cell>
          <cell r="B20" t="str">
            <v>Outsourcing Penjualan</v>
          </cell>
        </row>
        <row r="21">
          <cell r="A21" t="str">
            <v>Front Officer dan Marketing</v>
          </cell>
          <cell r="B21" t="str">
            <v>Outsourcing Penjualan</v>
          </cell>
        </row>
        <row r="22">
          <cell r="A22" t="str">
            <v>General Service Attendant</v>
          </cell>
          <cell r="B22" t="str">
            <v>Outsourcing Petugas Pemeliharaan Gedung</v>
          </cell>
        </row>
        <row r="23">
          <cell r="A23" t="str">
            <v>General Service Supervisor</v>
          </cell>
          <cell r="B23" t="str">
            <v>Outsourcing Cleaning Service</v>
          </cell>
        </row>
        <row r="24">
          <cell r="A24" t="str">
            <v>Kordinator Cleaning Services</v>
          </cell>
          <cell r="B24" t="str">
            <v>Outsourcing Cleaning Service</v>
          </cell>
        </row>
        <row r="25">
          <cell r="A25" t="str">
            <v>Marketing</v>
          </cell>
          <cell r="B25" t="str">
            <v>Outsourcing Penjualan</v>
          </cell>
        </row>
        <row r="26">
          <cell r="A26" t="str">
            <v>Office Boy</v>
          </cell>
          <cell r="B26" t="str">
            <v>Outsourcing Cleaning Service</v>
          </cell>
        </row>
        <row r="27">
          <cell r="A27" t="str">
            <v>Packer</v>
          </cell>
          <cell r="B27" t="str">
            <v>Outsourcing Petugas Gudang</v>
          </cell>
        </row>
        <row r="28">
          <cell r="A28" t="str">
            <v>Packer GTC</v>
          </cell>
          <cell r="B28" t="str">
            <v>Outsourcing Petugas Gudang</v>
          </cell>
        </row>
        <row r="29">
          <cell r="A29" t="str">
            <v>PICKER</v>
          </cell>
          <cell r="B29" t="str">
            <v>Outsourcing Petugas Gudang</v>
          </cell>
        </row>
        <row r="30">
          <cell r="A30" t="str">
            <v xml:space="preserve">Picker </v>
          </cell>
          <cell r="B30" t="str">
            <v>Outsourcing Petugas Gudang</v>
          </cell>
        </row>
        <row r="31">
          <cell r="A31" t="str">
            <v>Picker (Gramedia digital/online)</v>
          </cell>
          <cell r="B31" t="str">
            <v>Outsourcing Petugas Gudang</v>
          </cell>
        </row>
        <row r="32">
          <cell r="A32" t="str">
            <v xml:space="preserve">Picker marketplace </v>
          </cell>
          <cell r="B32" t="str">
            <v>Outsourcing Petugas Gudang</v>
          </cell>
        </row>
        <row r="33">
          <cell r="A33" t="str">
            <v>Sales Promotion Attendant</v>
          </cell>
          <cell r="B33" t="str">
            <v>Outsourcing Penjualan</v>
          </cell>
        </row>
        <row r="34">
          <cell r="A34" t="str">
            <v>Security</v>
          </cell>
          <cell r="B34" t="str">
            <v>Outsourcing Keamanan</v>
          </cell>
        </row>
        <row r="35">
          <cell r="A35" t="str">
            <v>Security (Anggota)</v>
          </cell>
          <cell r="B35" t="str">
            <v>Outsourcing Keamanan</v>
          </cell>
        </row>
        <row r="36">
          <cell r="A36" t="str">
            <v>Security (Chief)</v>
          </cell>
          <cell r="B36" t="str">
            <v>Outsourcing Keamanan</v>
          </cell>
        </row>
        <row r="37">
          <cell r="A37" t="str">
            <v>Security (Chief) Non Karyawan FMB</v>
          </cell>
          <cell r="B37" t="str">
            <v>Outsourcing Keamanan</v>
          </cell>
        </row>
        <row r="38">
          <cell r="A38" t="str">
            <v>Security (Danru)</v>
          </cell>
          <cell r="B38" t="str">
            <v>Outsourcing Keamanan</v>
          </cell>
        </row>
        <row r="39">
          <cell r="A39" t="str">
            <v>Security Guard (Anggota)</v>
          </cell>
          <cell r="B39" t="str">
            <v>Outsourcing Keamanan</v>
          </cell>
        </row>
        <row r="40">
          <cell r="A40" t="str">
            <v>Storage</v>
          </cell>
          <cell r="B40" t="str">
            <v>Outsourcing Petugas Gudang</v>
          </cell>
        </row>
        <row r="41">
          <cell r="A41" t="str">
            <v>Storage.com matraman</v>
          </cell>
          <cell r="B41" t="str">
            <v>Outsourcing Petugas Gudang</v>
          </cell>
        </row>
        <row r="42">
          <cell r="A42" t="str">
            <v>Teknisi</v>
          </cell>
          <cell r="B42" t="str">
            <v>Outsourcing Petugas Pemeliharaan Gedung</v>
          </cell>
        </row>
        <row r="43">
          <cell r="A43" t="str">
            <v>Engineering</v>
          </cell>
          <cell r="B43" t="str">
            <v>Outsourcing Petugas Pemeliharaan Gedung</v>
          </cell>
        </row>
        <row r="44">
          <cell r="A44" t="str">
            <v>Warehouse Attendant</v>
          </cell>
          <cell r="B44" t="str">
            <v>Outsourcing Petugas Gudang</v>
          </cell>
        </row>
        <row r="45">
          <cell r="A45" t="str">
            <v>Driver</v>
          </cell>
          <cell r="B45" t="str">
            <v>Outsourcing Pengemudi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  <sheetName val="Tabel Rincian"/>
      <sheetName val="NON TETAP"/>
      <sheetName val="Detail1"/>
      <sheetName val="Rekap "/>
      <sheetName val="HARIAN"/>
      <sheetName val="Rekap Gaji Scanner April 2026"/>
      <sheetName val="Litbang"/>
    </sheetNames>
    <sheetDataSet>
      <sheetData sheetId="0"/>
      <sheetData sheetId="1"/>
      <sheetData sheetId="2">
        <row r="1">
          <cell r="H1" t="str">
            <v>DEPT</v>
          </cell>
          <cell r="I1" t="str">
            <v>PT</v>
          </cell>
        </row>
        <row r="2">
          <cell r="H2" t="str">
            <v>ELTI Yogyakarta</v>
          </cell>
          <cell r="I2" t="str">
            <v>ELTI</v>
          </cell>
        </row>
        <row r="3">
          <cell r="H3" t="str">
            <v>ELTI Yogyakarta</v>
          </cell>
          <cell r="I3" t="str">
            <v>ELTI</v>
          </cell>
        </row>
        <row r="4">
          <cell r="H4" t="str">
            <v>ELTI Yogyakarta</v>
          </cell>
          <cell r="I4" t="str">
            <v>ELTI</v>
          </cell>
        </row>
        <row r="5">
          <cell r="H5" t="str">
            <v>ELTI Yogyakarta</v>
          </cell>
          <cell r="I5" t="str">
            <v>ELTI</v>
          </cell>
        </row>
        <row r="6">
          <cell r="H6" t="str">
            <v>ELTI Yogyakarta</v>
          </cell>
          <cell r="I6" t="str">
            <v>ELTI</v>
          </cell>
        </row>
        <row r="7">
          <cell r="H7" t="str">
            <v>ELTI Solo</v>
          </cell>
          <cell r="I7" t="str">
            <v>ELTI</v>
          </cell>
        </row>
        <row r="8">
          <cell r="H8" t="str">
            <v>ELTI Solo</v>
          </cell>
          <cell r="I8" t="str">
            <v>ELTI</v>
          </cell>
        </row>
        <row r="9">
          <cell r="H9" t="str">
            <v>ELTI Solo</v>
          </cell>
          <cell r="I9" t="str">
            <v>ELTI</v>
          </cell>
        </row>
        <row r="10">
          <cell r="H10" t="str">
            <v>ELTI Purwokerto</v>
          </cell>
          <cell r="I10" t="str">
            <v>ELTI</v>
          </cell>
        </row>
        <row r="11">
          <cell r="H11" t="str">
            <v>ELTI Purwokerto</v>
          </cell>
          <cell r="I11" t="str">
            <v>ELTI</v>
          </cell>
        </row>
        <row r="12">
          <cell r="H12" t="str">
            <v>GLKU</v>
          </cell>
          <cell r="I12" t="str">
            <v>GLOBAL LINTAS KARYA UTAMA</v>
          </cell>
        </row>
        <row r="13">
          <cell r="H13" t="str">
            <v>GLKU</v>
          </cell>
          <cell r="I13" t="str">
            <v>GLOBAL LINTAS KARYA UTAMA</v>
          </cell>
        </row>
        <row r="14">
          <cell r="H14" t="str">
            <v>GLKU</v>
          </cell>
          <cell r="I14" t="str">
            <v>GLOBAL LINTAS KARYA UTAMA</v>
          </cell>
        </row>
        <row r="15">
          <cell r="H15" t="str">
            <v>ELTI Purwokerto</v>
          </cell>
          <cell r="I15" t="str">
            <v>ELTI</v>
          </cell>
        </row>
        <row r="16">
          <cell r="H16" t="str">
            <v>RC-Semarang Pandanaran</v>
          </cell>
          <cell r="I16" t="str">
            <v>GRAMEDIA ASRI MEDIA</v>
          </cell>
        </row>
        <row r="17">
          <cell r="H17" t="str">
            <v>RC-Semarang Pandanaran</v>
          </cell>
          <cell r="I17" t="str">
            <v>GRAMEDIA ASRI MEDIA</v>
          </cell>
        </row>
        <row r="18">
          <cell r="H18" t="str">
            <v>RC-Semarang Pandanaran</v>
          </cell>
          <cell r="I18" t="str">
            <v>GRAMEDIA ASRI MEDIA</v>
          </cell>
        </row>
        <row r="19">
          <cell r="H19" t="str">
            <v>RC-Semarang Pandanaran</v>
          </cell>
          <cell r="I19" t="str">
            <v>GRAMEDIA ASRI MEDIA</v>
          </cell>
        </row>
        <row r="20">
          <cell r="H20" t="str">
            <v>RC-Solo Slamet Riyadi</v>
          </cell>
          <cell r="I20" t="str">
            <v>GRAMEDIA ASRI MEDIA</v>
          </cell>
        </row>
        <row r="21">
          <cell r="H21" t="str">
            <v>RC-Solo Slamet Riyadi</v>
          </cell>
          <cell r="I21" t="str">
            <v>GRAMEDIA ASRI MEDIA</v>
          </cell>
        </row>
        <row r="22">
          <cell r="H22" t="str">
            <v>RC-Solo Slamet Riyadi</v>
          </cell>
          <cell r="I22" t="str">
            <v>GRAMEDIA ASRI MEDIA</v>
          </cell>
        </row>
        <row r="23">
          <cell r="H23" t="str">
            <v>RC-Solo Slamet Riyadi</v>
          </cell>
          <cell r="I23" t="str">
            <v>GRAMEDIA ASRI MEDIA</v>
          </cell>
        </row>
        <row r="24">
          <cell r="H24" t="str">
            <v>RC-Yogya Sudirman</v>
          </cell>
          <cell r="I24" t="str">
            <v>GRAMEDIA ASRI MEDIA</v>
          </cell>
        </row>
        <row r="25">
          <cell r="H25" t="str">
            <v>RC-Yogya Sudirman</v>
          </cell>
          <cell r="I25" t="str">
            <v>GRAMEDIA ASRI MEDIA</v>
          </cell>
        </row>
        <row r="26">
          <cell r="H26" t="str">
            <v>RC-Yogya Sudirman</v>
          </cell>
          <cell r="I26" t="str">
            <v>GRAMEDIA ASRI MEDIA</v>
          </cell>
        </row>
        <row r="27">
          <cell r="H27" t="str">
            <v>RC-Yogya Sudirman</v>
          </cell>
          <cell r="I27" t="str">
            <v>GRAMEDIA ASRI MEDIA</v>
          </cell>
        </row>
        <row r="28">
          <cell r="H28" t="str">
            <v>RC-Yogya Sudirman</v>
          </cell>
          <cell r="I28" t="str">
            <v>GRAMEDIA ASRI MEDIA</v>
          </cell>
        </row>
        <row r="29">
          <cell r="H29" t="str">
            <v>SIRKULASI</v>
          </cell>
          <cell r="I29" t="str">
            <v>SIRKULASI KOMPAS GRAMEDIA</v>
          </cell>
        </row>
        <row r="30">
          <cell r="H30" t="str">
            <v>SIRKULASI</v>
          </cell>
          <cell r="I30" t="str">
            <v>SIRKULASI KOMPAS GRAMEDIA</v>
          </cell>
        </row>
        <row r="31">
          <cell r="H31" t="str">
            <v>SIRKULASI</v>
          </cell>
          <cell r="I31" t="str">
            <v>SIRKULASI KOMPAS GRAMEDIA</v>
          </cell>
        </row>
        <row r="32">
          <cell r="H32" t="str">
            <v>SIRKULASI</v>
          </cell>
          <cell r="I32" t="str">
            <v>SIRKULASI KOMPAS GRAMEDIA</v>
          </cell>
        </row>
        <row r="33">
          <cell r="H33" t="str">
            <v>RF-Bekasi Harapan Indah</v>
          </cell>
          <cell r="I33" t="str">
            <v>GRAMEDIA ASRI MEDIA</v>
          </cell>
        </row>
        <row r="34">
          <cell r="H34" t="str">
            <v>RD-Tangerang Cikupa</v>
          </cell>
          <cell r="I34" t="str">
            <v>GRAMEDIA ASRI MEDIA</v>
          </cell>
        </row>
        <row r="35">
          <cell r="H35" t="str">
            <v>Procurement &amp; Distribution (Tajem)</v>
          </cell>
          <cell r="I35" t="str">
            <v>GRAMEDIA ASRI MEDIA</v>
          </cell>
        </row>
        <row r="36">
          <cell r="H36" t="str">
            <v>Procurement &amp; Distribution (Tajem)</v>
          </cell>
          <cell r="I36" t="str">
            <v>GRAMEDIA ASRI MEDIA</v>
          </cell>
        </row>
        <row r="37">
          <cell r="H37" t="str">
            <v>Procurement &amp; Distribution (Tajem)</v>
          </cell>
          <cell r="I37" t="str">
            <v>GRAMEDIA ASRI MEDIA</v>
          </cell>
        </row>
        <row r="38">
          <cell r="H38" t="str">
            <v>RA-Depok</v>
          </cell>
          <cell r="I38" t="str">
            <v>GRAMEDIA ASRI MEDIA</v>
          </cell>
        </row>
        <row r="39">
          <cell r="H39" t="str">
            <v>RA-Depok</v>
          </cell>
          <cell r="I39" t="str">
            <v>GRAMEDIA ASRI MEDIA</v>
          </cell>
        </row>
        <row r="40">
          <cell r="H40" t="str">
            <v>RA-Depok</v>
          </cell>
          <cell r="I40" t="str">
            <v>GRAMEDIA ASRI MEDIA</v>
          </cell>
        </row>
        <row r="41">
          <cell r="H41" t="str">
            <v>RA-Depok</v>
          </cell>
          <cell r="I41" t="str">
            <v>GRAMEDIA ASRI MEDIA</v>
          </cell>
        </row>
        <row r="42">
          <cell r="H42" t="str">
            <v>RA-Depok</v>
          </cell>
          <cell r="I42" t="str">
            <v>GRAMEDIA ASRI MEDIA</v>
          </cell>
        </row>
        <row r="43">
          <cell r="H43" t="str">
            <v>RA-Depok</v>
          </cell>
          <cell r="I43" t="str">
            <v>GRAMEDIA ASRI MEDIA</v>
          </cell>
        </row>
        <row r="44">
          <cell r="H44" t="str">
            <v>RA-Depok</v>
          </cell>
          <cell r="I44" t="str">
            <v>GRAMEDIA ASRI MEDIA</v>
          </cell>
        </row>
        <row r="45">
          <cell r="H45" t="str">
            <v>RA-Jayapura</v>
          </cell>
          <cell r="I45" t="str">
            <v>GRAMEDIA ASRI MEDIA</v>
          </cell>
        </row>
        <row r="46">
          <cell r="H46" t="str">
            <v>RA-Jayapura</v>
          </cell>
          <cell r="I46" t="str">
            <v>GRAMEDIA ASRI MEDIA</v>
          </cell>
        </row>
        <row r="47">
          <cell r="H47" t="str">
            <v>RA-Jayapura</v>
          </cell>
          <cell r="I47" t="str">
            <v>GRAMEDIA ASRI MEDIA</v>
          </cell>
        </row>
        <row r="48">
          <cell r="H48" t="str">
            <v>RA-Jayapura</v>
          </cell>
          <cell r="I48" t="str">
            <v>GRAMEDIA ASRI MEDIA</v>
          </cell>
        </row>
        <row r="49">
          <cell r="H49" t="str">
            <v>RA-Kupang Sudirman</v>
          </cell>
          <cell r="I49" t="str">
            <v>GRAMEDIA ASRI MEDIA</v>
          </cell>
        </row>
        <row r="50">
          <cell r="H50" t="str">
            <v>RA-Kupang Sudirman</v>
          </cell>
          <cell r="I50" t="str">
            <v>GRAMEDIA ASRI MEDIA</v>
          </cell>
        </row>
        <row r="51">
          <cell r="H51" t="str">
            <v>RA-Kupang Sudirman</v>
          </cell>
          <cell r="I51" t="str">
            <v>GRAMEDIA ASRI MEDIA</v>
          </cell>
        </row>
        <row r="52">
          <cell r="H52" t="str">
            <v>RA-Mataram Pejanggik</v>
          </cell>
          <cell r="I52" t="str">
            <v>GRAMEDIA ASRI MEDIA</v>
          </cell>
        </row>
        <row r="53">
          <cell r="H53" t="str">
            <v>RA-Mataram Pejanggik</v>
          </cell>
          <cell r="I53" t="str">
            <v>GRAMEDIA ASRI MEDIA</v>
          </cell>
        </row>
        <row r="54">
          <cell r="H54" t="str">
            <v>RA-Mataram Pejanggik</v>
          </cell>
          <cell r="I54" t="str">
            <v>GRAMEDIA ASRI MEDIA</v>
          </cell>
        </row>
        <row r="55">
          <cell r="H55" t="str">
            <v>RA-Mataram Pejanggik</v>
          </cell>
          <cell r="I55" t="str">
            <v>GRAMEDIA ASRI MEDIA</v>
          </cell>
        </row>
        <row r="56">
          <cell r="H56" t="str">
            <v>RA-Mataram Pejanggik</v>
          </cell>
          <cell r="I56" t="str">
            <v>GRAMEDIA ASRI MEDIA</v>
          </cell>
        </row>
        <row r="57">
          <cell r="H57" t="str">
            <v>RA-Maumere Kesehatan</v>
          </cell>
          <cell r="I57" t="str">
            <v>GRAMEDIA ASRI MEDIA</v>
          </cell>
        </row>
        <row r="58">
          <cell r="H58" t="str">
            <v>RA-Maumere Kesehatan</v>
          </cell>
          <cell r="I58" t="str">
            <v>GRAMEDIA ASRI MEDIA</v>
          </cell>
        </row>
        <row r="59">
          <cell r="H59" t="str">
            <v>RA-Maumere Kesehatan</v>
          </cell>
          <cell r="I59" t="str">
            <v>GRAMEDIA ASRI MEDIA</v>
          </cell>
        </row>
        <row r="60">
          <cell r="H60" t="str">
            <v>RB-GR Makasar Pettarani</v>
          </cell>
          <cell r="I60" t="str">
            <v>GRAMEDIA ASRI MEDIA</v>
          </cell>
        </row>
        <row r="61">
          <cell r="H61" t="str">
            <v>Gr-Mksr-Panakkukang</v>
          </cell>
          <cell r="I61" t="str">
            <v>GRAMEDIA ASRI MEDIA</v>
          </cell>
        </row>
        <row r="62">
          <cell r="H62" t="str">
            <v>RB-GR Makasar Pettarani</v>
          </cell>
          <cell r="I62" t="str">
            <v>GRAMEDIA ASRI MEDIA</v>
          </cell>
        </row>
        <row r="63">
          <cell r="H63" t="str">
            <v>RB-Jkt Central Park Mall</v>
          </cell>
          <cell r="I63" t="str">
            <v>GRAMEDIA ASRI MEDIA</v>
          </cell>
        </row>
        <row r="64">
          <cell r="H64" t="str">
            <v>RE-Jkt Melawai</v>
          </cell>
          <cell r="I64" t="str">
            <v>GRAMEDIA ASRI MEDIA</v>
          </cell>
        </row>
        <row r="65">
          <cell r="H65" t="str">
            <v>RB-Jkt Matraman</v>
          </cell>
          <cell r="I65" t="str">
            <v>GRAMEDIA ASRI MEDIA</v>
          </cell>
        </row>
        <row r="66">
          <cell r="H66" t="str">
            <v>RB-Jkt Matraman</v>
          </cell>
          <cell r="I66" t="str">
            <v>GRAMEDIA ASRI MEDIA</v>
          </cell>
        </row>
        <row r="67">
          <cell r="H67" t="str">
            <v>RB-Jkt Matraman</v>
          </cell>
          <cell r="I67" t="str">
            <v>GRAMEDIA ASRI MEDIA</v>
          </cell>
        </row>
        <row r="68">
          <cell r="H68" t="str">
            <v>RB-Jkt Matraman</v>
          </cell>
          <cell r="I68" t="str">
            <v>GRAMEDIA ASRI MEDIA</v>
          </cell>
        </row>
        <row r="69">
          <cell r="H69" t="str">
            <v>RB-Jkt Matraman</v>
          </cell>
          <cell r="I69" t="str">
            <v>GRAMEDIA ASRI MEDIA</v>
          </cell>
        </row>
        <row r="70">
          <cell r="H70" t="str">
            <v>RB-Jkt Matraman</v>
          </cell>
          <cell r="I70" t="str">
            <v>GRAMEDIA ASRI MEDIA</v>
          </cell>
        </row>
        <row r="71">
          <cell r="H71" t="str">
            <v>RB-Jkt Matraman</v>
          </cell>
          <cell r="I71" t="str">
            <v>GRAMEDIA ASRI MEDIA</v>
          </cell>
        </row>
        <row r="72">
          <cell r="H72" t="str">
            <v>RB-Jkt Matraman</v>
          </cell>
          <cell r="I72" t="str">
            <v>GRAMEDIA ASRI MEDIA</v>
          </cell>
        </row>
        <row r="73">
          <cell r="H73" t="str">
            <v>RB-Jkt Matraman</v>
          </cell>
          <cell r="I73" t="str">
            <v>GRAMEDIA ASRI MEDIA</v>
          </cell>
        </row>
        <row r="74">
          <cell r="H74" t="str">
            <v>RB-Jkt Matraman</v>
          </cell>
          <cell r="I74" t="str">
            <v>GRAMEDIA ASRI MEDIA</v>
          </cell>
        </row>
        <row r="75">
          <cell r="H75" t="str">
            <v>RB-Jkt Matraman</v>
          </cell>
          <cell r="I75" t="str">
            <v>GRAMEDIA ASRI MEDIA</v>
          </cell>
        </row>
        <row r="76">
          <cell r="H76" t="str">
            <v>RB-GR Makasar Pettarani</v>
          </cell>
          <cell r="I76" t="str">
            <v>GRAMEDIA ASRI MEDIA</v>
          </cell>
        </row>
        <row r="77">
          <cell r="H77" t="str">
            <v>Gr-Mksr Mari</v>
          </cell>
          <cell r="I77" t="str">
            <v>GRAMEDIA ASRI MEDIA</v>
          </cell>
        </row>
        <row r="78">
          <cell r="H78" t="str">
            <v>RB-Maluku City Mall</v>
          </cell>
          <cell r="I78" t="str">
            <v>GRAMEDIA ASRI MEDIA</v>
          </cell>
        </row>
        <row r="79">
          <cell r="H79" t="str">
            <v>RB-Maluku City Mall</v>
          </cell>
          <cell r="I79" t="str">
            <v>GRAMEDIA ASRI MEDIA</v>
          </cell>
        </row>
        <row r="80">
          <cell r="H80" t="str">
            <v>Gr-Ternate</v>
          </cell>
          <cell r="I80" t="str">
            <v>GRAMEDIA ASRI MEDIA</v>
          </cell>
        </row>
        <row r="81">
          <cell r="H81" t="str">
            <v>RC-Banjarmasin Veteran</v>
          </cell>
          <cell r="I81" t="str">
            <v>GRAMEDIA ASRI MEDIA</v>
          </cell>
        </row>
        <row r="82">
          <cell r="H82" t="str">
            <v>RC-Banjarmasin Veteran</v>
          </cell>
          <cell r="I82" t="str">
            <v>GRAMEDIA ASRI MEDIA</v>
          </cell>
        </row>
        <row r="83">
          <cell r="H83" t="str">
            <v>RC-Cirebon Cipto</v>
          </cell>
          <cell r="I83" t="str">
            <v>GRAMEDIA ASRI MEDIA</v>
          </cell>
        </row>
        <row r="84">
          <cell r="H84" t="str">
            <v>RC-Cirebon Cipto</v>
          </cell>
          <cell r="I84" t="str">
            <v>GRAMEDIA ASRI MEDIA</v>
          </cell>
        </row>
        <row r="85">
          <cell r="H85" t="str">
            <v>RC-Purwokerto Rita</v>
          </cell>
          <cell r="I85" t="str">
            <v>GRAMEDIA ASRI MEDIA</v>
          </cell>
        </row>
        <row r="86">
          <cell r="H86" t="str">
            <v>RC-Yogya Malioboro</v>
          </cell>
          <cell r="I86" t="str">
            <v>GRAMEDIA ASRI MEDIA</v>
          </cell>
        </row>
        <row r="87">
          <cell r="H87" t="str">
            <v>RD-Batam City Square</v>
          </cell>
          <cell r="I87" t="str">
            <v>GRAMEDIA ASRI MEDIA</v>
          </cell>
        </row>
        <row r="88">
          <cell r="H88" t="str">
            <v>RD-Lampung Kedaton Mall</v>
          </cell>
          <cell r="I88" t="str">
            <v>GRAMEDIA ASRI MEDIA</v>
          </cell>
        </row>
        <row r="89">
          <cell r="H89" t="str">
            <v>RD-Lampung Kedaton Mall</v>
          </cell>
          <cell r="I89" t="str">
            <v>GRAMEDIA ASRI MEDIA</v>
          </cell>
        </row>
        <row r="90">
          <cell r="H90" t="str">
            <v>RD-Lampung Raden Intan</v>
          </cell>
          <cell r="I90" t="str">
            <v>GRAMEDIA ASRI MEDIA</v>
          </cell>
        </row>
        <row r="91">
          <cell r="H91" t="str">
            <v>RD-Lampung Raden Intan</v>
          </cell>
          <cell r="I91" t="str">
            <v>GRAMEDIA ASRI MEDIA</v>
          </cell>
        </row>
        <row r="92">
          <cell r="H92" t="str">
            <v>RD-Lampung Raden Intan</v>
          </cell>
          <cell r="I92" t="str">
            <v>GRAMEDIA ASRI MEDIA</v>
          </cell>
        </row>
        <row r="93">
          <cell r="H93" t="str">
            <v>RD-Padang Damar</v>
          </cell>
          <cell r="I93" t="str">
            <v>GRAMEDIA ASRI MEDIA</v>
          </cell>
        </row>
        <row r="94">
          <cell r="H94" t="str">
            <v>RD-Padang Damar</v>
          </cell>
          <cell r="I94" t="str">
            <v>GRAMEDIA ASRI MEDIA</v>
          </cell>
        </row>
        <row r="95">
          <cell r="H95" t="str">
            <v>RD-Padang Damar</v>
          </cell>
          <cell r="I95" t="str">
            <v>GRAMEDIA ASRI MEDIA</v>
          </cell>
        </row>
        <row r="96">
          <cell r="H96" t="str">
            <v>RD-Padang Damar</v>
          </cell>
          <cell r="I96" t="str">
            <v>GRAMEDIA ASRI MEDIA</v>
          </cell>
        </row>
        <row r="97">
          <cell r="H97" t="str">
            <v>RD-Pekanbaru Jensud</v>
          </cell>
          <cell r="I97" t="str">
            <v>GRAMEDIA ASRI MEDIA</v>
          </cell>
        </row>
        <row r="98">
          <cell r="H98" t="str">
            <v>RD-Pekanbaru Jensud</v>
          </cell>
          <cell r="I98" t="str">
            <v>GRAMEDIA ASRI MEDIA</v>
          </cell>
        </row>
        <row r="99">
          <cell r="H99" t="str">
            <v>RD-Pekanbaru Jensud</v>
          </cell>
          <cell r="I99" t="str">
            <v>GRAMEDIA ASRI MEDIA</v>
          </cell>
        </row>
        <row r="100">
          <cell r="H100" t="str">
            <v>RD-Pekanbaru Jensud</v>
          </cell>
          <cell r="I100" t="str">
            <v>GRAMEDIA ASRI MEDIA</v>
          </cell>
        </row>
        <row r="101">
          <cell r="H101" t="str">
            <v>RD-Tangerang BSD City Mall</v>
          </cell>
          <cell r="I101" t="str">
            <v>GRAMEDIA ASRI MEDIA</v>
          </cell>
        </row>
        <row r="102">
          <cell r="H102" t="str">
            <v>RD-Tangerang BSD City Mall</v>
          </cell>
          <cell r="I102" t="str">
            <v>GRAMEDIA ASRI MEDIA</v>
          </cell>
        </row>
        <row r="103">
          <cell r="H103" t="str">
            <v>RD-Tangerang BSD City Mall</v>
          </cell>
          <cell r="I103" t="str">
            <v>GRAMEDIA ASRI MEDIA</v>
          </cell>
        </row>
        <row r="104">
          <cell r="H104" t="str">
            <v>RD-Tangerang BSD City Mall</v>
          </cell>
          <cell r="I104" t="str">
            <v>GRAMEDIA ASRI MEDIA</v>
          </cell>
        </row>
        <row r="105">
          <cell r="H105" t="str">
            <v>RD-Tangerang BSD City Mall</v>
          </cell>
          <cell r="I105" t="str">
            <v>GRAMEDIA ASRI MEDIA</v>
          </cell>
        </row>
        <row r="106">
          <cell r="H106" t="str">
            <v>RD-Tangerang BSD City Mall</v>
          </cell>
          <cell r="I106" t="str">
            <v>GRAMEDIA ASRI MEDIA</v>
          </cell>
        </row>
        <row r="107">
          <cell r="H107" t="str">
            <v>RD-Tangerang BSD City Mall</v>
          </cell>
          <cell r="I107" t="str">
            <v>GRAMEDIA ASRI MEDIA</v>
          </cell>
        </row>
        <row r="108">
          <cell r="H108" t="str">
            <v>RD-Tangerang Cikupa</v>
          </cell>
          <cell r="I108" t="str">
            <v>GRAMEDIA ASRI MEDIA</v>
          </cell>
        </row>
        <row r="109">
          <cell r="H109" t="str">
            <v>RD-Tangerang Cikupa</v>
          </cell>
          <cell r="I109" t="str">
            <v>GRAMEDIA ASRI MEDIA</v>
          </cell>
        </row>
        <row r="110">
          <cell r="H110" t="str">
            <v>RD-Tangerang Cikupa</v>
          </cell>
          <cell r="I110" t="str">
            <v>GRAMEDIA ASRI MEDIA</v>
          </cell>
        </row>
        <row r="111">
          <cell r="H111" t="str">
            <v>RE-GR Balikpapan MT Haryono</v>
          </cell>
          <cell r="I111" t="str">
            <v>GRAMEDIA ASRI MEDIA</v>
          </cell>
        </row>
        <row r="112">
          <cell r="H112" t="str">
            <v>RE-Balikpapan Plaza</v>
          </cell>
          <cell r="I112" t="str">
            <v>GRAMEDIA ASRI MEDIA</v>
          </cell>
        </row>
        <row r="113">
          <cell r="H113" t="str">
            <v>RE-Balikpapan Plaza</v>
          </cell>
          <cell r="I113" t="str">
            <v>GRAMEDIA ASRI MEDIA</v>
          </cell>
        </row>
        <row r="114">
          <cell r="H114" t="str">
            <v>RE-Bengkulu Meranti</v>
          </cell>
          <cell r="I114" t="str">
            <v>GRAMEDIA ASRI MEDIA</v>
          </cell>
        </row>
        <row r="115">
          <cell r="H115" t="str">
            <v>RE-Bengkulu Meranti</v>
          </cell>
          <cell r="I115" t="str">
            <v>GRAMEDIA ASRI MEDIA</v>
          </cell>
        </row>
        <row r="116">
          <cell r="H116" t="str">
            <v>RE-Bengkulu Meranti</v>
          </cell>
          <cell r="I116" t="str">
            <v>GRAMEDIA ASRI MEDIA</v>
          </cell>
        </row>
        <row r="117">
          <cell r="H117" t="str">
            <v>RE-Bengkulu Meranti</v>
          </cell>
          <cell r="I117" t="str">
            <v>GRAMEDIA ASRI MEDIA</v>
          </cell>
        </row>
        <row r="118">
          <cell r="H118" t="str">
            <v>RE-GR Balikpapan MT Haryono</v>
          </cell>
          <cell r="I118" t="str">
            <v>GRAMEDIA ASRI MEDIA</v>
          </cell>
        </row>
        <row r="119">
          <cell r="H119" t="str">
            <v>RE-GR Balikpapan MT Haryono</v>
          </cell>
          <cell r="I119" t="str">
            <v>GRAMEDIA ASRI MEDIA</v>
          </cell>
        </row>
        <row r="120">
          <cell r="H120" t="str">
            <v>RE-Palembang Atmo</v>
          </cell>
          <cell r="I120" t="str">
            <v>GRAMEDIA ASRI MEDIA</v>
          </cell>
        </row>
        <row r="121">
          <cell r="H121" t="str">
            <v>RE-Palembang Atmo</v>
          </cell>
          <cell r="I121" t="str">
            <v>GRAMEDIA ASRI MEDIA</v>
          </cell>
        </row>
        <row r="122">
          <cell r="H122" t="str">
            <v>RE-Palembang Atmo</v>
          </cell>
          <cell r="I122" t="str">
            <v>GRAMEDIA ASRI MEDIA</v>
          </cell>
        </row>
        <row r="123">
          <cell r="H123" t="str">
            <v>RE-Palembang Atmo</v>
          </cell>
          <cell r="I123" t="str">
            <v>GRAMEDIA ASRI MEDIA</v>
          </cell>
        </row>
        <row r="124">
          <cell r="H124" t="str">
            <v>RE-Palembang Burlian</v>
          </cell>
          <cell r="I124" t="str">
            <v>GRAMEDIA ASRI MEDIA</v>
          </cell>
        </row>
        <row r="125">
          <cell r="H125" t="str">
            <v>RE-Palembang Burlian</v>
          </cell>
          <cell r="I125" t="str">
            <v>GRAMEDIA ASRI MEDIA</v>
          </cell>
        </row>
        <row r="126">
          <cell r="H126" t="str">
            <v>RE-Palembang Burlian</v>
          </cell>
          <cell r="I126" t="str">
            <v>GRAMEDIA ASRI MEDIA</v>
          </cell>
        </row>
        <row r="127">
          <cell r="H127" t="str">
            <v>RE-Palembang Burlian</v>
          </cell>
          <cell r="I127" t="str">
            <v>GRAMEDIA ASRI MEDIA</v>
          </cell>
        </row>
        <row r="128">
          <cell r="H128" t="str">
            <v>RE-Palembang Burlian</v>
          </cell>
          <cell r="I128" t="str">
            <v>GRAMEDIA ASRI MEDIA</v>
          </cell>
        </row>
        <row r="129">
          <cell r="H129" t="str">
            <v>RE-Palembang Burlian</v>
          </cell>
          <cell r="I129" t="str">
            <v>GRAMEDIA ASRI MEDIA</v>
          </cell>
        </row>
        <row r="130">
          <cell r="H130" t="str">
            <v>RE-Palembang Burlian</v>
          </cell>
          <cell r="I130" t="str">
            <v>GRAMEDIA ASRI MEDIA</v>
          </cell>
        </row>
        <row r="131">
          <cell r="H131" t="str">
            <v>RE-Palembang Burlian</v>
          </cell>
          <cell r="I131" t="str">
            <v>GRAMEDIA ASRI MEDIA</v>
          </cell>
        </row>
        <row r="132">
          <cell r="H132" t="str">
            <v>RE-Pontianak</v>
          </cell>
          <cell r="I132" t="str">
            <v>GRAMEDIA ASRI MEDIA</v>
          </cell>
        </row>
        <row r="133">
          <cell r="H133" t="str">
            <v>RE-Pontianak</v>
          </cell>
          <cell r="I133" t="str">
            <v>GRAMEDIA ASRI MEDIA</v>
          </cell>
        </row>
        <row r="134">
          <cell r="H134" t="str">
            <v>RE-Samarinda Lembuswana</v>
          </cell>
          <cell r="I134" t="str">
            <v>GRAMEDIA ASRI MEDIA</v>
          </cell>
        </row>
        <row r="135">
          <cell r="H135" t="str">
            <v>RE-Tangerang CBD Emerald Bintaro</v>
          </cell>
          <cell r="I135" t="str">
            <v>GRAMEDIA ASRI MEDIA</v>
          </cell>
        </row>
        <row r="136">
          <cell r="H136" t="str">
            <v>RE-Tangerang CBD Emerald Bintaro</v>
          </cell>
          <cell r="I136" t="str">
            <v>GRAMEDIA ASRI MEDIA</v>
          </cell>
        </row>
        <row r="137">
          <cell r="H137" t="str">
            <v>RE-Tangerang CBD Emerald Bintaro</v>
          </cell>
          <cell r="I137" t="str">
            <v>GRAMEDIA ASRI MEDIA</v>
          </cell>
        </row>
        <row r="138">
          <cell r="H138" t="str">
            <v>RE-Tangerang CBD Emerald Bintaro</v>
          </cell>
          <cell r="I138" t="str">
            <v>GRAMEDIA ASRI MEDIA</v>
          </cell>
        </row>
        <row r="139">
          <cell r="H139" t="str">
            <v>RE-Tangerang CBD Emerald Bintaro</v>
          </cell>
          <cell r="I139" t="str">
            <v>GRAMEDIA ASRI MEDIA</v>
          </cell>
        </row>
        <row r="140">
          <cell r="H140" t="str">
            <v>RE-Tangerang CBD Emerald Bintaro</v>
          </cell>
          <cell r="I140" t="str">
            <v>GRAMEDIA ASRI MEDIA</v>
          </cell>
        </row>
        <row r="141">
          <cell r="H141" t="str">
            <v>RE-Tangerang CBD Emerald Bintaro</v>
          </cell>
          <cell r="I141" t="str">
            <v>GRAMEDIA ASRI MEDIA</v>
          </cell>
        </row>
        <row r="142">
          <cell r="H142" t="str">
            <v>RE-Tarakan</v>
          </cell>
          <cell r="I142" t="str">
            <v>GRAMEDIA ASRI MEDIA</v>
          </cell>
        </row>
        <row r="143">
          <cell r="H143" t="str">
            <v>RE-WAM Bangka</v>
          </cell>
          <cell r="I143" t="str">
            <v>WIDIA ASRI MEDIA</v>
          </cell>
        </row>
        <row r="144">
          <cell r="H144" t="str">
            <v>RE-WAM Bangka</v>
          </cell>
          <cell r="I144" t="str">
            <v>WIDIA ASRI MEDIA</v>
          </cell>
        </row>
        <row r="145">
          <cell r="H145" t="str">
            <v>RE-WAM Bangka</v>
          </cell>
          <cell r="I145" t="str">
            <v>WIDIA ASRI MEDIA</v>
          </cell>
        </row>
        <row r="146">
          <cell r="H146" t="str">
            <v>RE-WAM Bangka</v>
          </cell>
          <cell r="I146" t="str">
            <v>WIDIA ASRI MEDIA</v>
          </cell>
        </row>
        <row r="147">
          <cell r="H147" t="str">
            <v>RF-Banda Aceh</v>
          </cell>
          <cell r="I147" t="str">
            <v>GRAMEDIA ASRI MEDIA</v>
          </cell>
        </row>
        <row r="148">
          <cell r="H148" t="str">
            <v>RF-Banda Aceh</v>
          </cell>
          <cell r="I148" t="str">
            <v>GRAMEDIA ASRI MEDIA</v>
          </cell>
        </row>
        <row r="149">
          <cell r="H149" t="str">
            <v>RF-Banda Aceh</v>
          </cell>
          <cell r="I149" t="str">
            <v>GRAMEDIA ASRI MEDIA</v>
          </cell>
        </row>
        <row r="150">
          <cell r="H150" t="str">
            <v>RF-Banda Aceh</v>
          </cell>
          <cell r="I150" t="str">
            <v>GRAMEDIA ASRI MEDIA</v>
          </cell>
        </row>
        <row r="151">
          <cell r="H151" t="str">
            <v>RF-Banda Aceh</v>
          </cell>
          <cell r="I151" t="str">
            <v>GRAMEDIA ASRI MEDIA</v>
          </cell>
        </row>
        <row r="152">
          <cell r="H152" t="str">
            <v>RF-Banda Aceh</v>
          </cell>
          <cell r="I152" t="str">
            <v>GRAMEDIA ASRI MEDIA</v>
          </cell>
        </row>
        <row r="153">
          <cell r="H153" t="str">
            <v>RF-Banda Aceh</v>
          </cell>
          <cell r="I153" t="str">
            <v>GRAMEDIA ASRI MEDIA</v>
          </cell>
        </row>
        <row r="154">
          <cell r="H154" t="str">
            <v>RF-Bandung WR Supratman</v>
          </cell>
          <cell r="I154" t="str">
            <v>GRAMEDIA ASRI MEDIA</v>
          </cell>
        </row>
        <row r="155">
          <cell r="H155" t="str">
            <v>RF-Bandung WR Supratman</v>
          </cell>
          <cell r="I155" t="str">
            <v>GRAMEDIA ASRI MEDIA</v>
          </cell>
        </row>
        <row r="156">
          <cell r="H156" t="str">
            <v>RF-Bandung WR Supratman</v>
          </cell>
          <cell r="I156" t="str">
            <v>GRAMEDIA ASRI MEDIA</v>
          </cell>
        </row>
        <row r="157">
          <cell r="H157" t="str">
            <v>RF-Bdng Merdeka</v>
          </cell>
          <cell r="I157" t="str">
            <v>GRAMEDIA ASRI MEDIA</v>
          </cell>
        </row>
        <row r="158">
          <cell r="H158" t="str">
            <v>RF-Bdng Merdeka</v>
          </cell>
          <cell r="I158" t="str">
            <v>GRAMEDIA ASRI MEDIA</v>
          </cell>
        </row>
        <row r="159">
          <cell r="H159" t="str">
            <v>RF-Bdng Merdeka</v>
          </cell>
          <cell r="I159" t="str">
            <v>GRAMEDIA ASRI MEDIA</v>
          </cell>
        </row>
        <row r="160">
          <cell r="H160" t="str">
            <v>RF-Bdng Merdeka</v>
          </cell>
          <cell r="I160" t="str">
            <v>GRAMEDIA ASRI MEDIA</v>
          </cell>
        </row>
        <row r="161">
          <cell r="H161" t="str">
            <v>RF-Bdng Merdeka</v>
          </cell>
          <cell r="I161" t="str">
            <v>GRAMEDIA ASRI MEDIA</v>
          </cell>
        </row>
        <row r="162">
          <cell r="H162" t="str">
            <v>RF-Bdng Merdeka</v>
          </cell>
          <cell r="I162" t="str">
            <v>GRAMEDIA ASRI MEDIA</v>
          </cell>
        </row>
        <row r="163">
          <cell r="H163" t="str">
            <v>RF-Bdng Merdeka</v>
          </cell>
          <cell r="I163" t="str">
            <v>GRAMEDIA ASRI MEDIA</v>
          </cell>
        </row>
        <row r="164">
          <cell r="H164" t="str">
            <v>RF-Bdng Merdeka</v>
          </cell>
          <cell r="I164" t="str">
            <v>GRAMEDIA ASRI MEDIA</v>
          </cell>
        </row>
        <row r="165">
          <cell r="H165" t="str">
            <v>RF-Bdng Merdeka</v>
          </cell>
          <cell r="I165" t="str">
            <v>GRAMEDIA ASRI MEDIA</v>
          </cell>
        </row>
        <row r="166">
          <cell r="H166" t="str">
            <v>RF-Bekasi Harapan Indah</v>
          </cell>
          <cell r="I166" t="str">
            <v>GRAMEDIA ASRI MEDIA</v>
          </cell>
        </row>
        <row r="167">
          <cell r="H167" t="str">
            <v>RF-Bekasi Harapan Indah</v>
          </cell>
          <cell r="I167" t="str">
            <v>GRAMEDIA ASRI MEDIA</v>
          </cell>
        </row>
        <row r="168">
          <cell r="H168" t="str">
            <v>RF-Bekasi Harapan Indah</v>
          </cell>
          <cell r="I168" t="str">
            <v>GRAMEDIA ASRI MEDIA</v>
          </cell>
        </row>
        <row r="169">
          <cell r="H169" t="str">
            <v>RF-Bekasi Harapan Indah</v>
          </cell>
          <cell r="I169" t="str">
            <v>GRAMEDIA ASRI MEDIA</v>
          </cell>
        </row>
        <row r="170">
          <cell r="H170" t="str">
            <v>RF-Karawang Galuh</v>
          </cell>
          <cell r="I170" t="str">
            <v>GRAMEDIA ASRI MEDIA</v>
          </cell>
        </row>
        <row r="171">
          <cell r="H171" t="str">
            <v>RF-Karawang Galuh</v>
          </cell>
          <cell r="I171" t="str">
            <v>GRAMEDIA ASRI MEDIA</v>
          </cell>
        </row>
        <row r="172">
          <cell r="H172" t="str">
            <v>RF-Karawang Galuh</v>
          </cell>
          <cell r="I172" t="str">
            <v>GRAMEDIA ASRI MEDIA</v>
          </cell>
        </row>
        <row r="173">
          <cell r="H173" t="str">
            <v>RF-Karawang Galuh</v>
          </cell>
          <cell r="I173" t="str">
            <v>GRAMEDIA ASRI MEDIA</v>
          </cell>
        </row>
        <row r="174">
          <cell r="H174" t="str">
            <v>RF-Karawang Galuh</v>
          </cell>
          <cell r="I174" t="str">
            <v>GRAMEDIA ASRI MEDIA</v>
          </cell>
        </row>
        <row r="175">
          <cell r="H175" t="str">
            <v>RF-Karawang Galuh</v>
          </cell>
          <cell r="I175" t="str">
            <v>GRAMEDIA ASRI MEDIA</v>
          </cell>
        </row>
        <row r="176">
          <cell r="H176" t="str">
            <v>RF-Karawang Galuh</v>
          </cell>
          <cell r="I176" t="str">
            <v>GRAMEDIA ASRI MEDIA</v>
          </cell>
        </row>
        <row r="177">
          <cell r="H177" t="str">
            <v>RF-Karawang Galuh</v>
          </cell>
          <cell r="I177" t="str">
            <v>GRAMEDIA ASRI MEDIA</v>
          </cell>
        </row>
        <row r="178">
          <cell r="H178" t="str">
            <v>RF-Medan Gama</v>
          </cell>
          <cell r="I178" t="str">
            <v>GRAMEDIA ASRI MEDIA</v>
          </cell>
        </row>
        <row r="179">
          <cell r="H179" t="str">
            <v>RF-Medan Gama</v>
          </cell>
          <cell r="I179" t="str">
            <v>GRAMEDIA ASRI MEDIA</v>
          </cell>
        </row>
        <row r="180">
          <cell r="H180" t="str">
            <v>RF-Medan Gama</v>
          </cell>
          <cell r="I180" t="str">
            <v>GRAMEDIA ASRI MEDIA</v>
          </cell>
        </row>
        <row r="181">
          <cell r="H181" t="str">
            <v>RF-Medan Gama</v>
          </cell>
          <cell r="I181" t="str">
            <v>GRAMEDIA ASRI MEDIA</v>
          </cell>
        </row>
        <row r="182">
          <cell r="H182" t="str">
            <v>RF-Medan Gama</v>
          </cell>
          <cell r="I182" t="str">
            <v>GRAMEDIA ASRI MEDIA</v>
          </cell>
        </row>
        <row r="183">
          <cell r="H183" t="str">
            <v>RF-Medan Gama</v>
          </cell>
          <cell r="I183" t="str">
            <v>GRAMEDIA ASRI MEDIA</v>
          </cell>
        </row>
        <row r="184">
          <cell r="H184" t="str">
            <v>RF-Medan Gama</v>
          </cell>
          <cell r="I184" t="str">
            <v>GRAMEDIA ASRI MEDIA</v>
          </cell>
        </row>
        <row r="185">
          <cell r="H185" t="str">
            <v>RG-Bali Duta Plz</v>
          </cell>
          <cell r="I185" t="str">
            <v>GRAMEDIA ASRI MEDIA</v>
          </cell>
        </row>
        <row r="186">
          <cell r="H186" t="str">
            <v>RG-Bali Galeria</v>
          </cell>
          <cell r="I186" t="str">
            <v>GRAMEDIA ASRI MEDIA</v>
          </cell>
        </row>
        <row r="187">
          <cell r="H187" t="str">
            <v>RG-Bali Teuku Umar</v>
          </cell>
          <cell r="I187" t="str">
            <v>GRAMEDIA ASRI MEDIA</v>
          </cell>
        </row>
        <row r="188">
          <cell r="H188" t="str">
            <v>RG-Gorontalo HOS Cokroaminoto</v>
          </cell>
          <cell r="I188" t="str">
            <v>GRAMEDIA ASRI MEDIA</v>
          </cell>
        </row>
        <row r="189">
          <cell r="H189" t="str">
            <v>RG-Jember Trunojoyo</v>
          </cell>
          <cell r="I189" t="str">
            <v>GRAMEDIA ASRI MEDIA</v>
          </cell>
        </row>
        <row r="190">
          <cell r="H190" t="str">
            <v>RG-Jember Trunojoyo</v>
          </cell>
          <cell r="I190" t="str">
            <v>GRAMEDIA ASRI MEDIA</v>
          </cell>
        </row>
        <row r="191">
          <cell r="H191" t="str">
            <v>RG-Jember Trunojoyo</v>
          </cell>
          <cell r="I191" t="str">
            <v>GRAMEDIA ASRI MEDIA</v>
          </cell>
        </row>
        <row r="192">
          <cell r="H192" t="str">
            <v>RG-Jember Trunojoyo</v>
          </cell>
          <cell r="I192" t="str">
            <v>GRAMEDIA ASRI MEDIA</v>
          </cell>
        </row>
        <row r="193">
          <cell r="H193" t="str">
            <v>RG-Jember Trunojoyo</v>
          </cell>
          <cell r="I193" t="str">
            <v>GRAMEDIA ASRI MEDIA</v>
          </cell>
        </row>
        <row r="194">
          <cell r="H194" t="str">
            <v>RG-Kediri UFO Plaza</v>
          </cell>
          <cell r="I194" t="str">
            <v>GRAMEDIA ASRI MEDIA</v>
          </cell>
        </row>
        <row r="195">
          <cell r="H195" t="str">
            <v>RG-Kediri UFO Plaza</v>
          </cell>
          <cell r="I195" t="str">
            <v>GRAMEDIA ASRI MEDIA</v>
          </cell>
        </row>
        <row r="196">
          <cell r="H196" t="str">
            <v>RG-Malang Basra</v>
          </cell>
          <cell r="I196" t="str">
            <v>GRAMEDIA ASRI MEDIA</v>
          </cell>
        </row>
        <row r="197">
          <cell r="H197" t="str">
            <v>RG-Malang Basra</v>
          </cell>
          <cell r="I197" t="str">
            <v>GRAMEDIA ASRI MEDIA</v>
          </cell>
        </row>
        <row r="198">
          <cell r="H198" t="str">
            <v>RG-Malang Basra</v>
          </cell>
          <cell r="I198" t="str">
            <v>GRAMEDIA ASRI MEDIA</v>
          </cell>
        </row>
        <row r="199">
          <cell r="H199" t="str">
            <v>RG-Malang Basra</v>
          </cell>
          <cell r="I199" t="str">
            <v>GRAMEDIA ASRI MEDIA</v>
          </cell>
        </row>
        <row r="200">
          <cell r="H200" t="str">
            <v>RG-Malang Basra</v>
          </cell>
          <cell r="I200" t="str">
            <v>GRAMEDIA ASRI MEDIA</v>
          </cell>
        </row>
        <row r="201">
          <cell r="H201" t="str">
            <v>RG-Malang Basra</v>
          </cell>
          <cell r="I201" t="str">
            <v>GRAMEDIA ASRI MEDIA</v>
          </cell>
        </row>
        <row r="202">
          <cell r="H202" t="str">
            <v>RG-Malang Olympic Garden</v>
          </cell>
          <cell r="I202" t="str">
            <v>GRAMEDIA ASRI MEDIA</v>
          </cell>
        </row>
        <row r="203">
          <cell r="H203" t="str">
            <v>RG-Manado Samratulangi</v>
          </cell>
          <cell r="I203" t="str">
            <v>GRAMEDIA ASRI MEDIA</v>
          </cell>
        </row>
        <row r="204">
          <cell r="H204" t="str">
            <v>RG-Manado Samratulangi</v>
          </cell>
          <cell r="I204" t="str">
            <v>GRAMEDIA ASRI MEDIA</v>
          </cell>
        </row>
        <row r="205">
          <cell r="H205" t="str">
            <v>RG-Manado Samratulangi</v>
          </cell>
          <cell r="I205" t="str">
            <v>GRAMEDIA ASRI MEDIA</v>
          </cell>
        </row>
        <row r="206">
          <cell r="H206" t="str">
            <v>RG-Manado Samratulangi</v>
          </cell>
          <cell r="I206" t="str">
            <v>GRAMEDIA ASRI MEDIA</v>
          </cell>
        </row>
        <row r="207">
          <cell r="H207" t="str">
            <v>RG-Manado Samratulangi</v>
          </cell>
          <cell r="I207" t="str">
            <v>GRAMEDIA ASRI MEDIA</v>
          </cell>
        </row>
        <row r="208">
          <cell r="H208" t="str">
            <v>RG-Manado Samratulangi</v>
          </cell>
          <cell r="I208" t="str">
            <v>GRAMEDIA ASRI MEDIA</v>
          </cell>
        </row>
        <row r="209">
          <cell r="H209" t="str">
            <v>RG-Manado Samratulangi</v>
          </cell>
          <cell r="I209" t="str">
            <v>GRAMEDIA ASRI MEDIA</v>
          </cell>
        </row>
        <row r="210">
          <cell r="H210" t="str">
            <v>RG-Manado Town Square</v>
          </cell>
          <cell r="I210" t="str">
            <v>GRAMEDIA ASRI MEDIA</v>
          </cell>
        </row>
        <row r="211">
          <cell r="H211" t="str">
            <v>RG-Sby Expo</v>
          </cell>
          <cell r="I211" t="str">
            <v>GRAMEDIA ASRI MEDIA</v>
          </cell>
        </row>
        <row r="212">
          <cell r="H212" t="str">
            <v>RG-Surabaya Pakuwon Mall</v>
          </cell>
          <cell r="I212" t="str">
            <v>GRAMEDIA ASRI MEDIA</v>
          </cell>
        </row>
        <row r="213">
          <cell r="H213" t="str">
            <v>RG-Sby Expo</v>
          </cell>
          <cell r="I213" t="str">
            <v>GRAMEDIA ASRI MEDIA</v>
          </cell>
        </row>
        <row r="214">
          <cell r="H214" t="str">
            <v>RG-Sby Manyar</v>
          </cell>
          <cell r="I214" t="str">
            <v>GRAMEDIA ASRI MEDIA</v>
          </cell>
        </row>
        <row r="215">
          <cell r="H215" t="str">
            <v>RG-Sby Manyar</v>
          </cell>
          <cell r="I215" t="str">
            <v>GRAMEDIA ASRI MEDIA</v>
          </cell>
        </row>
        <row r="216">
          <cell r="H216" t="str">
            <v>RG-Sby Royal Plz</v>
          </cell>
          <cell r="I216" t="str">
            <v>GRAMEDIA ASRI MEDIA</v>
          </cell>
        </row>
        <row r="217">
          <cell r="H217" t="str">
            <v>RG-Sby Tunjungan Plz</v>
          </cell>
          <cell r="I217" t="str">
            <v>GRAMEDIA ASRI MEDIA</v>
          </cell>
        </row>
        <row r="218">
          <cell r="H218" t="str">
            <v>RG-Sidoarjo Ruko Pahlawan</v>
          </cell>
          <cell r="I218" t="str">
            <v>GRAMEDIA ASRI MEDIA</v>
          </cell>
        </row>
        <row r="219">
          <cell r="H219" t="str">
            <v>RG-Surabaya Pakuwon Mall</v>
          </cell>
          <cell r="I219" t="str">
            <v>GRAMEDIA ASRI MEDIA</v>
          </cell>
        </row>
        <row r="220">
          <cell r="H220" t="str">
            <v>RE-Tangerang CBD Emerald Bintaro</v>
          </cell>
          <cell r="I220" t="str">
            <v>GRAMEDIA ASRI MEDIA</v>
          </cell>
        </row>
        <row r="221">
          <cell r="H221" t="str">
            <v>RA-Jayapura</v>
          </cell>
          <cell r="I221" t="str">
            <v>GRAMEDIA ASRI MEDIA</v>
          </cell>
        </row>
        <row r="222">
          <cell r="H222" t="str">
            <v>RA-Jayapura</v>
          </cell>
          <cell r="I222" t="str">
            <v>GRAMEDIA ASRI MEDIA</v>
          </cell>
        </row>
        <row r="223">
          <cell r="H223" t="str">
            <v>RA-Jayapura</v>
          </cell>
          <cell r="I223" t="str">
            <v>GRAMEDIA ASRI MEDIA</v>
          </cell>
        </row>
        <row r="224">
          <cell r="H224" t="str">
            <v>RC-Semarang Pandanaran</v>
          </cell>
          <cell r="I224" t="str">
            <v>GRAMEDIA ASRI MEDIA</v>
          </cell>
        </row>
        <row r="225">
          <cell r="H225" t="str">
            <v>RC-Banjarmasin Veteran</v>
          </cell>
          <cell r="I225" t="str">
            <v>GRAMEDIA ASRI MEDIA</v>
          </cell>
        </row>
        <row r="226">
          <cell r="H226" t="str">
            <v>SALES &amp; MARKETING</v>
          </cell>
          <cell r="I226" t="str">
            <v>MITRA EDUKASI NUSANTARA</v>
          </cell>
        </row>
        <row r="227">
          <cell r="H227" t="str">
            <v>GLKU</v>
          </cell>
          <cell r="I227" t="str">
            <v>GLOBAL LINTAS KARYA UTAMA</v>
          </cell>
        </row>
        <row r="228">
          <cell r="H228" t="str">
            <v>GLKU</v>
          </cell>
          <cell r="I228" t="str">
            <v>GLOBAL LINTAS KARYA UTAMA</v>
          </cell>
        </row>
        <row r="229">
          <cell r="H229" t="str">
            <v>Procurement &amp; Distribution (Tajem)</v>
          </cell>
          <cell r="I229" t="str">
            <v>GRAMEDIA ASRI MEDIA</v>
          </cell>
        </row>
        <row r="230">
          <cell r="H230" t="str">
            <v>Procurement &amp; Distribution (Tajem)</v>
          </cell>
          <cell r="I230" t="str">
            <v>GRAMEDIA ASRI MEDIA</v>
          </cell>
        </row>
        <row r="231">
          <cell r="H231" t="str">
            <v>Procurement &amp; Distribution (Tajem)</v>
          </cell>
          <cell r="I231" t="str">
            <v>GRAMEDIA ASRI MEDIA</v>
          </cell>
        </row>
        <row r="232">
          <cell r="H232" t="str">
            <v>Procurement &amp; Distribution (Tajem)</v>
          </cell>
          <cell r="I232" t="str">
            <v>GRAMEDIA ASRI MEDIA</v>
          </cell>
        </row>
        <row r="233">
          <cell r="H233" t="str">
            <v>SALES &amp; MARKETING</v>
          </cell>
          <cell r="I233" t="str">
            <v>MITRA EDUKASI NUSANTARA</v>
          </cell>
        </row>
        <row r="234">
          <cell r="H234" t="str">
            <v>Makasar Nipah Park</v>
          </cell>
          <cell r="I234" t="str">
            <v>GRAMEDIA ASRI MEDIA</v>
          </cell>
        </row>
        <row r="235">
          <cell r="H235" t="str">
            <v>Procurement &amp; Distribution (Tajem)</v>
          </cell>
          <cell r="I235" t="str">
            <v>GRAMEDIA ASRI MEDIA</v>
          </cell>
        </row>
        <row r="236">
          <cell r="H236" t="str">
            <v>KMN - Denpasar</v>
          </cell>
          <cell r="I236" t="str">
            <v>KOMPAS MEDIA NUSANTARA</v>
          </cell>
        </row>
        <row r="237">
          <cell r="H237" t="str">
            <v>PT KMN - Jakarta</v>
          </cell>
          <cell r="I237" t="str">
            <v>KOMPAS MEDIA NUSANTARA</v>
          </cell>
        </row>
        <row r="238">
          <cell r="H238" t="str">
            <v>PT KMN - Jakarta</v>
          </cell>
          <cell r="I238" t="str">
            <v>KOMPAS MEDIA NUSANTARA</v>
          </cell>
        </row>
        <row r="239">
          <cell r="H239" t="str">
            <v>PT KMN - Makassaar</v>
          </cell>
          <cell r="I239" t="str">
            <v>KOMPAS MEDIA NUSANTARA</v>
          </cell>
        </row>
        <row r="240">
          <cell r="H240" t="str">
            <v>PT KMN - Medan</v>
          </cell>
          <cell r="I240" t="str">
            <v>KOMPAS MEDIA NUSANTARA</v>
          </cell>
        </row>
        <row r="241">
          <cell r="H241" t="str">
            <v>PT KMN - Semarang</v>
          </cell>
          <cell r="I241" t="str">
            <v>KOMPAS MEDIA NUSANTARA</v>
          </cell>
        </row>
        <row r="242">
          <cell r="H242" t="str">
            <v>PT KMN - SIRKULASI</v>
          </cell>
          <cell r="I242" t="str">
            <v>SIRKULASI KOMPAS GRAMEDIA</v>
          </cell>
        </row>
        <row r="243">
          <cell r="H243" t="str">
            <v>PT KMN - SIRKULASI</v>
          </cell>
          <cell r="I243" t="str">
            <v>SIRKULASI KOMPAS GRAMEDIA</v>
          </cell>
        </row>
        <row r="244">
          <cell r="H244" t="str">
            <v>Procurement &amp; Distribution (Cakung)</v>
          </cell>
          <cell r="I244" t="str">
            <v>GRAMEDIA ASRI MEDIA</v>
          </cell>
        </row>
        <row r="245">
          <cell r="H245" t="str">
            <v>Procurement &amp; Distribution (Cakung)</v>
          </cell>
          <cell r="I245" t="str">
            <v>GRAMEDIA ASRI MEDIA</v>
          </cell>
        </row>
        <row r="246">
          <cell r="H246" t="str">
            <v>Procurement &amp; Distribution (Cakung)</v>
          </cell>
          <cell r="I246" t="str">
            <v>GRAMEDIA ASRI MEDIA</v>
          </cell>
        </row>
        <row r="247">
          <cell r="H247" t="str">
            <v>Procurement &amp; Distribution (Cakung)</v>
          </cell>
          <cell r="I247" t="str">
            <v>GRAMEDIA ASRI MEDIA</v>
          </cell>
        </row>
        <row r="248">
          <cell r="H248" t="str">
            <v>Procurement &amp; Distribution (Cakung)</v>
          </cell>
          <cell r="I248" t="str">
            <v>GRAMEDIA ASRI MEDIA</v>
          </cell>
        </row>
        <row r="249">
          <cell r="H249" t="str">
            <v>Procurement &amp; Distribution (Cakung)</v>
          </cell>
          <cell r="I249" t="str">
            <v>GRAMEDIA ASRI MEDIA</v>
          </cell>
        </row>
        <row r="250">
          <cell r="H250" t="str">
            <v>Procurement &amp; Distribution (Cakung)</v>
          </cell>
          <cell r="I250" t="str">
            <v>GRAMEDIA ASRI MEDIA</v>
          </cell>
        </row>
        <row r="251">
          <cell r="H251" t="str">
            <v>Procurement &amp; Distribution (Cakung)</v>
          </cell>
          <cell r="I251" t="str">
            <v>GRAMEDIA ASRI MEDIA</v>
          </cell>
        </row>
        <row r="252">
          <cell r="H252" t="str">
            <v>Procurement &amp; Distribution (Cakung)</v>
          </cell>
          <cell r="I252" t="str">
            <v>GRAMEDIA ASRI MEDIA</v>
          </cell>
        </row>
        <row r="253">
          <cell r="H253" t="str">
            <v>Procurement &amp; Distribution (Cakung)</v>
          </cell>
          <cell r="I253" t="str">
            <v>GRAMEDIA ASRI MEDIA</v>
          </cell>
        </row>
        <row r="254">
          <cell r="H254" t="str">
            <v>Procurement &amp; Distribution (Cakung)</v>
          </cell>
          <cell r="I254" t="str">
            <v>GRAMEDIA ASRI MEDIA</v>
          </cell>
        </row>
        <row r="255">
          <cell r="H255" t="str">
            <v>Procurement &amp; Distribution (Cakung)</v>
          </cell>
          <cell r="I255" t="str">
            <v>GRAMEDIA ASRI MEDIA</v>
          </cell>
        </row>
        <row r="256">
          <cell r="H256" t="str">
            <v>Procurement &amp; Distribution (Cakung)</v>
          </cell>
          <cell r="I256" t="str">
            <v>GRAMEDIA ASRI MEDIA</v>
          </cell>
        </row>
        <row r="257">
          <cell r="H257" t="str">
            <v>Procurement &amp; Distribution (Cakung)</v>
          </cell>
          <cell r="I257" t="str">
            <v>GRAMEDIA ASRI MEDIA</v>
          </cell>
        </row>
        <row r="258">
          <cell r="H258" t="str">
            <v>Procurement &amp; Distribution (Cakung)</v>
          </cell>
          <cell r="I258" t="str">
            <v>GRAMEDIA ASRI MEDIA</v>
          </cell>
        </row>
        <row r="259">
          <cell r="H259" t="str">
            <v>Procurement &amp; Distribution (Cakung)</v>
          </cell>
          <cell r="I259" t="str">
            <v>GRAMEDIA ASRI MEDIA</v>
          </cell>
        </row>
        <row r="260">
          <cell r="H260" t="str">
            <v>Procurement &amp; Distribution (Cakung)</v>
          </cell>
          <cell r="I260" t="str">
            <v>GRAMEDIA ASRI MEDIA</v>
          </cell>
        </row>
        <row r="261">
          <cell r="H261" t="str">
            <v>Procurement &amp; Distribution (Cakung)</v>
          </cell>
          <cell r="I261" t="str">
            <v>GRAMEDIA ASRI MEDIA</v>
          </cell>
        </row>
        <row r="262">
          <cell r="H262" t="str">
            <v>Procurement &amp; Distribution (Cakung)</v>
          </cell>
          <cell r="I262" t="str">
            <v>GRAMEDIA ASRI MEDIA</v>
          </cell>
        </row>
        <row r="263">
          <cell r="H263" t="str">
            <v>Procurement &amp; Distribution (Cakung)</v>
          </cell>
          <cell r="I263" t="str">
            <v>GRAMEDIA ASRI MEDIA</v>
          </cell>
        </row>
        <row r="264">
          <cell r="H264" t="str">
            <v>PT KMN - SIRKULASI</v>
          </cell>
          <cell r="I264" t="str">
            <v>SIRKULASI KOMPAS GRAMEDIA</v>
          </cell>
        </row>
        <row r="265">
          <cell r="H265" t="str">
            <v>PT KMN - SIRKULASI</v>
          </cell>
          <cell r="I265" t="str">
            <v>SIRKULASI KOMPAS GRAMEDIA</v>
          </cell>
        </row>
        <row r="266">
          <cell r="H266" t="str">
            <v>PT KMN - SIRKULASI</v>
          </cell>
          <cell r="I266" t="str">
            <v>SIRKULASI KOMPAS GRAMEDIA</v>
          </cell>
        </row>
        <row r="267">
          <cell r="H267" t="str">
            <v>PT KMN - SIRKULASI</v>
          </cell>
          <cell r="I267" t="str">
            <v>SIRKULASI KOMPAS GRAMEDIA</v>
          </cell>
        </row>
        <row r="268">
          <cell r="H268" t="str">
            <v>Online Gramedia.com</v>
          </cell>
          <cell r="I268" t="str">
            <v>GRAMEDIA ASRI MEDIA</v>
          </cell>
        </row>
        <row r="269">
          <cell r="H269" t="str">
            <v>Online Gramedia.com</v>
          </cell>
          <cell r="I269" t="str">
            <v>GRAMEDIA ASRI MEDIA</v>
          </cell>
        </row>
        <row r="270">
          <cell r="H270" t="str">
            <v>Online Gramedia.com</v>
          </cell>
          <cell r="I270" t="str">
            <v>GRAMEDIA ASRI MEDIA</v>
          </cell>
        </row>
        <row r="271">
          <cell r="H271" t="str">
            <v>Online Gramedia.com</v>
          </cell>
          <cell r="I271" t="str">
            <v>GRAMEDIA ASRI MEDIA</v>
          </cell>
        </row>
        <row r="272">
          <cell r="H272" t="str">
            <v>Online Gramedia.com</v>
          </cell>
          <cell r="I272" t="str">
            <v>GRAMEDIA ASRI MEDIA</v>
          </cell>
        </row>
        <row r="273">
          <cell r="H273" t="str">
            <v>Online Gramedia.com</v>
          </cell>
          <cell r="I273" t="str">
            <v>GRAMEDIA ASRI MEDIA</v>
          </cell>
        </row>
        <row r="274">
          <cell r="H274" t="str">
            <v>Online Gramedia.com</v>
          </cell>
          <cell r="I274" t="str">
            <v>GRAMEDIA ASRI MEDIA</v>
          </cell>
        </row>
        <row r="275">
          <cell r="H275" t="str">
            <v>Online Gramedia.com</v>
          </cell>
          <cell r="I275" t="str">
            <v>GRAMEDIA ASRI MEDIA</v>
          </cell>
        </row>
        <row r="276">
          <cell r="H276" t="str">
            <v>Online Gramedia.com</v>
          </cell>
          <cell r="I276" t="str">
            <v>GRAMEDIA ASRI MEDIA</v>
          </cell>
        </row>
        <row r="277">
          <cell r="H277" t="str">
            <v>Online Gramedia.com</v>
          </cell>
          <cell r="I277" t="str">
            <v>GRAMEDIA ASRI MEDIA</v>
          </cell>
        </row>
        <row r="278">
          <cell r="H278" t="str">
            <v>Online Gramedia.com</v>
          </cell>
          <cell r="I278" t="str">
            <v>GRAMEDIA ASRI MEDIA</v>
          </cell>
        </row>
        <row r="279">
          <cell r="H279" t="str">
            <v>Online Gramedia.com</v>
          </cell>
          <cell r="I279" t="str">
            <v>GRAMEDIA ASRI MEDIA</v>
          </cell>
        </row>
        <row r="280">
          <cell r="H280" t="str">
            <v>Online Gramedia.com</v>
          </cell>
          <cell r="I280" t="str">
            <v>GRAMEDIA ASRI MEDIA</v>
          </cell>
        </row>
        <row r="281">
          <cell r="H281" t="str">
            <v>Online Gramedia.com</v>
          </cell>
          <cell r="I281" t="str">
            <v>GRAMEDIA ASRI MEDIA</v>
          </cell>
        </row>
        <row r="282">
          <cell r="H282" t="str">
            <v>Online Gramedia.com</v>
          </cell>
          <cell r="I282" t="str">
            <v>GRAMEDIA ASRI MEDIA</v>
          </cell>
        </row>
        <row r="283">
          <cell r="H283" t="str">
            <v>Online Gramedia.com</v>
          </cell>
          <cell r="I283" t="str">
            <v>GRAMEDIA ASRI MEDIA</v>
          </cell>
        </row>
        <row r="284">
          <cell r="H284" t="str">
            <v>Online Gramedia.com</v>
          </cell>
          <cell r="I284" t="str">
            <v>GRAMEDIA ASRI MEDIA</v>
          </cell>
        </row>
        <row r="285">
          <cell r="H285" t="str">
            <v>Online Gramedia.com</v>
          </cell>
          <cell r="I285" t="str">
            <v>GRAMEDIA ASRI MEDIA</v>
          </cell>
        </row>
        <row r="286">
          <cell r="H286" t="str">
            <v>Online Gramedia.com</v>
          </cell>
          <cell r="I286" t="str">
            <v>GRAMEDIA ASRI MEDIA</v>
          </cell>
        </row>
        <row r="287">
          <cell r="H287" t="str">
            <v>Online Gramedia.com</v>
          </cell>
          <cell r="I287" t="str">
            <v>GRAMEDIA ASRI MEDIA</v>
          </cell>
        </row>
        <row r="288">
          <cell r="H288" t="str">
            <v>Online Gramedia.com</v>
          </cell>
          <cell r="I288" t="str">
            <v>GRAMEDIA ASRI MEDIA</v>
          </cell>
        </row>
        <row r="289">
          <cell r="H289" t="str">
            <v>Online Gramedia.com</v>
          </cell>
          <cell r="I289" t="str">
            <v>GRAMEDIA ASRI MEDIA</v>
          </cell>
        </row>
        <row r="290">
          <cell r="H290" t="str">
            <v>Online Gramedia.com</v>
          </cell>
          <cell r="I290" t="str">
            <v>GRAMEDIA ASRI MEDIA</v>
          </cell>
        </row>
        <row r="291">
          <cell r="H291" t="str">
            <v>PT KMN - SIRKULASI</v>
          </cell>
          <cell r="I291" t="str">
            <v>SIRKULASI KOMPAS GRAMEDIA</v>
          </cell>
        </row>
        <row r="292">
          <cell r="H292" t="str">
            <v>PT KMN - SIRKULASI</v>
          </cell>
          <cell r="I292" t="str">
            <v>SIRKULASI KOMPAS GRAMEDIA</v>
          </cell>
        </row>
        <row r="293">
          <cell r="H293" t="str">
            <v>GLKU</v>
          </cell>
          <cell r="I293" t="str">
            <v>GLOBAL LINTAS KARYA UTAMA</v>
          </cell>
        </row>
        <row r="294">
          <cell r="H294" t="str">
            <v>RA-Depok</v>
          </cell>
          <cell r="I294" t="str">
            <v>GRAMEDIA ASRI MEDIA</v>
          </cell>
        </row>
        <row r="295">
          <cell r="H295" t="str">
            <v>RA-Depok</v>
          </cell>
          <cell r="I295" t="str">
            <v>GRAMEDIA ASRI MEDIA</v>
          </cell>
        </row>
        <row r="296">
          <cell r="H296" t="str">
            <v>RA-Depok</v>
          </cell>
          <cell r="I296" t="str">
            <v>GRAMEDIA ASRI MEDIA</v>
          </cell>
        </row>
        <row r="297">
          <cell r="H297" t="str">
            <v>RA-Depok</v>
          </cell>
          <cell r="I297" t="str">
            <v>GRAMEDIA ASRI MEDIA</v>
          </cell>
        </row>
        <row r="298">
          <cell r="H298" t="str">
            <v>RA-Depok</v>
          </cell>
          <cell r="I298" t="str">
            <v>GRAMEDIA ASRI MEDIA</v>
          </cell>
        </row>
        <row r="299">
          <cell r="H299" t="str">
            <v>PT KMN - SIRKULASI</v>
          </cell>
          <cell r="I299" t="str">
            <v>SIRKULASI KOMPAS GRAMEDIA</v>
          </cell>
        </row>
        <row r="300">
          <cell r="H300" t="str">
            <v>PT KMN - Yogyakarta</v>
          </cell>
          <cell r="I300" t="str">
            <v>KOMPAS MEDIA NUSANTARA</v>
          </cell>
        </row>
        <row r="301">
          <cell r="H301" t="str">
            <v>RA-Mataram Pejanggik</v>
          </cell>
          <cell r="I301" t="str">
            <v>GRAMEDIA ASRI MEDIA</v>
          </cell>
        </row>
        <row r="302">
          <cell r="H302" t="str">
            <v>RA-Mataram Pejanggik</v>
          </cell>
          <cell r="I302" t="str">
            <v>GRAMEDIA ASRI MEDIA</v>
          </cell>
        </row>
        <row r="303">
          <cell r="H303" t="str">
            <v>RA-Mataram Pejanggik</v>
          </cell>
          <cell r="I303" t="str">
            <v>GRAMEDIA ASRI MEDIA</v>
          </cell>
        </row>
        <row r="304">
          <cell r="H304" t="str">
            <v>RA-Mataram Pejanggik</v>
          </cell>
          <cell r="I304" t="str">
            <v>GRAMEDIA ASRI MEDIA</v>
          </cell>
        </row>
        <row r="305">
          <cell r="H305" t="str">
            <v>RA-Mataram Pejanggik</v>
          </cell>
          <cell r="I305" t="str">
            <v>GRAMEDIA ASRI MEDIA</v>
          </cell>
        </row>
        <row r="306">
          <cell r="H306" t="str">
            <v>RA-Mataram Pejanggik</v>
          </cell>
          <cell r="I306" t="str">
            <v>GRAMEDIA ASRI MEDIA</v>
          </cell>
        </row>
        <row r="307">
          <cell r="H307" t="str">
            <v>RB-GR Makasar Pettarani</v>
          </cell>
          <cell r="I307" t="str">
            <v>GRAMEDIA ASRI MEDIA</v>
          </cell>
        </row>
        <row r="308">
          <cell r="H308" t="str">
            <v>RB-Jkt Grand Indonesia Mall</v>
          </cell>
          <cell r="I308" t="str">
            <v>GRAMEDIA ASRI MEDIA</v>
          </cell>
        </row>
        <row r="309">
          <cell r="H309" t="str">
            <v>RB-Jkt Matraman</v>
          </cell>
          <cell r="I309" t="str">
            <v>GRAMEDIA ASRI MEDIA</v>
          </cell>
        </row>
        <row r="310">
          <cell r="H310" t="str">
            <v>RB-Jkt Matraman</v>
          </cell>
          <cell r="I310" t="str">
            <v>GRAMEDIA ASRI MEDIA</v>
          </cell>
        </row>
        <row r="311">
          <cell r="H311" t="str">
            <v>RB-Jkt Matraman</v>
          </cell>
          <cell r="I311" t="str">
            <v>GRAMEDIA ASRI MEDIA</v>
          </cell>
        </row>
        <row r="312">
          <cell r="H312" t="str">
            <v>RB-Jkt Matraman</v>
          </cell>
          <cell r="I312" t="str">
            <v>GRAMEDIA ASRI MEDIA</v>
          </cell>
        </row>
        <row r="313">
          <cell r="H313" t="str">
            <v>RB-Jkt Matraman</v>
          </cell>
          <cell r="I313" t="str">
            <v>GRAMEDIA ASRI MEDIA</v>
          </cell>
        </row>
        <row r="314">
          <cell r="H314" t="str">
            <v>RB-Jkt Matraman</v>
          </cell>
          <cell r="I314" t="str">
            <v>GRAMEDIA ASRI MEDIA</v>
          </cell>
        </row>
        <row r="315">
          <cell r="H315" t="str">
            <v>RB-Jkt Matraman</v>
          </cell>
          <cell r="I315" t="str">
            <v>GRAMEDIA ASRI MEDIA</v>
          </cell>
        </row>
        <row r="316">
          <cell r="H316" t="str">
            <v>RB-Jkt Matraman</v>
          </cell>
          <cell r="I316" t="str">
            <v>GRAMEDIA ASRI MEDIA</v>
          </cell>
        </row>
        <row r="317">
          <cell r="H317" t="str">
            <v>RB-Jkt Matraman</v>
          </cell>
          <cell r="I317" t="str">
            <v>GRAMEDIA ASRI MEDIA</v>
          </cell>
        </row>
        <row r="318">
          <cell r="H318" t="str">
            <v>RB-Jkt Matraman</v>
          </cell>
          <cell r="I318" t="str">
            <v>GRAMEDIA ASRI MEDIA</v>
          </cell>
        </row>
        <row r="319">
          <cell r="H319" t="str">
            <v>PT KMN - Yogyakarta</v>
          </cell>
          <cell r="I319" t="str">
            <v>KOMPAS MEDIA NUSANTARA</v>
          </cell>
        </row>
        <row r="320">
          <cell r="H320" t="str">
            <v>RC-Banjarmasin Veteran</v>
          </cell>
          <cell r="I320" t="str">
            <v>GRAMEDIA ASRI MEDIA</v>
          </cell>
        </row>
        <row r="321">
          <cell r="H321" t="str">
            <v>RC-Banjarmasin Veteran</v>
          </cell>
          <cell r="I321" t="str">
            <v>GRAMEDIA ASRI MEDIA</v>
          </cell>
        </row>
        <row r="322">
          <cell r="H322" t="str">
            <v>RC-Banjarmasin Veteran</v>
          </cell>
          <cell r="I322" t="str">
            <v>GRAMEDIA ASRI MEDIA</v>
          </cell>
        </row>
        <row r="323">
          <cell r="H323" t="str">
            <v>RC-Cirebon Cipto</v>
          </cell>
          <cell r="I323" t="str">
            <v>GRAMEDIA ASRI MEDIA</v>
          </cell>
        </row>
        <row r="324">
          <cell r="H324" t="str">
            <v>RC-Cirebon Cipto</v>
          </cell>
          <cell r="I324" t="str">
            <v>GRAMEDIA ASRI MEDIA</v>
          </cell>
        </row>
        <row r="325">
          <cell r="H325" t="str">
            <v>RC-Cirebon Cipto</v>
          </cell>
          <cell r="I325" t="str">
            <v>GRAMEDIA ASRI MEDIA</v>
          </cell>
        </row>
        <row r="326">
          <cell r="H326" t="str">
            <v>RC-Cirebon Cipto</v>
          </cell>
          <cell r="I326" t="str">
            <v>GRAMEDIA ASRI MEDIA</v>
          </cell>
        </row>
        <row r="327">
          <cell r="H327" t="str">
            <v>RC-Cirebon Cipto</v>
          </cell>
          <cell r="I327" t="str">
            <v>GRAMEDIA ASRI MEDIA</v>
          </cell>
        </row>
        <row r="328">
          <cell r="H328" t="str">
            <v>RC-Cirebon Cipto</v>
          </cell>
          <cell r="I328" t="str">
            <v>GRAMEDIA ASRI MEDIA</v>
          </cell>
        </row>
        <row r="329">
          <cell r="H329" t="str">
            <v>RC-Cirebon Cipto</v>
          </cell>
          <cell r="I329" t="str">
            <v>GRAMEDIA ASRI MEDIA</v>
          </cell>
        </row>
        <row r="330">
          <cell r="H330" t="str">
            <v>RC-Purwokerto Rita</v>
          </cell>
          <cell r="I330" t="str">
            <v>GRAMEDIA ASRI MEDIA</v>
          </cell>
        </row>
        <row r="331">
          <cell r="H331" t="str">
            <v>RC-Cirebon Cipto</v>
          </cell>
          <cell r="I331" t="str">
            <v>GRAMEDIA ASRI MEDIA</v>
          </cell>
        </row>
        <row r="332">
          <cell r="H332" t="str">
            <v>RC-Semarang Pandanaran</v>
          </cell>
          <cell r="I332" t="str">
            <v>GRAMEDIA ASRI MEDIA</v>
          </cell>
        </row>
        <row r="333">
          <cell r="H333" t="str">
            <v>RC-Cirebon Cipto</v>
          </cell>
          <cell r="I333" t="str">
            <v>GRAMEDIA ASRI MEDIA</v>
          </cell>
        </row>
        <row r="334">
          <cell r="H334" t="str">
            <v>RC-Semarang Pandanaran</v>
          </cell>
          <cell r="I334" t="str">
            <v>GRAMEDIA ASRI MEDIA</v>
          </cell>
        </row>
        <row r="335">
          <cell r="H335" t="str">
            <v>RC-Setiabudi Semarang</v>
          </cell>
          <cell r="I335" t="str">
            <v>GRAMEDIA ASRI MEDIA</v>
          </cell>
        </row>
        <row r="336">
          <cell r="H336" t="str">
            <v>RC-Semarang Pandanaran</v>
          </cell>
          <cell r="I336" t="str">
            <v>GRAMEDIA ASRI MEDIA</v>
          </cell>
        </row>
        <row r="337">
          <cell r="H337" t="str">
            <v>RC-Semarang Pandanaran</v>
          </cell>
          <cell r="I337" t="str">
            <v>GRAMEDIA ASRI MEDIA</v>
          </cell>
        </row>
        <row r="338">
          <cell r="H338" t="str">
            <v>RC-Solo Slamet Riyadi</v>
          </cell>
          <cell r="I338" t="str">
            <v>GRAMEDIA ASRI MEDIA</v>
          </cell>
        </row>
        <row r="339">
          <cell r="H339" t="str">
            <v>RC-Solo Slamet Riyadi</v>
          </cell>
          <cell r="I339" t="str">
            <v>GRAMEDIA ASRI MEDIA</v>
          </cell>
        </row>
        <row r="340">
          <cell r="H340" t="str">
            <v>RC-Solo Slamet Riyadi</v>
          </cell>
          <cell r="I340" t="str">
            <v>GRAMEDIA ASRI MEDIA</v>
          </cell>
        </row>
        <row r="341">
          <cell r="H341" t="str">
            <v>RC-Solo Slamet Riyadi</v>
          </cell>
          <cell r="I341" t="str">
            <v>GRAMEDIA ASRI MEDIA</v>
          </cell>
        </row>
        <row r="342">
          <cell r="H342" t="str">
            <v>RC-Solo Slamet Riyadi</v>
          </cell>
          <cell r="I342" t="str">
            <v>GRAMEDIA ASRI MEDIA</v>
          </cell>
        </row>
        <row r="343">
          <cell r="H343" t="str">
            <v>RC-Solo Slamet Riyadi</v>
          </cell>
          <cell r="I343" t="str">
            <v>GRAMEDIA ASRI MEDIA</v>
          </cell>
        </row>
        <row r="344">
          <cell r="H344" t="str">
            <v>RC-Yogya City Mall</v>
          </cell>
          <cell r="I344" t="str">
            <v>GRAMEDIA ASRI MEDIA</v>
          </cell>
        </row>
        <row r="345">
          <cell r="H345" t="str">
            <v>RC-Yogya Sudirman</v>
          </cell>
          <cell r="I345" t="str">
            <v>GRAMEDIA ASRI MEDIA</v>
          </cell>
        </row>
        <row r="346">
          <cell r="H346" t="str">
            <v>RC-Yogya Sudirman</v>
          </cell>
          <cell r="I346" t="str">
            <v>GRAMEDIA ASRI MEDIA</v>
          </cell>
        </row>
        <row r="347">
          <cell r="H347" t="str">
            <v>RC-Yogya Sudirman</v>
          </cell>
          <cell r="I347" t="str">
            <v>GRAMEDIA ASRI MEDIA</v>
          </cell>
        </row>
        <row r="348">
          <cell r="H348" t="str">
            <v>RC-Yogya Sudirman</v>
          </cell>
          <cell r="I348" t="str">
            <v>GRAMEDIA ASRI MEDIA</v>
          </cell>
        </row>
        <row r="349">
          <cell r="H349" t="str">
            <v>RC-Yogya Sudirman</v>
          </cell>
          <cell r="I349" t="str">
            <v>GRAMEDIA ASRI MEDIA</v>
          </cell>
        </row>
        <row r="350">
          <cell r="H350" t="str">
            <v>RD-Padang Damar</v>
          </cell>
          <cell r="I350" t="str">
            <v>GRAMEDIA ASRI MEDIA</v>
          </cell>
        </row>
        <row r="351">
          <cell r="H351" t="str">
            <v>RD-Padang Damar</v>
          </cell>
          <cell r="I351" t="str">
            <v>GRAMEDIA ASRI MEDIA</v>
          </cell>
        </row>
        <row r="352">
          <cell r="H352" t="str">
            <v>RD-Pekanbaru Jensud</v>
          </cell>
          <cell r="I352" t="str">
            <v>GRAMEDIA ASRI MEDIA</v>
          </cell>
        </row>
        <row r="353">
          <cell r="H353" t="str">
            <v>RD-Pekanbaru Jensud</v>
          </cell>
          <cell r="I353" t="str">
            <v>GRAMEDIA ASRI MEDIA</v>
          </cell>
        </row>
        <row r="354">
          <cell r="H354" t="str">
            <v>RD-Pekanbaru Jensud</v>
          </cell>
          <cell r="I354" t="str">
            <v>GRAMEDIA ASRI MEDIA</v>
          </cell>
        </row>
        <row r="355">
          <cell r="H355" t="str">
            <v>RD-Tangerang BSD City Mall</v>
          </cell>
          <cell r="I355" t="str">
            <v>GRAMEDIA ASRI MEDIA</v>
          </cell>
        </row>
        <row r="356">
          <cell r="H356" t="str">
            <v>RD-Tangerang BSD City Mall</v>
          </cell>
          <cell r="I356" t="str">
            <v>GRAMEDIA ASRI MEDIA</v>
          </cell>
        </row>
        <row r="357">
          <cell r="H357" t="str">
            <v>RD-Tangerang BSD City Mall</v>
          </cell>
          <cell r="I357" t="str">
            <v>GRAMEDIA ASRI MEDIA</v>
          </cell>
        </row>
        <row r="358">
          <cell r="H358" t="str">
            <v>RD-Tangerang BSD City Mall</v>
          </cell>
          <cell r="I358" t="str">
            <v>GRAMEDIA ASRI MEDIA</v>
          </cell>
        </row>
        <row r="359">
          <cell r="H359" t="str">
            <v>RD-Tangerang BSD City Mall</v>
          </cell>
          <cell r="I359" t="str">
            <v>GRAMEDIA ASRI MEDIA</v>
          </cell>
        </row>
        <row r="360">
          <cell r="H360" t="str">
            <v>RD-Tangerang BSD City Mall</v>
          </cell>
          <cell r="I360" t="str">
            <v>GRAMEDIA ASRI MEDIA</v>
          </cell>
        </row>
        <row r="361">
          <cell r="H361" t="str">
            <v>RD-Tangerang BSD City Mall</v>
          </cell>
          <cell r="I361" t="str">
            <v>GRAMEDIA ASRI MEDIA</v>
          </cell>
        </row>
        <row r="362">
          <cell r="H362" t="str">
            <v>RD-Tangerang BSD City Mall</v>
          </cell>
          <cell r="I362" t="str">
            <v>GRAMEDIA ASRI MEDIA</v>
          </cell>
        </row>
        <row r="363">
          <cell r="H363" t="str">
            <v>RD-Tangerang BSD City Mall</v>
          </cell>
          <cell r="I363" t="str">
            <v>GRAMEDIA ASRI MEDIA</v>
          </cell>
        </row>
        <row r="364">
          <cell r="H364" t="str">
            <v>RD-Tangerang Cikupa</v>
          </cell>
          <cell r="I364" t="str">
            <v>GRAMEDIA ASRI MEDIA</v>
          </cell>
        </row>
        <row r="365">
          <cell r="H365" t="str">
            <v>RE-Balikpapan Plaza</v>
          </cell>
          <cell r="I365" t="str">
            <v>GRAMEDIA ASRI MEDIA</v>
          </cell>
        </row>
        <row r="366">
          <cell r="H366" t="str">
            <v>RE-Bengkulu Meranti</v>
          </cell>
          <cell r="I366" t="str">
            <v>GRAMEDIA ASRI MEDIA</v>
          </cell>
        </row>
        <row r="367">
          <cell r="H367" t="str">
            <v>RE-Bengkulu Meranti</v>
          </cell>
          <cell r="I367" t="str">
            <v>GRAMEDIA ASRI MEDIA</v>
          </cell>
        </row>
        <row r="368">
          <cell r="H368" t="str">
            <v>RE-Bengkulu Meranti</v>
          </cell>
          <cell r="I368" t="str">
            <v>GRAMEDIA ASRI MEDIA</v>
          </cell>
        </row>
        <row r="369">
          <cell r="H369" t="str">
            <v>RE-GR Balikpapan MT Haryono</v>
          </cell>
          <cell r="I369" t="str">
            <v>GRAMEDIA ASRI MEDIA</v>
          </cell>
        </row>
        <row r="370">
          <cell r="H370" t="str">
            <v>RE-GR Balikpapan MT Haryono</v>
          </cell>
          <cell r="I370" t="str">
            <v>GRAMEDIA ASRI MEDIA</v>
          </cell>
        </row>
        <row r="371">
          <cell r="H371" t="str">
            <v>RE-GR Balikpapan MT Haryono</v>
          </cell>
          <cell r="I371" t="str">
            <v>GRAMEDIA ASRI MEDIA</v>
          </cell>
        </row>
        <row r="372">
          <cell r="H372" t="str">
            <v>RE-Jambi</v>
          </cell>
          <cell r="I372" t="str">
            <v>GRAMEDIA ASRI MEDIA</v>
          </cell>
        </row>
        <row r="373">
          <cell r="H373" t="str">
            <v>RE-Jkt Pondok Indah</v>
          </cell>
          <cell r="I373" t="str">
            <v>GRAMEDIA ASRI MEDIA</v>
          </cell>
        </row>
        <row r="374">
          <cell r="H374" t="str">
            <v>RE-Jkt Pondok Indah</v>
          </cell>
          <cell r="I374" t="str">
            <v>GRAMEDIA ASRI MEDIA</v>
          </cell>
        </row>
        <row r="375">
          <cell r="H375" t="str">
            <v>RE-Palembang Atmo</v>
          </cell>
          <cell r="I375" t="str">
            <v>GRAMEDIA ASRI MEDIA</v>
          </cell>
        </row>
        <row r="376">
          <cell r="H376" t="str">
            <v>RE-Palembang Atmo</v>
          </cell>
          <cell r="I376" t="str">
            <v>GRAMEDIA ASRI MEDIA</v>
          </cell>
        </row>
        <row r="377">
          <cell r="H377" t="str">
            <v>RE-Palembang Burlian</v>
          </cell>
          <cell r="I377" t="str">
            <v>GRAMEDIA ASRI MEDIA</v>
          </cell>
        </row>
        <row r="378">
          <cell r="H378" t="str">
            <v>RE-Palembang Burlian</v>
          </cell>
          <cell r="I378" t="str">
            <v>GRAMEDIA ASRI MEDIA</v>
          </cell>
        </row>
        <row r="379">
          <cell r="H379" t="str">
            <v>RE-Palembang Burlian</v>
          </cell>
          <cell r="I379" t="str">
            <v>GRAMEDIA ASRI MEDIA</v>
          </cell>
        </row>
        <row r="380">
          <cell r="H380" t="str">
            <v>RE-Palembang Burlian</v>
          </cell>
          <cell r="I380" t="str">
            <v>GRAMEDIA ASRI MEDIA</v>
          </cell>
        </row>
        <row r="381">
          <cell r="H381" t="str">
            <v>RE-Palembang Burlian</v>
          </cell>
          <cell r="I381" t="str">
            <v>GRAMEDIA ASRI MEDIA</v>
          </cell>
        </row>
        <row r="382">
          <cell r="H382" t="str">
            <v>RE-Palembang Burlian</v>
          </cell>
          <cell r="I382" t="str">
            <v>GRAMEDIA ASRI MEDIA</v>
          </cell>
        </row>
        <row r="383">
          <cell r="H383" t="str">
            <v>RE-Pontianak</v>
          </cell>
          <cell r="I383" t="str">
            <v>GRAMEDIA ASRI MEDIA</v>
          </cell>
        </row>
        <row r="384">
          <cell r="H384" t="str">
            <v>RE-Samarinda Lembuswana</v>
          </cell>
          <cell r="I384" t="str">
            <v>GRAMEDIA ASRI MEDIA</v>
          </cell>
        </row>
        <row r="385">
          <cell r="H385" t="str">
            <v>RE-Samarinda Lembuswana</v>
          </cell>
          <cell r="I385" t="str">
            <v>GRAMEDIA ASRI MEDIA</v>
          </cell>
        </row>
        <row r="386">
          <cell r="H386" t="str">
            <v>RE-Tangerang CBD Emerald Bintaro</v>
          </cell>
          <cell r="I386" t="str">
            <v>GRAMEDIA ASRI MEDIA</v>
          </cell>
        </row>
        <row r="387">
          <cell r="H387" t="str">
            <v>RE-Palembang Burlian</v>
          </cell>
          <cell r="I387" t="str">
            <v>GRAMEDIA ASRI MEDIA</v>
          </cell>
        </row>
        <row r="388">
          <cell r="H388" t="str">
            <v>RE-Tangerang CBD Emerald Bintaro</v>
          </cell>
          <cell r="I388" t="str">
            <v>GRAMEDIA ASRI MEDIA</v>
          </cell>
        </row>
        <row r="389">
          <cell r="H389" t="str">
            <v>RE-Tangerang CBD Emerald Bintaro</v>
          </cell>
          <cell r="I389" t="str">
            <v>GRAMEDIA ASRI MEDIA</v>
          </cell>
        </row>
        <row r="390">
          <cell r="H390" t="str">
            <v>RE-Tarakan</v>
          </cell>
          <cell r="I390" t="str">
            <v>GRAMEDIA ASRI MEDIA</v>
          </cell>
        </row>
        <row r="391">
          <cell r="H391" t="str">
            <v>RE-WAM Bangka</v>
          </cell>
          <cell r="I391" t="str">
            <v>WIDIA ASRI MEDIA</v>
          </cell>
        </row>
        <row r="392">
          <cell r="H392" t="str">
            <v>RE-WAM Bangka</v>
          </cell>
          <cell r="I392" t="str">
            <v>WIDIA ASRI MEDIA</v>
          </cell>
        </row>
        <row r="393">
          <cell r="H393" t="str">
            <v>RE-WAM Bangka</v>
          </cell>
          <cell r="I393" t="str">
            <v>WIDIA ASRI MEDIA</v>
          </cell>
        </row>
        <row r="394">
          <cell r="H394" t="str">
            <v>RF-Banda Aceh</v>
          </cell>
          <cell r="I394" t="str">
            <v>GRAMEDIA ASRI MEDIA</v>
          </cell>
        </row>
        <row r="395">
          <cell r="H395" t="str">
            <v>RF-Banda Aceh</v>
          </cell>
          <cell r="I395" t="str">
            <v>GRAMEDIA ASRI MEDIA</v>
          </cell>
        </row>
        <row r="396">
          <cell r="H396" t="str">
            <v>RF-Banda Aceh</v>
          </cell>
          <cell r="I396" t="str">
            <v>GRAMEDIA ASRI MEDIA</v>
          </cell>
        </row>
        <row r="397">
          <cell r="H397" t="str">
            <v>RF-Banda Aceh</v>
          </cell>
          <cell r="I397" t="str">
            <v>GRAMEDIA ASRI MEDIA</v>
          </cell>
        </row>
        <row r="398">
          <cell r="H398" t="str">
            <v>RF-Banda Aceh</v>
          </cell>
          <cell r="I398" t="str">
            <v>GRAMEDIA ASRI MEDIA</v>
          </cell>
        </row>
        <row r="399">
          <cell r="H399" t="str">
            <v>RF-Bdng Merdeka</v>
          </cell>
          <cell r="I399" t="str">
            <v>GRAMEDIA ASRI MEDIA</v>
          </cell>
        </row>
        <row r="400">
          <cell r="H400" t="str">
            <v>RF-Bdng Merdeka</v>
          </cell>
          <cell r="I400" t="str">
            <v>GRAMEDIA ASRI MEDIA</v>
          </cell>
        </row>
        <row r="401">
          <cell r="H401" t="str">
            <v>RF-Bdng Merdeka</v>
          </cell>
          <cell r="I401" t="str">
            <v>GRAMEDIA ASRI MEDIA</v>
          </cell>
        </row>
        <row r="402">
          <cell r="H402" t="str">
            <v>RF-Bekasi Harapan Indah</v>
          </cell>
          <cell r="I402" t="str">
            <v>GRAMEDIA ASRI MEDIA</v>
          </cell>
        </row>
        <row r="403">
          <cell r="H403" t="str">
            <v>RF-Bekasi Harapan Indah</v>
          </cell>
          <cell r="I403" t="str">
            <v>GRAMEDIA ASRI MEDIA</v>
          </cell>
        </row>
        <row r="404">
          <cell r="H404" t="str">
            <v>RF-Bekasi Harapan Indah</v>
          </cell>
          <cell r="I404" t="str">
            <v>GRAMEDIA ASRI MEDIA</v>
          </cell>
        </row>
        <row r="405">
          <cell r="H405" t="str">
            <v>RF-Bekasi Harapan Indah</v>
          </cell>
          <cell r="I405" t="str">
            <v>GRAMEDIA ASRI MEDIA</v>
          </cell>
        </row>
        <row r="406">
          <cell r="H406" t="str">
            <v>RF-Bekasi Harapan Indah</v>
          </cell>
          <cell r="I406" t="str">
            <v>GRAMEDIA ASRI MEDIA</v>
          </cell>
        </row>
        <row r="407">
          <cell r="H407" t="str">
            <v>RF-Bekasi Harapan Indah</v>
          </cell>
          <cell r="I407" t="str">
            <v>GRAMEDIA ASRI MEDIA</v>
          </cell>
        </row>
        <row r="408">
          <cell r="H408" t="str">
            <v>RF-Karawang Galuh</v>
          </cell>
          <cell r="I408" t="str">
            <v>GRAMEDIA ASRI MEDIA</v>
          </cell>
        </row>
        <row r="409">
          <cell r="H409" t="str">
            <v>RF-Karawang Galuh</v>
          </cell>
          <cell r="I409" t="str">
            <v>GRAMEDIA ASRI MEDIA</v>
          </cell>
        </row>
        <row r="410">
          <cell r="H410" t="str">
            <v>RF-Karawang Galuh</v>
          </cell>
          <cell r="I410" t="str">
            <v>GRAMEDIA ASRI MEDIA</v>
          </cell>
        </row>
        <row r="411">
          <cell r="H411" t="str">
            <v>RF-Karawang Galuh</v>
          </cell>
          <cell r="I411" t="str">
            <v>GRAMEDIA ASRI MEDIA</v>
          </cell>
        </row>
        <row r="412">
          <cell r="H412" t="str">
            <v>RF-Karawang Galuh</v>
          </cell>
          <cell r="I412" t="str">
            <v>GRAMEDIA ASRI MEDIA</v>
          </cell>
        </row>
        <row r="413">
          <cell r="H413" t="str">
            <v>RF-Bekasi Harapan Indah</v>
          </cell>
          <cell r="I413" t="str">
            <v>GRAMEDIA ASRI MEDIA</v>
          </cell>
        </row>
        <row r="414">
          <cell r="H414" t="str">
            <v>RF-Karawang Galuh</v>
          </cell>
          <cell r="I414" t="str">
            <v>GRAMEDIA ASRI MEDIA</v>
          </cell>
        </row>
        <row r="415">
          <cell r="H415" t="str">
            <v>RF-Medan Gama</v>
          </cell>
          <cell r="I415" t="str">
            <v>GRAMEDIA ASRI MEDIA</v>
          </cell>
        </row>
        <row r="416">
          <cell r="H416" t="str">
            <v>RF-Medan Gama</v>
          </cell>
          <cell r="I416" t="str">
            <v>GRAMEDIA ASRI MEDIA</v>
          </cell>
        </row>
        <row r="417">
          <cell r="H417" t="str">
            <v>RF-Medan Gama</v>
          </cell>
          <cell r="I417" t="str">
            <v>GRAMEDIA ASRI MEDIA</v>
          </cell>
        </row>
        <row r="418">
          <cell r="H418" t="str">
            <v>RF-Karawang Galuh</v>
          </cell>
          <cell r="I418" t="str">
            <v>GRAMEDIA ASRI MEDIA</v>
          </cell>
        </row>
        <row r="419">
          <cell r="H419" t="str">
            <v>RF-Karawang Galuh</v>
          </cell>
          <cell r="I419" t="str">
            <v>GRAMEDIA ASRI MEDIA</v>
          </cell>
        </row>
        <row r="420">
          <cell r="H420" t="str">
            <v>RF-Medan Gama</v>
          </cell>
          <cell r="I420" t="str">
            <v>GRAMEDIA ASRI MEDIA</v>
          </cell>
        </row>
        <row r="421">
          <cell r="H421" t="str">
            <v>RF-Medan Gama</v>
          </cell>
          <cell r="I421" t="str">
            <v>GRAMEDIA ASRI MEDIA</v>
          </cell>
        </row>
        <row r="422">
          <cell r="H422" t="str">
            <v>RG-Bali Galeria</v>
          </cell>
          <cell r="I422" t="str">
            <v>GRAMEDIA ASRI MEDIA</v>
          </cell>
        </row>
        <row r="423">
          <cell r="H423" t="str">
            <v>RG-Jember Trunojoyo</v>
          </cell>
          <cell r="I423" t="str">
            <v>GRAMEDIA ASRI MEDIA</v>
          </cell>
        </row>
        <row r="424">
          <cell r="H424" t="str">
            <v>RG-Jember Trunojoyo</v>
          </cell>
          <cell r="I424" t="str">
            <v>GRAMEDIA ASRI MEDIA</v>
          </cell>
        </row>
        <row r="425">
          <cell r="H425" t="str">
            <v>RG-Jember Trunojoyo</v>
          </cell>
          <cell r="I425" t="str">
            <v>GRAMEDIA ASRI MEDIA</v>
          </cell>
        </row>
        <row r="426">
          <cell r="H426" t="str">
            <v>RG-Kediri UFO Plaza</v>
          </cell>
          <cell r="I426" t="str">
            <v>GRAMEDIA ASRI MEDIA</v>
          </cell>
        </row>
        <row r="427">
          <cell r="H427" t="str">
            <v>RG-Malang Basra</v>
          </cell>
          <cell r="I427" t="str">
            <v>GRAMEDIA ASRI MEDIA</v>
          </cell>
        </row>
        <row r="428">
          <cell r="H428" t="str">
            <v>RG-Jember Trunojoyo</v>
          </cell>
          <cell r="I428" t="str">
            <v>GRAMEDIA ASRI MEDIA</v>
          </cell>
        </row>
        <row r="429">
          <cell r="H429" t="str">
            <v>RG-Malang Basra</v>
          </cell>
          <cell r="I429" t="str">
            <v>GRAMEDIA ASRI MEDIA</v>
          </cell>
        </row>
        <row r="430">
          <cell r="H430" t="str">
            <v>RG-Malang Basra</v>
          </cell>
          <cell r="I430" t="str">
            <v>GRAMEDIA ASRI MEDIA</v>
          </cell>
        </row>
        <row r="431">
          <cell r="H431" t="str">
            <v>RG-Malang Basra</v>
          </cell>
          <cell r="I431" t="str">
            <v>GRAMEDIA ASRI MEDIA</v>
          </cell>
        </row>
        <row r="432">
          <cell r="H432" t="str">
            <v>RG-Malang Olympic Garden</v>
          </cell>
          <cell r="I432" t="str">
            <v>GRAMEDIA ASRI MEDIA</v>
          </cell>
        </row>
        <row r="433">
          <cell r="H433" t="str">
            <v>RG-Sby Expo</v>
          </cell>
          <cell r="I433" t="str">
            <v>GRAMEDIA ASRI MEDIA</v>
          </cell>
        </row>
        <row r="434">
          <cell r="H434" t="str">
            <v>RG-Sby Expo</v>
          </cell>
          <cell r="I434" t="str">
            <v>GRAMEDIA ASRI MEDIA</v>
          </cell>
        </row>
        <row r="435">
          <cell r="H435" t="str">
            <v>RG-Sby Manyar</v>
          </cell>
          <cell r="I435" t="str">
            <v>GRAMEDIA ASRI MEDIA</v>
          </cell>
        </row>
        <row r="436">
          <cell r="H436" t="str">
            <v>RG-Sby Manyar</v>
          </cell>
          <cell r="I436" t="str">
            <v>GRAMEDIA ASRI MEDIA</v>
          </cell>
        </row>
        <row r="437">
          <cell r="H437" t="str">
            <v>RG-Sby Manyar</v>
          </cell>
          <cell r="I437" t="str">
            <v>GRAMEDIA ASRI MEDIA</v>
          </cell>
        </row>
        <row r="438">
          <cell r="H438" t="str">
            <v>RG-Sby Manyar</v>
          </cell>
          <cell r="I438" t="str">
            <v>GRAMEDIA ASRI MEDIA</v>
          </cell>
        </row>
        <row r="439">
          <cell r="H439" t="str">
            <v>RG-Sby Royal Plz</v>
          </cell>
          <cell r="I439" t="str">
            <v>GRAMEDIA ASRI MEDIA</v>
          </cell>
        </row>
        <row r="440">
          <cell r="H440" t="str">
            <v>RG-Sby Tunjungan Plz</v>
          </cell>
          <cell r="I440" t="str">
            <v>GRAMEDIA ASRI MEDIA</v>
          </cell>
        </row>
        <row r="441">
          <cell r="H441" t="str">
            <v>RG-Sidoarjo Ruko Pahlawan</v>
          </cell>
          <cell r="I441" t="str">
            <v>GRAMEDIA ASRI MEDIA</v>
          </cell>
        </row>
        <row r="442">
          <cell r="H442" t="str">
            <v>RG-Surabaya Pakuwon Mall</v>
          </cell>
          <cell r="I442" t="str">
            <v>GRAMEDIA ASRI MEDIA</v>
          </cell>
        </row>
        <row r="443">
          <cell r="H443" t="str">
            <v>GPU</v>
          </cell>
          <cell r="I443" t="str">
            <v>GRAMEDIA PUSTAKA UTAMA</v>
          </cell>
        </row>
        <row r="444">
          <cell r="H444" t="str">
            <v>GPU</v>
          </cell>
          <cell r="I444" t="str">
            <v>GRAMEDIA PUSTAKA UTAMA</v>
          </cell>
        </row>
        <row r="445">
          <cell r="H445" t="str">
            <v>GPU</v>
          </cell>
          <cell r="I445" t="str">
            <v>GRAMEDIA PUSTAKA UTAMA</v>
          </cell>
        </row>
        <row r="446">
          <cell r="H446" t="str">
            <v>GPU</v>
          </cell>
          <cell r="I446" t="str">
            <v>GRAMEDIA PUSTAKA UTAMA</v>
          </cell>
        </row>
        <row r="447">
          <cell r="H447" t="str">
            <v>GPU</v>
          </cell>
          <cell r="I447" t="str">
            <v>GRAMEDIA PUSTAKA UTAMA</v>
          </cell>
        </row>
        <row r="448">
          <cell r="H448" t="str">
            <v>GPU - BIP Editorial &amp; Production Dept</v>
          </cell>
          <cell r="I448" t="str">
            <v>GRAMEDIA PUSTAKA UTAMA</v>
          </cell>
        </row>
        <row r="449">
          <cell r="H449" t="str">
            <v>RC-Cirebon Cipto</v>
          </cell>
          <cell r="I449" t="str">
            <v>GRAMEDIA ASRI MEDIA</v>
          </cell>
        </row>
        <row r="450">
          <cell r="H450" t="str">
            <v>Procurement &amp; Distribution (Cakung)</v>
          </cell>
          <cell r="I450" t="str">
            <v>GRAMEDIA ASRI MEDIA</v>
          </cell>
        </row>
        <row r="451">
          <cell r="H451" t="str">
            <v>GPU - M&amp;C-Editorial&amp;Prod</v>
          </cell>
          <cell r="I451" t="str">
            <v>GRAMEDIA PUSTAKA UTAMA</v>
          </cell>
        </row>
        <row r="452">
          <cell r="H452" t="str">
            <v>Acc Budgeting Tax</v>
          </cell>
          <cell r="I452" t="str">
            <v>GRAMEDIA ASRI MEDIA</v>
          </cell>
        </row>
        <row r="453">
          <cell r="H453" t="str">
            <v>RC-Cirebon Cipto</v>
          </cell>
          <cell r="I453" t="str">
            <v>GRAMEDIA ASRI MEDIA</v>
          </cell>
        </row>
        <row r="454">
          <cell r="H454" t="str">
            <v>RE-Jambi</v>
          </cell>
          <cell r="I454" t="str">
            <v>GRAMEDIA ASRI MEDIA</v>
          </cell>
        </row>
        <row r="455">
          <cell r="H455" t="str">
            <v>RF-Banda Aceh</v>
          </cell>
          <cell r="I455" t="str">
            <v>GRAMEDIA ASRI MEDIA</v>
          </cell>
        </row>
        <row r="456">
          <cell r="H456" t="str">
            <v>GLKU</v>
          </cell>
          <cell r="I456" t="str">
            <v>GLOBAL LINTAS KARYA UTAMA</v>
          </cell>
        </row>
        <row r="457">
          <cell r="H457" t="str">
            <v>Acc Budgeting Tax</v>
          </cell>
          <cell r="I457" t="str">
            <v>GRAMEDIA ASRI MEDIA</v>
          </cell>
        </row>
        <row r="458">
          <cell r="H458" t="str">
            <v>GLKU</v>
          </cell>
          <cell r="I458" t="str">
            <v>GLOBAL LINTAS KARYA UTAMA</v>
          </cell>
        </row>
        <row r="459">
          <cell r="H459" t="str">
            <v>GLKU</v>
          </cell>
          <cell r="I459" t="str">
            <v>GLOBAL LINTAS KARYA UTAMA</v>
          </cell>
        </row>
        <row r="460">
          <cell r="H460" t="str">
            <v>Accounts Receivable</v>
          </cell>
          <cell r="I460" t="str">
            <v>GRAMEDIA ASRI MEDIA</v>
          </cell>
        </row>
        <row r="461">
          <cell r="H461" t="str">
            <v>RE-Jkt Melawai</v>
          </cell>
          <cell r="I461" t="str">
            <v>GRAMEDIA ASRI MEDIA</v>
          </cell>
        </row>
        <row r="462">
          <cell r="H462" t="str">
            <v>RE-Tarakan</v>
          </cell>
          <cell r="I462" t="str">
            <v>GRAMEDIA ASRI MEDIA</v>
          </cell>
        </row>
        <row r="463">
          <cell r="H463" t="str">
            <v>Books Merchandising 1</v>
          </cell>
          <cell r="I463" t="str">
            <v>GRAMEDIA ASRI MEDIA</v>
          </cell>
        </row>
        <row r="464">
          <cell r="H464" t="str">
            <v>RE-GR Balikpapan MT Haryono</v>
          </cell>
          <cell r="I464" t="str">
            <v>GRAMEDIA ASRI MEDIA</v>
          </cell>
        </row>
        <row r="465">
          <cell r="H465" t="str">
            <v>RE-Jkt Melawai</v>
          </cell>
          <cell r="I465" t="str">
            <v>GRAMEDIA ASRI MEDIA</v>
          </cell>
        </row>
        <row r="466">
          <cell r="H466" t="str">
            <v>RE-Jkt Melawai</v>
          </cell>
          <cell r="I466" t="str">
            <v>GRAMEDIA ASRI MEDIA</v>
          </cell>
        </row>
        <row r="467">
          <cell r="H467" t="str">
            <v>RE-Jkt Melawai</v>
          </cell>
          <cell r="I467" t="str">
            <v>GRAMEDIA ASRI MEDIA</v>
          </cell>
        </row>
        <row r="468">
          <cell r="H468" t="str">
            <v>RA-Depok</v>
          </cell>
          <cell r="I468" t="str">
            <v>GRAMEDIA ASRI MEDIA</v>
          </cell>
        </row>
        <row r="469">
          <cell r="H469" t="str">
            <v>RG-Bali Teuku Umar</v>
          </cell>
          <cell r="I469" t="str">
            <v>GRAMEDIA ASRI MEDIA</v>
          </cell>
        </row>
        <row r="470">
          <cell r="H470" t="str">
            <v>RB-Jkt Matraman</v>
          </cell>
          <cell r="I470" t="str">
            <v>GRAMEDIA ASRI MEDIA</v>
          </cell>
        </row>
        <row r="471">
          <cell r="H471" t="str">
            <v>RC-Semarang Pandanaran</v>
          </cell>
          <cell r="I471" t="str">
            <v>GRAMEDIA ASRI MEDIA</v>
          </cell>
        </row>
        <row r="472">
          <cell r="H472" t="str">
            <v>RC-Semarang Pandanaran</v>
          </cell>
          <cell r="I472" t="str">
            <v>GRAMEDIA ASRI MEDIA</v>
          </cell>
        </row>
        <row r="473">
          <cell r="H473" t="str">
            <v>GLKU</v>
          </cell>
          <cell r="I473" t="str">
            <v>GLOBAL LINTAS KARYA UTAMA</v>
          </cell>
        </row>
        <row r="474">
          <cell r="H474" t="str">
            <v>RE-GR Balikpapan MT Haryono</v>
          </cell>
          <cell r="I474" t="str">
            <v>GRAMEDIA ASRI MEDIA</v>
          </cell>
        </row>
        <row r="475">
          <cell r="H475" t="str">
            <v>GLKU</v>
          </cell>
          <cell r="I475" t="str">
            <v>GLOBAL LINTAS KARYA UTAMA</v>
          </cell>
        </row>
        <row r="476">
          <cell r="H476" t="str">
            <v>GLKU</v>
          </cell>
          <cell r="I476" t="str">
            <v>GLOBAL LINTAS KARYA UTAMA</v>
          </cell>
        </row>
        <row r="477">
          <cell r="H477" t="str">
            <v>RE-Palembang Atmo</v>
          </cell>
          <cell r="I477" t="str">
            <v>GRAMEDIA ASRI MEDIA</v>
          </cell>
        </row>
        <row r="478">
          <cell r="H478" t="str">
            <v>RE-Balikpapan Plaza</v>
          </cell>
          <cell r="I478" t="str">
            <v>GRAMEDIA ASRI MEDIA</v>
          </cell>
        </row>
        <row r="479">
          <cell r="H479" t="str">
            <v>RE-Samarinda Lembuswana</v>
          </cell>
          <cell r="I479" t="str">
            <v>GRAMEDIA ASRI MEDIA</v>
          </cell>
        </row>
        <row r="480">
          <cell r="H480" t="str">
            <v>Building Maintenance</v>
          </cell>
          <cell r="I480" t="str">
            <v>GRAMEDIA ASRI MEDIA</v>
          </cell>
        </row>
        <row r="481">
          <cell r="H481" t="str">
            <v>Building Maintenance</v>
          </cell>
          <cell r="I481" t="str">
            <v>GRAMEDIA ASRI MEDIA</v>
          </cell>
        </row>
        <row r="482">
          <cell r="H482" t="str">
            <v>RD-Padang Damar</v>
          </cell>
          <cell r="I482" t="str">
            <v>GRAMEDIA ASRI MEDIA</v>
          </cell>
        </row>
        <row r="483">
          <cell r="H483" t="str">
            <v>RG-Sby Manyar</v>
          </cell>
          <cell r="I483" t="str">
            <v>GRAMEDIA ASRI MEDIA</v>
          </cell>
        </row>
        <row r="484">
          <cell r="H484" t="str">
            <v>RD-Tangerang BSD City Mall</v>
          </cell>
          <cell r="I484" t="str">
            <v>GRAMEDIA ASRI MEDIA</v>
          </cell>
        </row>
        <row r="485">
          <cell r="H485" t="str">
            <v>Building Maintenance</v>
          </cell>
          <cell r="I485" t="str">
            <v>GRAMEDIA ASRI MEDIA</v>
          </cell>
        </row>
        <row r="486">
          <cell r="H486" t="str">
            <v>RE-Jambi</v>
          </cell>
          <cell r="I486" t="str">
            <v>GRAMEDIA ASRI MEDIA</v>
          </cell>
        </row>
        <row r="487">
          <cell r="H487" t="str">
            <v>Building Maintenance</v>
          </cell>
          <cell r="I487" t="str">
            <v>GRAMEDIA ASRI MEDIA</v>
          </cell>
        </row>
        <row r="488">
          <cell r="H488" t="str">
            <v>Building Maintenance</v>
          </cell>
          <cell r="I488" t="str">
            <v>GRAMEDIA ASRI MEDIA</v>
          </cell>
        </row>
        <row r="489">
          <cell r="H489" t="str">
            <v>Building Maintenance</v>
          </cell>
          <cell r="I489" t="str">
            <v>GRAMEDIA ASRI MEDIA</v>
          </cell>
        </row>
        <row r="490">
          <cell r="H490" t="str">
            <v>ELTI Yogyakarta</v>
          </cell>
          <cell r="I490" t="str">
            <v>ELTI</v>
          </cell>
        </row>
        <row r="491">
          <cell r="H491" t="str">
            <v>Building Maintenance</v>
          </cell>
          <cell r="I491" t="str">
            <v>GRAMEDIA ASRI MEDIA</v>
          </cell>
        </row>
        <row r="492">
          <cell r="H492" t="str">
            <v>ELTI Purwokerto</v>
          </cell>
          <cell r="I492" t="str">
            <v>ELTI</v>
          </cell>
        </row>
        <row r="493">
          <cell r="H493" t="str">
            <v>RE-Jkt Melawai</v>
          </cell>
          <cell r="I493" t="str">
            <v>GRAMEDIA ASRI MEDIA</v>
          </cell>
        </row>
        <row r="494">
          <cell r="H494" t="str">
            <v>RC-Solo Slamet Riyadi</v>
          </cell>
          <cell r="I494" t="str">
            <v>GRAMEDIA ASRI MEDIA</v>
          </cell>
        </row>
        <row r="495">
          <cell r="H495" t="str">
            <v>RC-Semarang Pandanaran</v>
          </cell>
          <cell r="I495" t="str">
            <v>GRAMEDIA ASRI MEDIA</v>
          </cell>
        </row>
        <row r="496">
          <cell r="H496" t="str">
            <v>RC-Solo Slamet Riyadi</v>
          </cell>
          <cell r="I496" t="str">
            <v>GRAMEDIA ASRI MEDIA</v>
          </cell>
        </row>
        <row r="497">
          <cell r="H497" t="str">
            <v>RE-Jambi</v>
          </cell>
          <cell r="I497" t="str">
            <v>GRAMEDIA ASRI MEDIA</v>
          </cell>
        </row>
        <row r="498">
          <cell r="H498" t="str">
            <v>RE-Jambi</v>
          </cell>
          <cell r="I498" t="str">
            <v>GRAMEDIA ASRI MEDIA</v>
          </cell>
        </row>
        <row r="499">
          <cell r="H499" t="str">
            <v>RG-Manado Samratulangi</v>
          </cell>
          <cell r="I499" t="str">
            <v>GRAMEDIA ASRI MEDIA</v>
          </cell>
        </row>
        <row r="500">
          <cell r="H500" t="str">
            <v>RF-Banda Aceh</v>
          </cell>
          <cell r="I500" t="str">
            <v>GRAMEDIA ASRI MEDIA</v>
          </cell>
        </row>
        <row r="501">
          <cell r="H501" t="str">
            <v>RG-Manado Samratulangi</v>
          </cell>
          <cell r="I501" t="str">
            <v>GRAMEDIA ASRI MEDIA</v>
          </cell>
        </row>
        <row r="502">
          <cell r="H502" t="str">
            <v>RC-Yogya Sudirman</v>
          </cell>
          <cell r="I502" t="str">
            <v>GRAMEDIA ASRI MEDIA</v>
          </cell>
        </row>
        <row r="503">
          <cell r="H503" t="str">
            <v>RC-Yogya Sudirman</v>
          </cell>
          <cell r="I503" t="str">
            <v>GRAMEDIA ASRI MEDIA</v>
          </cell>
        </row>
        <row r="504">
          <cell r="H504" t="str">
            <v>RA-Mataram Pejanggik</v>
          </cell>
          <cell r="I504" t="str">
            <v>GRAMEDIA ASRI MEDIA</v>
          </cell>
        </row>
        <row r="505">
          <cell r="H505" t="str">
            <v>RB-Jkt Matraman</v>
          </cell>
          <cell r="I505" t="str">
            <v>GRAMEDIA ASRI MEDIA</v>
          </cell>
        </row>
        <row r="506">
          <cell r="H506" t="str">
            <v>RF-Medan Gama</v>
          </cell>
          <cell r="I506" t="str">
            <v>GRAMEDIA ASRI MEDIA</v>
          </cell>
        </row>
        <row r="507">
          <cell r="H507" t="str">
            <v>RB-Jkt Central Park Mall</v>
          </cell>
          <cell r="I507" t="str">
            <v>GRAMEDIA ASRI MEDIA</v>
          </cell>
        </row>
        <row r="508">
          <cell r="H508" t="str">
            <v>Procurement &amp; Distribution (Cakung)</v>
          </cell>
          <cell r="I508" t="str">
            <v>GRAMEDIA ASRI MEDIA</v>
          </cell>
        </row>
        <row r="509">
          <cell r="H509" t="str">
            <v>RB-Jkt Matraman</v>
          </cell>
          <cell r="I509" t="str">
            <v>GRAMEDIA ASRI MEDIA</v>
          </cell>
        </row>
        <row r="510">
          <cell r="H510" t="str">
            <v>RE-Palembang Burlian</v>
          </cell>
          <cell r="I510" t="str">
            <v>GRAMEDIA ASRI MEDIA</v>
          </cell>
        </row>
        <row r="511">
          <cell r="H511" t="str">
            <v>RB-Jkt Matraman</v>
          </cell>
          <cell r="I511" t="str">
            <v>GRAMEDIA ASRI MEDIA</v>
          </cell>
        </row>
        <row r="512">
          <cell r="H512" t="str">
            <v>GWS Surabaya</v>
          </cell>
          <cell r="I512" t="str">
            <v>GRAMEDIA ASRI MEDIA</v>
          </cell>
        </row>
        <row r="513">
          <cell r="H513" t="str">
            <v>RD-Padang Damar</v>
          </cell>
          <cell r="I513" t="str">
            <v>GRAMEDIA ASRI MEDIA</v>
          </cell>
        </row>
        <row r="514">
          <cell r="H514" t="str">
            <v>GWS Surabaya</v>
          </cell>
          <cell r="I514" t="str">
            <v>GRAMEDIA ASRI MEDIA</v>
          </cell>
        </row>
        <row r="515">
          <cell r="H515" t="str">
            <v>GWS Surabaya</v>
          </cell>
          <cell r="I515" t="str">
            <v>GRAMEDIA ASRI MEDIA</v>
          </cell>
        </row>
        <row r="516">
          <cell r="H516" t="str">
            <v>UA WholeSale</v>
          </cell>
          <cell r="I516" t="str">
            <v>GRAMEDIA ASRI MEDIA</v>
          </cell>
        </row>
        <row r="517">
          <cell r="H517" t="str">
            <v>GWS Surabaya</v>
          </cell>
          <cell r="I517" t="str">
            <v>GRAMEDIA ASRI MEDIA</v>
          </cell>
        </row>
        <row r="518">
          <cell r="H518" t="str">
            <v>Procurement &amp; Distribution (Cakung)</v>
          </cell>
          <cell r="I518" t="str">
            <v>GRAMEDIA ASRI MEDIA</v>
          </cell>
        </row>
        <row r="519">
          <cell r="H519" t="str">
            <v>GWS BANDUNG</v>
          </cell>
          <cell r="I519" t="str">
            <v>GRAMEDIA ASRI MEDIA</v>
          </cell>
        </row>
        <row r="520">
          <cell r="H520" t="str">
            <v>Procurement &amp; Distribution (Cakung)</v>
          </cell>
          <cell r="I520" t="str">
            <v>GRAMEDIA ASRI MEDIA</v>
          </cell>
        </row>
        <row r="521">
          <cell r="H521" t="str">
            <v>Procurement &amp; Distribution (Cakung)</v>
          </cell>
          <cell r="I521" t="str">
            <v>GRAMEDIA ASRI MEDIA</v>
          </cell>
        </row>
        <row r="522">
          <cell r="H522" t="str">
            <v>Procurement &amp; Distribution (Cakung)</v>
          </cell>
          <cell r="I522" t="str">
            <v>GRAMEDIA ASRI MEDIA</v>
          </cell>
        </row>
        <row r="523">
          <cell r="H523" t="str">
            <v>Procurement &amp; Distribution (Cakung)</v>
          </cell>
          <cell r="I523" t="str">
            <v>GRAMEDIA ASRI MEDIA</v>
          </cell>
        </row>
        <row r="524">
          <cell r="H524" t="str">
            <v>GWS BANDUNG</v>
          </cell>
          <cell r="I524" t="str">
            <v>GRAMEDIA ASRI MEDIA</v>
          </cell>
        </row>
        <row r="525">
          <cell r="H525" t="str">
            <v>Procurement &amp; Distribution (Cakung)</v>
          </cell>
          <cell r="I525" t="str">
            <v>GRAMEDIA ASRI MEDIA</v>
          </cell>
        </row>
        <row r="526">
          <cell r="H526" t="str">
            <v>Procurement &amp; Distribution (Cakung)</v>
          </cell>
          <cell r="I526" t="str">
            <v>GRAMEDIA ASRI MEDIA</v>
          </cell>
        </row>
        <row r="527">
          <cell r="H527" t="str">
            <v>Procurement &amp; Distribution (Cakung)</v>
          </cell>
          <cell r="I527" t="str">
            <v>GRAMEDIA ASRI MEDIA</v>
          </cell>
        </row>
        <row r="528">
          <cell r="H528" t="str">
            <v>Procurement &amp; Distribution (Cakung)</v>
          </cell>
          <cell r="I528" t="str">
            <v>GRAMEDIA ASRI MEDIA</v>
          </cell>
        </row>
        <row r="529">
          <cell r="H529" t="str">
            <v>Procurement &amp; Distribution (Cakung)</v>
          </cell>
          <cell r="I529" t="str">
            <v>GRAMEDIA ASRI MEDIA</v>
          </cell>
        </row>
        <row r="530">
          <cell r="H530" t="str">
            <v>Procurement &amp; Distribution (Cakung)</v>
          </cell>
          <cell r="I530" t="str">
            <v>GRAMEDIA ASRI MEDIA</v>
          </cell>
        </row>
        <row r="531">
          <cell r="H531" t="str">
            <v>Procurement &amp; Distribution (Cakung)</v>
          </cell>
          <cell r="I531" t="str">
            <v>GRAMEDIA ASRI MEDIA</v>
          </cell>
        </row>
        <row r="532">
          <cell r="H532" t="str">
            <v>Procurement &amp; Distribution (Cakung)</v>
          </cell>
          <cell r="I532" t="str">
            <v>GRAMEDIA ASRI MEDIA</v>
          </cell>
        </row>
        <row r="533">
          <cell r="H533" t="str">
            <v>Procurement &amp; Distribution (Cakung)</v>
          </cell>
          <cell r="I533" t="str">
            <v>GRAMEDIA ASRI MEDIA</v>
          </cell>
        </row>
        <row r="534">
          <cell r="H534" t="str">
            <v>Procurement &amp; Distribution (Cakung)</v>
          </cell>
          <cell r="I534" t="str">
            <v>GRAMEDIA ASRI MEDIA</v>
          </cell>
        </row>
        <row r="535">
          <cell r="H535" t="str">
            <v>Procurement &amp; Distribution (Cakung)</v>
          </cell>
          <cell r="I535" t="str">
            <v>GRAMEDIA ASRI MEDIA</v>
          </cell>
        </row>
        <row r="536">
          <cell r="H536" t="str">
            <v>Procurement &amp; Distribution (Cakung)</v>
          </cell>
          <cell r="I536" t="str">
            <v>GRAMEDIA ASRI MEDIA</v>
          </cell>
        </row>
        <row r="537">
          <cell r="H537" t="str">
            <v>Procurement &amp; Distribution (Cakung)</v>
          </cell>
          <cell r="I537" t="str">
            <v>GRAMEDIA ASRI MEDIA</v>
          </cell>
        </row>
        <row r="538">
          <cell r="H538" t="str">
            <v>Procurement &amp; Distribution (Cakung)</v>
          </cell>
          <cell r="I538" t="str">
            <v>GRAMEDIA ASRI MEDIA</v>
          </cell>
        </row>
        <row r="539">
          <cell r="H539" t="str">
            <v>Procurement &amp; Distribution (Cakung)</v>
          </cell>
          <cell r="I539" t="str">
            <v>GRAMEDIA ASRI MEDIA</v>
          </cell>
        </row>
        <row r="540">
          <cell r="H540" t="str">
            <v>Procurement &amp; Distribution (Cakung)</v>
          </cell>
          <cell r="I540" t="str">
            <v>GRAMEDIA ASRI MEDIA</v>
          </cell>
        </row>
        <row r="541">
          <cell r="H541" t="str">
            <v>Procurement &amp; Distribution (Cakung)</v>
          </cell>
          <cell r="I541" t="str">
            <v>GRAMEDIA ASRI MEDIA</v>
          </cell>
        </row>
        <row r="542">
          <cell r="H542" t="str">
            <v>Procurement &amp; Distribution (Cakung)</v>
          </cell>
          <cell r="I542" t="str">
            <v>GRAMEDIA ASRI MEDIA</v>
          </cell>
        </row>
        <row r="543">
          <cell r="H543" t="str">
            <v>Procurement &amp; Distribution (Cakung)</v>
          </cell>
          <cell r="I543" t="str">
            <v>GRAMEDIA ASRI MEDIA</v>
          </cell>
        </row>
        <row r="544">
          <cell r="H544" t="str">
            <v>Procurement &amp; Distribution (Cakung)</v>
          </cell>
          <cell r="I544" t="str">
            <v>GRAMEDIA ASRI MEDIA</v>
          </cell>
        </row>
        <row r="545">
          <cell r="H545" t="str">
            <v>Procurement &amp; Distribution (Cakung)</v>
          </cell>
          <cell r="I545" t="str">
            <v>GRAMEDIA ASRI MEDIA</v>
          </cell>
        </row>
        <row r="546">
          <cell r="H546" t="str">
            <v>Procurement &amp; Distribution (Cakung)</v>
          </cell>
          <cell r="I546" t="str">
            <v>GRAMEDIA ASRI MEDIA</v>
          </cell>
        </row>
        <row r="547">
          <cell r="H547" t="str">
            <v>Procurement &amp; Distribution (Cakung)</v>
          </cell>
          <cell r="I547" t="str">
            <v>GRAMEDIA ASRI MEDIA</v>
          </cell>
        </row>
        <row r="548">
          <cell r="H548" t="str">
            <v>Procurement &amp; Distribution (Cakung)</v>
          </cell>
          <cell r="I548" t="str">
            <v>GRAMEDIA ASRI MEDIA</v>
          </cell>
        </row>
        <row r="549">
          <cell r="H549" t="str">
            <v>Procurement &amp; Distribution (Cakung)</v>
          </cell>
          <cell r="I549" t="str">
            <v>GRAMEDIA ASRI MEDIA</v>
          </cell>
        </row>
        <row r="550">
          <cell r="H550" t="str">
            <v>Procurement &amp; Distribution (Cakung)</v>
          </cell>
          <cell r="I550" t="str">
            <v>GRAMEDIA ASRI MEDIA</v>
          </cell>
        </row>
        <row r="551">
          <cell r="H551" t="str">
            <v>Procurement &amp; Distribution (Cakung)</v>
          </cell>
          <cell r="I551" t="str">
            <v>GRAMEDIA ASRI MEDIA</v>
          </cell>
        </row>
        <row r="552">
          <cell r="H552" t="str">
            <v>Procurement &amp; Distribution (Cakung)</v>
          </cell>
          <cell r="I552" t="str">
            <v>GRAMEDIA ASRI MEDIA</v>
          </cell>
        </row>
        <row r="553">
          <cell r="H553" t="str">
            <v>Procurement &amp; Distribution (Cakung)</v>
          </cell>
          <cell r="I553" t="str">
            <v>GRAMEDIA ASRI MEDIA</v>
          </cell>
        </row>
        <row r="554">
          <cell r="H554" t="str">
            <v>Procurement &amp; Distribution (Cakung)</v>
          </cell>
          <cell r="I554" t="str">
            <v>GRAMEDIA ASRI MEDIA</v>
          </cell>
        </row>
        <row r="555">
          <cell r="H555" t="str">
            <v>Procurement &amp; Distribution (Cakung)</v>
          </cell>
          <cell r="I555" t="str">
            <v>GRAMEDIA ASRI MEDIA</v>
          </cell>
        </row>
        <row r="556">
          <cell r="H556" t="str">
            <v>Procurement &amp; Distribution (Cakung)</v>
          </cell>
          <cell r="I556" t="str">
            <v>GRAMEDIA ASRI MEDIA</v>
          </cell>
        </row>
        <row r="557">
          <cell r="H557" t="str">
            <v>Procurement &amp; Distribution (Cakung)</v>
          </cell>
          <cell r="I557" t="str">
            <v>GRAMEDIA ASRI MEDIA</v>
          </cell>
        </row>
        <row r="558">
          <cell r="H558" t="str">
            <v>Procurement &amp; Distribution (Cakung)</v>
          </cell>
          <cell r="I558" t="str">
            <v>GRAMEDIA ASRI MEDIA</v>
          </cell>
        </row>
        <row r="559">
          <cell r="H559" t="str">
            <v>Procurement &amp; Distribution (Cakung)</v>
          </cell>
          <cell r="I559" t="str">
            <v>GRAMEDIA ASRI MEDIA</v>
          </cell>
        </row>
        <row r="560">
          <cell r="H560" t="str">
            <v>Procurement &amp; Distribution (Cakung)</v>
          </cell>
          <cell r="I560" t="str">
            <v>GRAMEDIA ASRI MEDIA</v>
          </cell>
        </row>
        <row r="561">
          <cell r="H561" t="str">
            <v>Procurement &amp; Distribution (Cakung)</v>
          </cell>
          <cell r="I561" t="str">
            <v>GRAMEDIA ASRI MEDIA</v>
          </cell>
        </row>
        <row r="562">
          <cell r="H562" t="str">
            <v>Procurement &amp; Distribution (Cakung)</v>
          </cell>
          <cell r="I562" t="str">
            <v>GRAMEDIA ASRI MEDIA</v>
          </cell>
        </row>
        <row r="563">
          <cell r="H563" t="str">
            <v>Procurement &amp; Distribution (Cakung)</v>
          </cell>
          <cell r="I563" t="str">
            <v>GRAMEDIA ASRI MEDIA</v>
          </cell>
        </row>
        <row r="564">
          <cell r="H564" t="str">
            <v>Procurement &amp; Distribution (Cakung)</v>
          </cell>
          <cell r="I564" t="str">
            <v>GRAMEDIA ASRI MEDIA</v>
          </cell>
        </row>
        <row r="565">
          <cell r="H565" t="str">
            <v>Procurement &amp; Distribution (Cakung)</v>
          </cell>
          <cell r="I565" t="str">
            <v>GRAMEDIA ASRI MEDIA</v>
          </cell>
        </row>
        <row r="566">
          <cell r="H566" t="str">
            <v>Procurement &amp; Distribution (Cakung)</v>
          </cell>
          <cell r="I566" t="str">
            <v>GRAMEDIA ASRI MEDIA</v>
          </cell>
        </row>
        <row r="567">
          <cell r="H567" t="str">
            <v>Procurement &amp; Distribution (Cakung)</v>
          </cell>
          <cell r="I567" t="str">
            <v>GRAMEDIA ASRI MEDIA</v>
          </cell>
        </row>
        <row r="568">
          <cell r="H568" t="str">
            <v>Procurement &amp; Distribution (Cakung)</v>
          </cell>
          <cell r="I568" t="str">
            <v>GRAMEDIA ASRI MEDIA</v>
          </cell>
        </row>
        <row r="569">
          <cell r="H569" t="str">
            <v>Procurement &amp; Distribution (Cakung)</v>
          </cell>
          <cell r="I569" t="str">
            <v>GRAMEDIA ASRI MEDIA</v>
          </cell>
        </row>
        <row r="570">
          <cell r="H570" t="str">
            <v>Procurement &amp; Distribution (Cakung)</v>
          </cell>
          <cell r="I570" t="str">
            <v>GRAMEDIA ASRI MEDIA</v>
          </cell>
        </row>
        <row r="571">
          <cell r="H571" t="str">
            <v>Procurement &amp; Distribution (Cakung)</v>
          </cell>
          <cell r="I571" t="str">
            <v>GRAMEDIA ASRI MEDIA</v>
          </cell>
        </row>
        <row r="572">
          <cell r="H572" t="str">
            <v>Procurement &amp; Distribution (Cakung)</v>
          </cell>
          <cell r="I572" t="str">
            <v>GRAMEDIA ASRI MEDIA</v>
          </cell>
        </row>
        <row r="573">
          <cell r="H573" t="str">
            <v>Procurement &amp; Distribution (Cakung)</v>
          </cell>
          <cell r="I573" t="str">
            <v>GRAMEDIA ASRI MEDIA</v>
          </cell>
        </row>
        <row r="574">
          <cell r="H574" t="str">
            <v>GWS BANDUNG</v>
          </cell>
          <cell r="I574" t="str">
            <v>GRAMEDIA ASRI MEDIA</v>
          </cell>
        </row>
        <row r="575">
          <cell r="H575" t="str">
            <v>GWS BANDUNG</v>
          </cell>
          <cell r="I575" t="str">
            <v>GRAMEDIA ASRI MEDIA</v>
          </cell>
        </row>
        <row r="576">
          <cell r="H576" t="str">
            <v>GWS BANDUNG</v>
          </cell>
          <cell r="I576" t="str">
            <v>GRAMEDIA ASRI MEDIA</v>
          </cell>
        </row>
        <row r="577">
          <cell r="H577" t="str">
            <v>GWS BANDUNG</v>
          </cell>
          <cell r="I577" t="str">
            <v>GRAMEDIA ASRI MEDIA</v>
          </cell>
        </row>
        <row r="578">
          <cell r="H578" t="str">
            <v>GWS BANDUNG</v>
          </cell>
          <cell r="I578" t="str">
            <v>GRAMEDIA ASRI MEDIA</v>
          </cell>
        </row>
        <row r="579">
          <cell r="H579" t="str">
            <v>GWS BANDUNG</v>
          </cell>
          <cell r="I579" t="str">
            <v>GRAMEDIA ASRI MEDIA</v>
          </cell>
        </row>
        <row r="580">
          <cell r="H580" t="str">
            <v>GWS BANDUNG</v>
          </cell>
          <cell r="I580" t="str">
            <v>GRAMEDIA ASRI MEDIA</v>
          </cell>
        </row>
        <row r="581">
          <cell r="H581" t="str">
            <v>GWS BANDUNG</v>
          </cell>
          <cell r="I581" t="str">
            <v>GRAMEDIA ASRI MEDIA</v>
          </cell>
        </row>
        <row r="582">
          <cell r="H582" t="str">
            <v>GWS BANDUNG</v>
          </cell>
          <cell r="I582" t="str">
            <v>GRAMEDIA ASRI MEDIA</v>
          </cell>
        </row>
        <row r="583">
          <cell r="H583" t="str">
            <v>GWS BANDUNG</v>
          </cell>
          <cell r="I583" t="str">
            <v>GRAMEDIA ASRI MEDIA</v>
          </cell>
        </row>
        <row r="584">
          <cell r="H584" t="str">
            <v>GWS BANDUNG</v>
          </cell>
          <cell r="I584" t="str">
            <v>GRAMEDIA ASRI MEDIA</v>
          </cell>
        </row>
        <row r="585">
          <cell r="H585" t="str">
            <v>GWS BANDUNG</v>
          </cell>
          <cell r="I585" t="str">
            <v>GRAMEDIA ASRI MEDIA</v>
          </cell>
        </row>
        <row r="586">
          <cell r="H586" t="str">
            <v>GWS BANDUNG</v>
          </cell>
          <cell r="I586" t="str">
            <v>GRAMEDIA ASRI MEDIA</v>
          </cell>
        </row>
        <row r="587">
          <cell r="H587" t="str">
            <v>GWS BANDUNG</v>
          </cell>
          <cell r="I587" t="str">
            <v>GRAMEDIA ASRI MEDIA</v>
          </cell>
        </row>
        <row r="588">
          <cell r="H588" t="str">
            <v>GWS BANDUNG</v>
          </cell>
          <cell r="I588" t="str">
            <v>GRAMEDIA ASRI MEDIA</v>
          </cell>
        </row>
        <row r="589">
          <cell r="H589" t="str">
            <v>GWS BANDUNG</v>
          </cell>
          <cell r="I589" t="str">
            <v>GRAMEDIA ASRI MEDIA</v>
          </cell>
        </row>
        <row r="590">
          <cell r="H590" t="str">
            <v>GWS BANDUNG</v>
          </cell>
          <cell r="I590" t="str">
            <v>GRAMEDIA ASRI MEDIA</v>
          </cell>
        </row>
        <row r="591">
          <cell r="H591" t="str">
            <v>GWS BANDUNG</v>
          </cell>
          <cell r="I591" t="str">
            <v>GRAMEDIA ASRI MEDIA</v>
          </cell>
        </row>
        <row r="592">
          <cell r="H592" t="str">
            <v>GWS BANDUNG</v>
          </cell>
          <cell r="I592" t="str">
            <v>GRAMEDIA ASRI MEDIA</v>
          </cell>
        </row>
        <row r="593">
          <cell r="H593" t="str">
            <v>GWS BANDUNG</v>
          </cell>
          <cell r="I593" t="str">
            <v>GRAMEDIA ASRI MEDIA</v>
          </cell>
        </row>
        <row r="594">
          <cell r="H594" t="str">
            <v>GWS BANDUNG</v>
          </cell>
          <cell r="I594" t="str">
            <v>GRAMEDIA ASRI MEDIA</v>
          </cell>
        </row>
        <row r="595">
          <cell r="H595" t="str">
            <v>GWS BANDUNG</v>
          </cell>
          <cell r="I595" t="str">
            <v>GRAMEDIA ASRI MEDIA</v>
          </cell>
        </row>
        <row r="596">
          <cell r="H596" t="str">
            <v>GWS BANDUNG</v>
          </cell>
          <cell r="I596" t="str">
            <v>GRAMEDIA ASRI MEDIA</v>
          </cell>
        </row>
        <row r="597">
          <cell r="H597" t="str">
            <v>RF-Bekasi Harapan Indah</v>
          </cell>
          <cell r="I597" t="str">
            <v>GRAMEDIA ASRI MEDIA</v>
          </cell>
        </row>
        <row r="598">
          <cell r="H598" t="str">
            <v>GWS Surabaya</v>
          </cell>
          <cell r="I598" t="str">
            <v>GRAMEDIA ASRI MEDIA</v>
          </cell>
        </row>
        <row r="599">
          <cell r="H599" t="str">
            <v>GWS Surabaya</v>
          </cell>
          <cell r="I599" t="str">
            <v>GRAMEDIA ASRI MEDIA</v>
          </cell>
        </row>
        <row r="600">
          <cell r="H600" t="str">
            <v>GWS Surabaya</v>
          </cell>
          <cell r="I600" t="str">
            <v>GRAMEDIA ASRI MEDIA</v>
          </cell>
        </row>
        <row r="601">
          <cell r="H601" t="str">
            <v>GWS Surabaya</v>
          </cell>
          <cell r="I601" t="str">
            <v>GRAMEDIA ASRI MEDIA</v>
          </cell>
        </row>
        <row r="602">
          <cell r="H602" t="str">
            <v>GWS Surabaya</v>
          </cell>
          <cell r="I602" t="str">
            <v>GRAMEDIA ASRI MEDIA</v>
          </cell>
        </row>
        <row r="603">
          <cell r="H603" t="str">
            <v>GLKU</v>
          </cell>
          <cell r="I603" t="str">
            <v>GLOBAL LINTAS KARYA UTAMA</v>
          </cell>
        </row>
        <row r="604">
          <cell r="H604" t="str">
            <v>GLKU</v>
          </cell>
          <cell r="I604" t="str">
            <v>GLOBAL LINTAS KARYA UTAMA</v>
          </cell>
        </row>
        <row r="605">
          <cell r="H605" t="str">
            <v>RE-Tangerang CBD Emerald Bintaro</v>
          </cell>
          <cell r="I605" t="str">
            <v>GRAMEDIA ASRI MEDIA</v>
          </cell>
        </row>
        <row r="606">
          <cell r="H606" t="str">
            <v>RG-Manado Samratulangi</v>
          </cell>
          <cell r="I606" t="str">
            <v>GRAMEDIA ASRI MEDIA</v>
          </cell>
        </row>
        <row r="607">
          <cell r="H607" t="str">
            <v>GLKU</v>
          </cell>
          <cell r="I607" t="str">
            <v>GLOBAL LINTAS KARYA UTAMA</v>
          </cell>
        </row>
        <row r="608">
          <cell r="H608" t="str">
            <v>National Sales &amp; Promotion</v>
          </cell>
          <cell r="I608" t="str">
            <v>GRAMEDIA ASRI MEDIA</v>
          </cell>
        </row>
        <row r="609">
          <cell r="H609" t="str">
            <v>GWS BANDUNG</v>
          </cell>
          <cell r="I609" t="str">
            <v>GRAMEDIA ASRI MEDIA</v>
          </cell>
        </row>
        <row r="610">
          <cell r="H610" t="str">
            <v>GWS BANDUNG</v>
          </cell>
          <cell r="I610" t="str">
            <v>GRAMEDIA ASRI MEDIA</v>
          </cell>
        </row>
        <row r="611">
          <cell r="H611" t="str">
            <v>Procurement &amp; Distribution (Cakung)</v>
          </cell>
          <cell r="I611" t="str">
            <v>GRAMEDIA ASRI MEDIA</v>
          </cell>
        </row>
        <row r="612">
          <cell r="H612" t="str">
            <v>Procurement &amp; Distribution (Tajem)</v>
          </cell>
          <cell r="I612" t="str">
            <v>GRAMEDIA ASRI MEDIA</v>
          </cell>
        </row>
        <row r="613">
          <cell r="H613" t="str">
            <v>Procurement &amp; Distribution (Cakung)</v>
          </cell>
          <cell r="I613" t="str">
            <v>GRAMEDIA ASRI MEDIA</v>
          </cell>
        </row>
        <row r="614">
          <cell r="H614" t="str">
            <v>Procurement &amp; Distribution (Cakung)</v>
          </cell>
          <cell r="I614" t="str">
            <v>GRAMEDIA ASRI MEDIA</v>
          </cell>
        </row>
        <row r="615">
          <cell r="H615" t="str">
            <v>Procurement &amp; Distribution (Cakung)</v>
          </cell>
          <cell r="I615" t="str">
            <v>GRAMEDIA ASRI MEDIA</v>
          </cell>
        </row>
        <row r="616">
          <cell r="H616" t="str">
            <v>Procurement &amp; Distribution (Cakung)</v>
          </cell>
          <cell r="I616" t="str">
            <v>GRAMEDIA ASRI MEDIA</v>
          </cell>
        </row>
        <row r="617">
          <cell r="H617" t="str">
            <v>Procurement &amp; Distribution (Cakung)</v>
          </cell>
          <cell r="I617" t="str">
            <v>GRAMEDIA ASRI MEDIA</v>
          </cell>
        </row>
        <row r="618">
          <cell r="H618" t="str">
            <v>Procurement &amp; Distribution (Cakung)</v>
          </cell>
          <cell r="I618" t="str">
            <v>GRAMEDIA ASRI MEDIA</v>
          </cell>
        </row>
        <row r="619">
          <cell r="H619" t="str">
            <v>Procurement &amp; Distribution (Cakung)</v>
          </cell>
          <cell r="I619" t="str">
            <v>GRAMEDIA ASRI MEDIA</v>
          </cell>
        </row>
        <row r="620">
          <cell r="H620" t="str">
            <v>Procurement &amp; Distribution (Cakung)</v>
          </cell>
          <cell r="I620" t="str">
            <v>GRAMEDIA ASRI MEDIA</v>
          </cell>
        </row>
        <row r="621">
          <cell r="H621" t="str">
            <v>Procurement &amp; Distribution (Cakung)</v>
          </cell>
          <cell r="I621" t="str">
            <v>GRAMEDIA ASRI MEDIA</v>
          </cell>
        </row>
        <row r="622">
          <cell r="H622" t="str">
            <v>Procurement &amp; Distribution (Cakung)</v>
          </cell>
          <cell r="I622" t="str">
            <v>GRAMEDIA ASRI MEDIA</v>
          </cell>
        </row>
        <row r="623">
          <cell r="H623" t="str">
            <v>Procurement &amp; Distribution (Cakung)</v>
          </cell>
          <cell r="I623" t="str">
            <v>GRAMEDIA ASRI MEDIA</v>
          </cell>
        </row>
        <row r="624">
          <cell r="H624" t="str">
            <v>Procurement &amp; Distribution (Cakung)</v>
          </cell>
          <cell r="I624" t="str">
            <v>GRAMEDIA ASRI MEDIA</v>
          </cell>
        </row>
        <row r="625">
          <cell r="H625" t="str">
            <v>Procurement &amp; Distribution (Cakung)</v>
          </cell>
          <cell r="I625" t="str">
            <v>GRAMEDIA ASRI MEDIA</v>
          </cell>
        </row>
        <row r="626">
          <cell r="H626" t="str">
            <v>Procurement &amp; Distribution (Cakung)</v>
          </cell>
          <cell r="I626" t="str">
            <v>GRAMEDIA ASRI MEDIA</v>
          </cell>
        </row>
        <row r="627">
          <cell r="H627" t="str">
            <v>Procurement &amp; Distribution (Cakung)</v>
          </cell>
          <cell r="I627" t="str">
            <v>GRAMEDIA ASRI MEDIA</v>
          </cell>
        </row>
        <row r="628">
          <cell r="H628" t="str">
            <v>Procurement &amp; Distribution (Cakung)</v>
          </cell>
          <cell r="I628" t="str">
            <v>GRAMEDIA ASRI MEDIA</v>
          </cell>
        </row>
        <row r="629">
          <cell r="H629" t="str">
            <v>Procurement &amp; Distribution (Cakung)</v>
          </cell>
          <cell r="I629" t="str">
            <v>GRAMEDIA ASRI MEDIA</v>
          </cell>
        </row>
        <row r="630">
          <cell r="H630" t="str">
            <v>Procurement &amp; Distribution (Cakung)</v>
          </cell>
          <cell r="I630" t="str">
            <v>GRAMEDIA ASRI MEDIA</v>
          </cell>
        </row>
        <row r="631">
          <cell r="H631" t="str">
            <v>Procurement &amp; Distribution (Cakung)</v>
          </cell>
          <cell r="I631" t="str">
            <v>GRAMEDIA ASRI MEDIA</v>
          </cell>
        </row>
        <row r="632">
          <cell r="H632" t="str">
            <v>Procurement &amp; Distribution (Cakung)</v>
          </cell>
          <cell r="I632" t="str">
            <v>GRAMEDIA ASRI MEDIA</v>
          </cell>
        </row>
        <row r="633">
          <cell r="H633" t="str">
            <v>Procurement &amp; Distribution (Cakung)</v>
          </cell>
          <cell r="I633" t="str">
            <v>GRAMEDIA ASRI MEDIA</v>
          </cell>
        </row>
        <row r="634">
          <cell r="H634" t="str">
            <v>Procurement &amp; Distribution (Cakung)</v>
          </cell>
          <cell r="I634" t="str">
            <v>GRAMEDIA ASRI MEDIA</v>
          </cell>
        </row>
        <row r="635">
          <cell r="H635" t="str">
            <v>Procurement &amp; Distribution (Tajem)</v>
          </cell>
          <cell r="I635" t="str">
            <v>GRAMEDIA ASRI MEDIA</v>
          </cell>
        </row>
        <row r="636">
          <cell r="H636" t="str">
            <v>Procurement &amp; Distribution (Tajem)</v>
          </cell>
          <cell r="I636" t="str">
            <v>GRAMEDIA ASRI MEDIA</v>
          </cell>
        </row>
        <row r="637">
          <cell r="H637" t="str">
            <v>Procurement &amp; Distribution (Tajem)</v>
          </cell>
          <cell r="I637" t="str">
            <v>GRAMEDIA ASRI MEDIA</v>
          </cell>
        </row>
        <row r="638">
          <cell r="H638" t="str">
            <v>Procurement &amp; Distribution (Tajem)</v>
          </cell>
          <cell r="I638" t="str">
            <v>GRAMEDIA ASRI MEDIA</v>
          </cell>
        </row>
        <row r="639">
          <cell r="H639" t="str">
            <v>GLKU</v>
          </cell>
          <cell r="I639" t="str">
            <v>GLOBAL LINTAS KARYA UTAMA</v>
          </cell>
        </row>
        <row r="640">
          <cell r="H640" t="str">
            <v>GLKU</v>
          </cell>
          <cell r="I640" t="str">
            <v>GLOBAL LINTAS KARYA UTAMA</v>
          </cell>
        </row>
        <row r="641">
          <cell r="H641" t="str">
            <v>Procurement &amp; Distribution (Cakung)</v>
          </cell>
          <cell r="I641" t="str">
            <v>GRAMEDIA ASRI MEDIA</v>
          </cell>
        </row>
        <row r="642">
          <cell r="H642" t="str">
            <v>RC-Banjarmasin Veteran</v>
          </cell>
          <cell r="I642" t="str">
            <v>GRAMEDIA ASRI MEDIA</v>
          </cell>
        </row>
        <row r="643">
          <cell r="H643" t="str">
            <v>RC-Banjarmasin Veteran</v>
          </cell>
          <cell r="I643" t="str">
            <v>GRAMEDIA ASRI MEDIA</v>
          </cell>
        </row>
        <row r="644">
          <cell r="H644" t="str">
            <v>National Sales &amp; Promotion</v>
          </cell>
          <cell r="I644" t="str">
            <v>GRAMEDIA ASRI MEDIA</v>
          </cell>
        </row>
        <row r="645">
          <cell r="H645" t="str">
            <v>Procurement &amp; Distribution (Tajem)</v>
          </cell>
          <cell r="I645" t="str">
            <v>GRAMEDIA ASRI MEDIA</v>
          </cell>
        </row>
        <row r="646">
          <cell r="H646" t="str">
            <v>UA WholeSale</v>
          </cell>
          <cell r="I646" t="str">
            <v>GRAMEDIA ASRI MEDIA</v>
          </cell>
        </row>
        <row r="647">
          <cell r="H647" t="str">
            <v>RE-Bengkulu Meranti</v>
          </cell>
          <cell r="I647" t="str">
            <v>GRAMEDIA ASRI MEDIA</v>
          </cell>
        </row>
        <row r="648">
          <cell r="H648" t="str">
            <v>RC-Banjarmasin Veteran</v>
          </cell>
          <cell r="I648" t="str">
            <v>GRAMEDIA ASRI MEDIA</v>
          </cell>
        </row>
        <row r="649">
          <cell r="H649" t="str">
            <v>Procurement &amp; Distribution (Pusat)</v>
          </cell>
          <cell r="I649" t="str">
            <v>GRAMEDIA ASRI MEDIA</v>
          </cell>
        </row>
        <row r="650">
          <cell r="H650" t="str">
            <v>National Sales &amp; Promotion</v>
          </cell>
          <cell r="I650" t="str">
            <v>GRAMEDIA ASRI MEDIA</v>
          </cell>
        </row>
        <row r="651">
          <cell r="H651" t="str">
            <v>RC-Solo Slamet Riyadi</v>
          </cell>
          <cell r="I651" t="str">
            <v>GRAMEDIA ASRI MEDIA</v>
          </cell>
        </row>
        <row r="652">
          <cell r="H652" t="str">
            <v>National Sales &amp; Promotion</v>
          </cell>
          <cell r="I652" t="str">
            <v>GRAMEDIA ASRI MEDIA</v>
          </cell>
        </row>
        <row r="653">
          <cell r="H653" t="str">
            <v>RG-Sby Expo</v>
          </cell>
          <cell r="I653" t="str">
            <v>GRAMEDIA ASRI MEDIA</v>
          </cell>
        </row>
        <row r="654">
          <cell r="H654" t="str">
            <v>National Sales &amp; Promotion</v>
          </cell>
          <cell r="I654" t="str">
            <v>GRAMEDIA ASRI MEDIA</v>
          </cell>
        </row>
        <row r="655">
          <cell r="H655" t="str">
            <v>RB-Jkt Central Park Mall</v>
          </cell>
          <cell r="I655" t="str">
            <v>GRAMEDIA ASRI MEDIA</v>
          </cell>
        </row>
        <row r="656">
          <cell r="H656" t="str">
            <v>GLKU</v>
          </cell>
          <cell r="I656" t="str">
            <v>GLOBAL LINTAS KARYA UTAMA</v>
          </cell>
        </row>
        <row r="657">
          <cell r="H657" t="str">
            <v>RE-GR Balikpapan MT Haryono</v>
          </cell>
          <cell r="I657" t="str">
            <v>GRAMEDIA ASRI MEDIA</v>
          </cell>
        </row>
        <row r="658">
          <cell r="H658" t="str">
            <v>RB-Jkt Central Park Mall</v>
          </cell>
          <cell r="I658" t="str">
            <v>GRAMEDIA ASRI MEDIA</v>
          </cell>
        </row>
        <row r="659">
          <cell r="H659" t="str">
            <v>National Sales &amp; Promotion</v>
          </cell>
          <cell r="I659" t="str">
            <v>GRAMEDIA ASRI MEDIA</v>
          </cell>
        </row>
        <row r="660">
          <cell r="H660" t="str">
            <v>National Sales &amp; Promotion</v>
          </cell>
          <cell r="I660" t="str">
            <v>GRAMEDIA ASRI MEDIA</v>
          </cell>
        </row>
        <row r="661">
          <cell r="H661" t="str">
            <v>National Sales &amp; Promotion</v>
          </cell>
          <cell r="I661" t="str">
            <v>GRAMEDIA ASRI MEDIA</v>
          </cell>
        </row>
        <row r="662">
          <cell r="H662" t="str">
            <v>National Sales &amp; Promotion</v>
          </cell>
          <cell r="I662" t="str">
            <v>GRAMEDIA ASRI MEDIA</v>
          </cell>
        </row>
        <row r="663">
          <cell r="H663" t="str">
            <v>National Sales &amp; Promotion</v>
          </cell>
          <cell r="I663" t="str">
            <v>GRAMEDIA ASRI MEDIA</v>
          </cell>
        </row>
        <row r="664">
          <cell r="H664" t="str">
            <v>Product &amp; Import Merchandising</v>
          </cell>
          <cell r="I664" t="str">
            <v>GRAMEDIA ASRI MEDIA</v>
          </cell>
        </row>
        <row r="665">
          <cell r="H665" t="str">
            <v>Product &amp; Import Merchandising</v>
          </cell>
          <cell r="I665" t="str">
            <v>GRAMEDIA ASRI MEDIA</v>
          </cell>
        </row>
        <row r="666">
          <cell r="H666" t="str">
            <v>Strategic Branding &amp; Digital Dept</v>
          </cell>
          <cell r="I666" t="str">
            <v>GRAMEDIA ASRI MEDIA</v>
          </cell>
        </row>
        <row r="667">
          <cell r="H667" t="str">
            <v>Strategic Branding &amp; Digital Dept</v>
          </cell>
          <cell r="I667" t="str">
            <v>GRAMEDIA ASRI MEDIA</v>
          </cell>
        </row>
        <row r="668">
          <cell r="H668" t="str">
            <v>Strategic Branding &amp; Digital Dept</v>
          </cell>
          <cell r="I668" t="str">
            <v>GRAMEDIA ASRI MEDIA</v>
          </cell>
        </row>
        <row r="669">
          <cell r="H669" t="str">
            <v>Strategic Branding &amp; Digital Dept</v>
          </cell>
          <cell r="I669" t="str">
            <v>GRAMEDIA ASRI MEDIA</v>
          </cell>
        </row>
        <row r="670">
          <cell r="H670" t="str">
            <v>Strategic Branding &amp; Digital Dept</v>
          </cell>
          <cell r="I670" t="str">
            <v>GRAMEDIA ASRI MEDIA</v>
          </cell>
        </row>
        <row r="671">
          <cell r="H671" t="str">
            <v>Strategic Branding &amp; Digital Dept</v>
          </cell>
          <cell r="I671" t="str">
            <v>GRAMEDIA ASRI MEDIA</v>
          </cell>
        </row>
        <row r="672">
          <cell r="H672" t="str">
            <v>Gramedia Puri Indah</v>
          </cell>
          <cell r="I672" t="str">
            <v>GRAMEDIA ASRI MEDIA</v>
          </cell>
        </row>
        <row r="673">
          <cell r="H673" t="str">
            <v>RD-Lampung Raden Intan</v>
          </cell>
          <cell r="I673" t="str">
            <v>GRAMEDIA ASRI MEDIA</v>
          </cell>
        </row>
        <row r="674">
          <cell r="H674" t="str">
            <v>RF-Medan Gama</v>
          </cell>
          <cell r="I674" t="str">
            <v>GRAMEDIA ASRI MEDIA</v>
          </cell>
        </row>
        <row r="675">
          <cell r="H675" t="str">
            <v>RC-Banjarmasin Veteran</v>
          </cell>
          <cell r="I675" t="str">
            <v>GRAMEDIA ASRI MEDIA</v>
          </cell>
        </row>
        <row r="676">
          <cell r="H676" t="str">
            <v>RE-Samarinda Lembuswana</v>
          </cell>
          <cell r="I676" t="str">
            <v>GRAMEDIA ASRI MEDIA</v>
          </cell>
        </row>
        <row r="677">
          <cell r="H677" t="str">
            <v>GLKU</v>
          </cell>
          <cell r="I677" t="str">
            <v>GLOBAL LINTAS KARYA UTAMA</v>
          </cell>
        </row>
        <row r="678">
          <cell r="H678" t="str">
            <v>GLKU</v>
          </cell>
          <cell r="I678" t="str">
            <v>GLOBAL LINTAS KARYA UTAMA</v>
          </cell>
        </row>
        <row r="679">
          <cell r="H679" t="str">
            <v>RC-Yogya Sudirman</v>
          </cell>
          <cell r="I679" t="str">
            <v>GRAMEDIA ASRI MEDIA</v>
          </cell>
        </row>
        <row r="680">
          <cell r="H680" t="str">
            <v>RD-Pekanbaru Jensud</v>
          </cell>
          <cell r="I680" t="str">
            <v>GRAMEDIA ASRI MEDIA</v>
          </cell>
        </row>
        <row r="681">
          <cell r="H681" t="str">
            <v>UA WholeSale</v>
          </cell>
          <cell r="I681" t="str">
            <v>GRAMEDIA ASRI MEDIA</v>
          </cell>
        </row>
        <row r="682">
          <cell r="H682" t="str">
            <v>RB-Jkt Matraman</v>
          </cell>
          <cell r="I682" t="str">
            <v>GRAMEDIA ASRI MEDIA</v>
          </cell>
        </row>
        <row r="683">
          <cell r="H683" t="str">
            <v>UA Unit Pusat</v>
          </cell>
          <cell r="I683" t="str">
            <v>GRAMEDIA ASRI MEDIA</v>
          </cell>
        </row>
        <row r="684">
          <cell r="H684" t="str">
            <v>RG-Manado Samratulangi</v>
          </cell>
          <cell r="I684" t="str">
            <v>GRAMEDIA ASRI MEDIA</v>
          </cell>
        </row>
        <row r="685">
          <cell r="H685" t="str">
            <v>RC-Yogya City Mall</v>
          </cell>
          <cell r="I685" t="str">
            <v>GRAMEDIA ASRI MEDIA</v>
          </cell>
        </row>
        <row r="686">
          <cell r="H686" t="str">
            <v>RE-Pontianak</v>
          </cell>
          <cell r="I686" t="str">
            <v>GRAMEDIA ASRI MEDIA</v>
          </cell>
        </row>
        <row r="687">
          <cell r="H687" t="str">
            <v>RE-GR Balikpapan MT Haryono</v>
          </cell>
          <cell r="I687" t="str">
            <v>GRAMEDIA ASRI MEDIA</v>
          </cell>
        </row>
        <row r="688">
          <cell r="H688" t="str">
            <v>RD-Pekanbaru Jensud</v>
          </cell>
          <cell r="I688" t="str">
            <v>GRAMEDIA ASRI MEDIA</v>
          </cell>
        </row>
        <row r="689">
          <cell r="H689" t="str">
            <v>RF-Bdng Merdeka</v>
          </cell>
          <cell r="I689" t="str">
            <v>GRAMEDIA ASRI MEDIA</v>
          </cell>
        </row>
        <row r="690">
          <cell r="H690" t="str">
            <v>RC-Cirebon Cipto</v>
          </cell>
          <cell r="I690" t="str">
            <v>GRAMEDIA ASRI MEDIA</v>
          </cell>
        </row>
        <row r="691">
          <cell r="H691" t="str">
            <v>ELTI Yogyakarta</v>
          </cell>
          <cell r="I691" t="str">
            <v>ELTI</v>
          </cell>
        </row>
        <row r="692">
          <cell r="H692" t="str">
            <v>RG-Bali Galeria</v>
          </cell>
          <cell r="I692" t="str">
            <v>GRAMEDIA ASRI MEDIA</v>
          </cell>
        </row>
        <row r="693">
          <cell r="H693" t="str">
            <v>RE-WAM Bangka</v>
          </cell>
          <cell r="I693" t="str">
            <v>WIDIA ASRI MEDIA</v>
          </cell>
        </row>
        <row r="694">
          <cell r="H694" t="str">
            <v>GWS Surabaya</v>
          </cell>
          <cell r="I694" t="str">
            <v>GRAMEDIA ASRI MEDIA</v>
          </cell>
        </row>
        <row r="695">
          <cell r="H695" t="str">
            <v>Procurement &amp; Distribution (Tajem)</v>
          </cell>
          <cell r="I695" t="str">
            <v>GRAMEDIA ASRI MEDIA</v>
          </cell>
        </row>
        <row r="696">
          <cell r="H696" t="str">
            <v>RE-Jambi</v>
          </cell>
          <cell r="I696" t="str">
            <v>GRAMEDIA ASRI MEDIA</v>
          </cell>
        </row>
        <row r="697">
          <cell r="H697" t="str">
            <v>UA Unit Pusat</v>
          </cell>
          <cell r="I697" t="str">
            <v>GRAMEDIA ASRI MEDIA</v>
          </cell>
        </row>
        <row r="698">
          <cell r="H698" t="str">
            <v>RG-Sby Manyar</v>
          </cell>
          <cell r="I698" t="str">
            <v>GRAMEDIA ASRI MEDIA</v>
          </cell>
        </row>
        <row r="699">
          <cell r="H699" t="str">
            <v>RA-Maumere Kesehatan</v>
          </cell>
          <cell r="I699" t="str">
            <v>GRAMEDIA ASRI MEDIA</v>
          </cell>
        </row>
        <row r="700">
          <cell r="H700" t="str">
            <v>Procurement &amp; Distribution (Tajem)</v>
          </cell>
          <cell r="I700" t="str">
            <v>GRAMEDIA ASRI MEDIA</v>
          </cell>
        </row>
        <row r="701">
          <cell r="H701" t="str">
            <v>Procurement &amp; Distribution (Tajem)</v>
          </cell>
          <cell r="I701" t="str">
            <v>GRAMEDIA ASRI MEDIA</v>
          </cell>
        </row>
        <row r="702">
          <cell r="H702" t="str">
            <v>RA-Mataram Pejanggik</v>
          </cell>
          <cell r="I702" t="str">
            <v>GRAMEDIA ASRI MEDIA</v>
          </cell>
        </row>
        <row r="703">
          <cell r="H703" t="str">
            <v>UA Unit Pusat</v>
          </cell>
          <cell r="I703" t="str">
            <v>GRAMEDIA ASRI MEDIA</v>
          </cell>
        </row>
        <row r="704">
          <cell r="H704" t="str">
            <v>UA Unit Pusat</v>
          </cell>
          <cell r="I704" t="str">
            <v>GRAMEDIA ASRI MEDIA</v>
          </cell>
        </row>
        <row r="705">
          <cell r="H705" t="str">
            <v>ELTI Yogyakarta</v>
          </cell>
          <cell r="I705" t="str">
            <v>ELTI</v>
          </cell>
        </row>
        <row r="706">
          <cell r="H706" t="str">
            <v>UA Unit Pusat</v>
          </cell>
          <cell r="I706" t="str">
            <v>GRAMEDIA ASRI MEDIA</v>
          </cell>
        </row>
        <row r="707">
          <cell r="H707" t="str">
            <v>GLKU</v>
          </cell>
          <cell r="I707" t="str">
            <v>GLOBAL LINTAS KARYA UTAMA</v>
          </cell>
        </row>
        <row r="708">
          <cell r="H708" t="str">
            <v>Online Gramedia.com</v>
          </cell>
          <cell r="I708" t="str">
            <v>GRAMEDIA ASRI MEDIA</v>
          </cell>
        </row>
        <row r="709">
          <cell r="H709" t="str">
            <v>RB-Jkt Matraman</v>
          </cell>
          <cell r="I709" t="str">
            <v>GRAMEDIA ASRI MEDIA</v>
          </cell>
        </row>
        <row r="710">
          <cell r="H710" t="str">
            <v>RF-Bekasi Harapan Indah</v>
          </cell>
          <cell r="I710" t="str">
            <v>GRAMEDIA ASRI MEDIA</v>
          </cell>
        </row>
        <row r="711">
          <cell r="H711" t="str">
            <v>UA Unit Pusat</v>
          </cell>
          <cell r="I711" t="str">
            <v>GRAMEDIA ASRI MEDIA</v>
          </cell>
        </row>
        <row r="712">
          <cell r="H712" t="str">
            <v>UA Unit Pusat</v>
          </cell>
          <cell r="I712" t="str">
            <v>GRAMEDIA ASRI MEDIA</v>
          </cell>
        </row>
        <row r="713">
          <cell r="H713" t="str">
            <v>RE-Jambi</v>
          </cell>
          <cell r="I713" t="str">
            <v>GRAMEDIA ASRI MEDIA</v>
          </cell>
        </row>
        <row r="714">
          <cell r="H714" t="str">
            <v>RE-Jambi</v>
          </cell>
          <cell r="I714" t="str">
            <v>GRAMEDIA ASRI MEDIA</v>
          </cell>
        </row>
        <row r="715">
          <cell r="H715" t="str">
            <v>UA Unit Pusat</v>
          </cell>
          <cell r="I715" t="str">
            <v>GRAMEDIA ASRI MEDIA</v>
          </cell>
        </row>
        <row r="716">
          <cell r="H716" t="str">
            <v>UA-Facility Mgt</v>
          </cell>
          <cell r="I716" t="str">
            <v>GRAMEDIA ASRI MEDIA</v>
          </cell>
        </row>
        <row r="717">
          <cell r="H717" t="str">
            <v>UA-Facility Mgt</v>
          </cell>
          <cell r="I717" t="str">
            <v>GRAMEDIA ASRI MEDIA</v>
          </cell>
        </row>
        <row r="718">
          <cell r="H718" t="str">
            <v>UA-Facility Mgt</v>
          </cell>
          <cell r="I718" t="str">
            <v>GRAMEDIA ASRI MEDIA</v>
          </cell>
        </row>
        <row r="719">
          <cell r="H719" t="str">
            <v>UA-Facility Mgt</v>
          </cell>
          <cell r="I719" t="str">
            <v>GRAMEDIA ASRI MEDIA</v>
          </cell>
        </row>
        <row r="720">
          <cell r="H720" t="str">
            <v>Cakung - BM Regional - KG PRO</v>
          </cell>
          <cell r="I720" t="str">
            <v>GRAMEDIA</v>
          </cell>
        </row>
        <row r="721">
          <cell r="H721" t="str">
            <v>Cakung - BM Regional - KG PRO</v>
          </cell>
          <cell r="I721" t="str">
            <v>GRAMEDIA</v>
          </cell>
        </row>
        <row r="722">
          <cell r="H722" t="str">
            <v>Cakung - BM Regional - KG PRO</v>
          </cell>
          <cell r="I722" t="str">
            <v>GRAMEDIA</v>
          </cell>
        </row>
        <row r="723">
          <cell r="H723" t="str">
            <v>Goverment Sales Dept</v>
          </cell>
          <cell r="I723" t="str">
            <v>GRAMEDIA</v>
          </cell>
        </row>
        <row r="724">
          <cell r="H724" t="str">
            <v>Goverment Sales Dept</v>
          </cell>
          <cell r="I724" t="str">
            <v>GRAMEDIA</v>
          </cell>
        </row>
        <row r="725">
          <cell r="H725" t="str">
            <v>Goverment Sales Dept</v>
          </cell>
          <cell r="I725" t="str">
            <v>GRAMEDIA</v>
          </cell>
        </row>
        <row r="726">
          <cell r="H726" t="str">
            <v>GRHA Bandung - BM Regional - KG PRO</v>
          </cell>
          <cell r="I726" t="str">
            <v>GRAMEDIA</v>
          </cell>
        </row>
        <row r="727">
          <cell r="H727" t="str">
            <v>GRHA Bandung - BM Regional - KG PRO</v>
          </cell>
          <cell r="I727" t="str">
            <v>GRAMEDIA</v>
          </cell>
        </row>
        <row r="728">
          <cell r="H728" t="str">
            <v>RB-Jkt Matraman</v>
          </cell>
          <cell r="I728" t="str">
            <v>GRAMEDIA ASRI MEDIA</v>
          </cell>
        </row>
        <row r="729">
          <cell r="H729" t="str">
            <v>GRHA Bandung - BM Regional - KG PRO</v>
          </cell>
          <cell r="I729" t="str">
            <v>GRAMEDIA</v>
          </cell>
        </row>
        <row r="730">
          <cell r="H730" t="str">
            <v>GRHA Bandung - BM Regional - KG PRO</v>
          </cell>
          <cell r="I730" t="str">
            <v>GRAMEDIA</v>
          </cell>
        </row>
        <row r="731">
          <cell r="H731" t="str">
            <v>Head Office - BM Regional - KG PRO</v>
          </cell>
          <cell r="I731" t="str">
            <v>GRAMEDIA</v>
          </cell>
        </row>
        <row r="732">
          <cell r="H732" t="str">
            <v>Head Office - GA - KG Pro</v>
          </cell>
          <cell r="I732" t="str">
            <v>GRAMEDIA</v>
          </cell>
        </row>
        <row r="733">
          <cell r="H733" t="str">
            <v>Head Office - GA - KG Pro</v>
          </cell>
          <cell r="I733" t="str">
            <v>GRAMEDIA</v>
          </cell>
        </row>
        <row r="734">
          <cell r="H734" t="str">
            <v>RF-Bdng Merdeka</v>
          </cell>
          <cell r="I734" t="str">
            <v>GRAMEDIA ASRI MEDIA</v>
          </cell>
        </row>
        <row r="735">
          <cell r="H735" t="str">
            <v>RD-Lampung Raden Intan</v>
          </cell>
          <cell r="I735" t="str">
            <v>GRAMEDIA ASRI MEDIA</v>
          </cell>
        </row>
        <row r="736">
          <cell r="H736" t="str">
            <v>Head Office - GA - KG Pro</v>
          </cell>
          <cell r="I736" t="str">
            <v>GRAMEDIA</v>
          </cell>
        </row>
        <row r="737">
          <cell r="H737" t="str">
            <v>Head Office - GA - KG Pro</v>
          </cell>
          <cell r="I737" t="str">
            <v>GRAMEDIA</v>
          </cell>
        </row>
        <row r="738">
          <cell r="H738" t="str">
            <v>Head Office - Marekting - KG Pro</v>
          </cell>
          <cell r="I738" t="str">
            <v>GRAMEDIA</v>
          </cell>
        </row>
        <row r="739">
          <cell r="H739" t="str">
            <v>Head Office - Permit &amp; Legal - KG PRO</v>
          </cell>
          <cell r="I739" t="str">
            <v>GRAMEDIA</v>
          </cell>
        </row>
        <row r="740">
          <cell r="H740" t="str">
            <v>Jakarta - BM Palmerah Selatan - KG PRO</v>
          </cell>
          <cell r="I740" t="str">
            <v>GRAMEDIA</v>
          </cell>
        </row>
        <row r="741">
          <cell r="H741" t="str">
            <v>Jakarta - BM Palmerah Selatan - KG PRO</v>
          </cell>
          <cell r="I741" t="str">
            <v>GRAMEDIA</v>
          </cell>
        </row>
        <row r="742">
          <cell r="H742" t="str">
            <v>Jakarta - BM Palmerah Selatan - KG PRO</v>
          </cell>
          <cell r="I742" t="str">
            <v>GRAMEDIA</v>
          </cell>
        </row>
        <row r="743">
          <cell r="H743" t="str">
            <v>Jakarta - BM Palmerah Selatan - KG PRO</v>
          </cell>
          <cell r="I743" t="str">
            <v>GRAMEDIA</v>
          </cell>
        </row>
        <row r="744">
          <cell r="H744" t="str">
            <v>Jakarta - BM Palmerah Selatan - KG PRO</v>
          </cell>
          <cell r="I744" t="str">
            <v>GRAMEDIA</v>
          </cell>
        </row>
        <row r="745">
          <cell r="H745" t="str">
            <v>Jakarta - Finance/Legal - KG PRO</v>
          </cell>
          <cell r="I745" t="str">
            <v>GRAMEDIA</v>
          </cell>
        </row>
        <row r="746">
          <cell r="H746" t="str">
            <v>Jakarta - FUHR - KG PRO</v>
          </cell>
          <cell r="I746" t="str">
            <v>GRAMEDIA</v>
          </cell>
        </row>
        <row r="747">
          <cell r="H747" t="str">
            <v>Jakarta - P2K/Comptroller - KG PRO</v>
          </cell>
          <cell r="I747" t="str">
            <v>GRAMEDIA</v>
          </cell>
        </row>
        <row r="748">
          <cell r="H748" t="str">
            <v>Jakarta - P2K/Comptroller - KG PRO</v>
          </cell>
          <cell r="I748" t="str">
            <v>GRAMEDIA</v>
          </cell>
        </row>
        <row r="749">
          <cell r="H749" t="str">
            <v>Jakarta - TI Corporate/Citis - KG PRO</v>
          </cell>
          <cell r="I749" t="str">
            <v>GRAMEDIA</v>
          </cell>
        </row>
        <row r="750">
          <cell r="H750" t="str">
            <v>Melawai - BM Regional - KG PRO</v>
          </cell>
          <cell r="I750" t="str">
            <v>GRAMEDIA</v>
          </cell>
        </row>
        <row r="751">
          <cell r="H751" t="str">
            <v>Melawai - BM Regional - KG PRO</v>
          </cell>
          <cell r="I751" t="str">
            <v>GRAMEDIA</v>
          </cell>
        </row>
        <row r="752">
          <cell r="H752" t="str">
            <v>Melawai - BM Regional - KG PRO</v>
          </cell>
          <cell r="I752" t="str">
            <v>GRAMEDIA</v>
          </cell>
        </row>
        <row r="753">
          <cell r="H753" t="str">
            <v>Perintis - BM Regional - KG PRO</v>
          </cell>
          <cell r="I753" t="str">
            <v>GRAMEDIA</v>
          </cell>
        </row>
        <row r="754">
          <cell r="H754" t="str">
            <v>Perintis - BM Regional - KG PRO</v>
          </cell>
          <cell r="I754" t="str">
            <v>GRAMEDIA</v>
          </cell>
        </row>
        <row r="755">
          <cell r="H755" t="str">
            <v>Perintis - BM Regional - KG PRO</v>
          </cell>
          <cell r="I755" t="str">
            <v>GRAMEDIA</v>
          </cell>
        </row>
        <row r="756">
          <cell r="H756" t="str">
            <v>Perintis - BM Regional - KG PRO</v>
          </cell>
          <cell r="I756" t="str">
            <v>GRAMEDIA</v>
          </cell>
        </row>
        <row r="757">
          <cell r="H757" t="str">
            <v>UA - FORTUNA MANDIRI BERDIKARI</v>
          </cell>
          <cell r="I757" t="str">
            <v>FORTUNA MANDIRI BERDIKARI</v>
          </cell>
        </row>
        <row r="758">
          <cell r="H758" t="str">
            <v>UA - FORTUNA MANDIRI BERDIKARI</v>
          </cell>
          <cell r="I758" t="str">
            <v>FORTUNA MANDIRI BERDIKARI</v>
          </cell>
        </row>
        <row r="759">
          <cell r="H759" t="str">
            <v>UA - FORTUNA MANDIRI BERDIKARI</v>
          </cell>
          <cell r="I759" t="str">
            <v>FORTUNA MANDIRI BERDIKARI</v>
          </cell>
        </row>
        <row r="760">
          <cell r="H760" t="str">
            <v>UA - FORTUNA MANDIRI BERDIKARI</v>
          </cell>
          <cell r="I760" t="str">
            <v>FORTUNA MANDIRI BERDIKARI</v>
          </cell>
        </row>
        <row r="761">
          <cell r="H761" t="str">
            <v>UA - FORTUNA MANDIRI BERDIKARI</v>
          </cell>
          <cell r="I761" t="str">
            <v>FORTUNA MANDIRI BERDIKARI</v>
          </cell>
        </row>
        <row r="762">
          <cell r="H762" t="str">
            <v>UA - FORTUNA MANDIRI BERDIKARI</v>
          </cell>
          <cell r="I762" t="str">
            <v>FORTUNA MANDIRI BERDIKARI</v>
          </cell>
        </row>
        <row r="763">
          <cell r="H763" t="str">
            <v>UA - FORTUNA MANDIRI BERDIKARI</v>
          </cell>
          <cell r="I763" t="str">
            <v>FORTUNA MANDIRI BERDIKARI</v>
          </cell>
        </row>
        <row r="764">
          <cell r="H764" t="str">
            <v>ELEX</v>
          </cell>
          <cell r="I764" t="str">
            <v>Elex Media Komputindo</v>
          </cell>
        </row>
        <row r="765">
          <cell r="H765" t="str">
            <v>RE-Tangerang CBD Emerald Bintaro</v>
          </cell>
          <cell r="I765" t="str">
            <v>GRAMEDIA ASRI MEDIA</v>
          </cell>
        </row>
        <row r="766">
          <cell r="H766" t="str">
            <v>RE-Jambi</v>
          </cell>
          <cell r="I766" t="str">
            <v>GRAMEDIA ASRI MEDIA</v>
          </cell>
        </row>
        <row r="767">
          <cell r="H767" t="str">
            <v>RD-Padang Damar</v>
          </cell>
          <cell r="I767" t="str">
            <v>GRAMEDIA ASRI MEDIA</v>
          </cell>
        </row>
        <row r="768">
          <cell r="H768" t="str">
            <v>RE-Palembang Atmo</v>
          </cell>
          <cell r="I768" t="str">
            <v>GRAMEDIA ASRI MEDIA</v>
          </cell>
        </row>
        <row r="769">
          <cell r="H769" t="str">
            <v>RE-Palembang Atmo</v>
          </cell>
          <cell r="I769" t="str">
            <v>GRAMEDIA ASRI MEDIA</v>
          </cell>
        </row>
        <row r="770">
          <cell r="H770" t="str">
            <v>RC-Solo Slamet Riyadi</v>
          </cell>
          <cell r="I770" t="str">
            <v>GRAMEDIA ASRI MEDIA</v>
          </cell>
        </row>
        <row r="771">
          <cell r="H771" t="str">
            <v>RB-Jkt Central Park Mall</v>
          </cell>
          <cell r="I771" t="str">
            <v>GRAMEDIA ASRI MEDIA</v>
          </cell>
        </row>
        <row r="772">
          <cell r="H772" t="str">
            <v>RB-Jkt Central Park Mall</v>
          </cell>
          <cell r="I772" t="str">
            <v>GRAMEDIA ASRI MEDIA</v>
          </cell>
        </row>
        <row r="773">
          <cell r="H773" t="str">
            <v>ELEX</v>
          </cell>
          <cell r="I773" t="str">
            <v>Elex Media Komputindo</v>
          </cell>
        </row>
        <row r="774">
          <cell r="H774" t="str">
            <v>RC-Yogya Sudirman</v>
          </cell>
          <cell r="I774" t="str">
            <v>GRAMEDIA ASRI MEDIA</v>
          </cell>
        </row>
        <row r="775">
          <cell r="H775" t="str">
            <v>ELTI Yogyakarta</v>
          </cell>
          <cell r="I775" t="str">
            <v>ELTI</v>
          </cell>
        </row>
        <row r="776">
          <cell r="H776" t="str">
            <v>ELEX</v>
          </cell>
          <cell r="I776" t="str">
            <v>Elex Media Komputindo</v>
          </cell>
        </row>
        <row r="777">
          <cell r="H777" t="str">
            <v>RC-Cirebon Cipto</v>
          </cell>
          <cell r="I777" t="str">
            <v>GRAMEDIA ASRI MEDIA</v>
          </cell>
        </row>
        <row r="778">
          <cell r="H778" t="str">
            <v>ELEX</v>
          </cell>
          <cell r="I778" t="str">
            <v>Elex Media Komputindo</v>
          </cell>
        </row>
        <row r="779">
          <cell r="H779" t="str">
            <v>ELEX</v>
          </cell>
          <cell r="I779" t="str">
            <v>Elex Media Komputindo</v>
          </cell>
        </row>
        <row r="780">
          <cell r="H780" t="str">
            <v>ELEX</v>
          </cell>
          <cell r="I780" t="str">
            <v>Elex Media Komputindo</v>
          </cell>
        </row>
        <row r="781">
          <cell r="H781" t="str">
            <v xml:space="preserve">REGIONAL </v>
          </cell>
          <cell r="I781" t="str">
            <v>GRAMEDIA ASRI MEDIA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tunjuk Pengisian"/>
      <sheetName val="update_data_tk"/>
      <sheetName val="Nama Bank"/>
      <sheetName val="Lokasi Pekerjaan"/>
      <sheetName val="Petunjuk_Pengisian"/>
      <sheetName val="Nama_Bank"/>
      <sheetName val="Lokasi_Pekerjaan"/>
    </sheetNames>
    <sheetDataSet>
      <sheetData sheetId="0"/>
      <sheetData sheetId="1">
        <row r="2">
          <cell r="C2" t="str">
            <v>3175016301980003</v>
          </cell>
          <cell r="D2" t="str">
            <v>25077450002</v>
          </cell>
        </row>
        <row r="3">
          <cell r="C3" t="str">
            <v>3173071108980001</v>
          </cell>
          <cell r="D3" t="str">
            <v>25077451877</v>
          </cell>
        </row>
        <row r="4">
          <cell r="C4" t="str">
            <v>3328026902040001</v>
          </cell>
          <cell r="D4" t="str">
            <v>25077449988</v>
          </cell>
        </row>
        <row r="5">
          <cell r="C5" t="str">
            <v>5103025008820012</v>
          </cell>
          <cell r="D5" t="str">
            <v>25077451901</v>
          </cell>
        </row>
        <row r="6">
          <cell r="C6" t="str">
            <v>3305261011970001</v>
          </cell>
          <cell r="D6" t="str">
            <v>25077451893</v>
          </cell>
        </row>
        <row r="7">
          <cell r="C7" t="str">
            <v>3275115704020013</v>
          </cell>
          <cell r="D7" t="str">
            <v>25077449996</v>
          </cell>
        </row>
        <row r="8">
          <cell r="C8" t="str">
            <v>3311070605040001</v>
          </cell>
          <cell r="D8" t="str">
            <v>25077450242</v>
          </cell>
        </row>
        <row r="9">
          <cell r="C9" t="str">
            <v>3321021507960003</v>
          </cell>
          <cell r="D9" t="str">
            <v>25077450234</v>
          </cell>
        </row>
        <row r="10">
          <cell r="C10" t="str">
            <v>3311062509010003</v>
          </cell>
          <cell r="D10" t="str">
            <v>25077450226</v>
          </cell>
        </row>
        <row r="11">
          <cell r="C11" t="str">
            <v>3301177009000001</v>
          </cell>
          <cell r="D11" t="str">
            <v>25077450218</v>
          </cell>
        </row>
        <row r="12">
          <cell r="C12" t="str">
            <v>3403096303030004</v>
          </cell>
          <cell r="D12" t="str">
            <v>25077450200</v>
          </cell>
        </row>
        <row r="13">
          <cell r="C13" t="str">
            <v>1801052206880001</v>
          </cell>
          <cell r="D13" t="str">
            <v>25077450192</v>
          </cell>
        </row>
        <row r="14">
          <cell r="C14" t="str">
            <v>3272030610960001</v>
          </cell>
          <cell r="D14" t="str">
            <v>25077450184</v>
          </cell>
        </row>
        <row r="15">
          <cell r="C15" t="str">
            <v>3521092607960001</v>
          </cell>
          <cell r="D15" t="str">
            <v>25077450176</v>
          </cell>
        </row>
        <row r="16">
          <cell r="C16" t="str">
            <v>3276102701810001</v>
          </cell>
          <cell r="D16" t="str">
            <v>25077450168</v>
          </cell>
        </row>
        <row r="17">
          <cell r="C17" t="str">
            <v>1371111402020013</v>
          </cell>
          <cell r="D17" t="str">
            <v>25077450150</v>
          </cell>
        </row>
        <row r="18">
          <cell r="C18" t="str">
            <v>3601194805000001</v>
          </cell>
          <cell r="D18" t="str">
            <v>25077450143</v>
          </cell>
        </row>
        <row r="19">
          <cell r="C19" t="str">
            <v>1611042212020003</v>
          </cell>
          <cell r="D19" t="str">
            <v>25077450135</v>
          </cell>
        </row>
        <row r="20">
          <cell r="C20" t="str">
            <v>3524101211000003</v>
          </cell>
          <cell r="D20" t="str">
            <v>25077450119</v>
          </cell>
        </row>
        <row r="21">
          <cell r="C21" t="str">
            <v>6402131706970001</v>
          </cell>
          <cell r="D21" t="str">
            <v>25077450101</v>
          </cell>
        </row>
        <row r="22">
          <cell r="C22" t="str">
            <v>1601091605960001</v>
          </cell>
          <cell r="D22" t="str">
            <v>25077450093</v>
          </cell>
        </row>
        <row r="23">
          <cell r="C23" t="str">
            <v>1113021505920001</v>
          </cell>
          <cell r="D23" t="str">
            <v>25077450077</v>
          </cell>
        </row>
        <row r="24">
          <cell r="C24" t="str">
            <v>6471012512010001</v>
          </cell>
          <cell r="D24" t="str">
            <v>25077450069</v>
          </cell>
        </row>
        <row r="25">
          <cell r="C25" t="str">
            <v>3201122111990004</v>
          </cell>
          <cell r="D25" t="str">
            <v>25077450044</v>
          </cell>
        </row>
        <row r="26">
          <cell r="C26" t="str">
            <v>1211021409990003</v>
          </cell>
          <cell r="D26" t="str">
            <v>25077450036</v>
          </cell>
        </row>
        <row r="27">
          <cell r="C27" t="str">
            <v>6371031509990005</v>
          </cell>
          <cell r="D27" t="str">
            <v>25077450028</v>
          </cell>
        </row>
        <row r="28">
          <cell r="C28" t="str">
            <v>3374060109060002</v>
          </cell>
          <cell r="D28" t="str">
            <v>25077450010</v>
          </cell>
        </row>
        <row r="29">
          <cell r="C29" t="str">
            <v>3171043108970001</v>
          </cell>
          <cell r="D29" t="str">
            <v>25077451844</v>
          </cell>
        </row>
        <row r="30">
          <cell r="C30" t="str">
            <v>3172042611941003</v>
          </cell>
          <cell r="D30" t="str">
            <v>25077451828</v>
          </cell>
        </row>
        <row r="31">
          <cell r="C31" t="str">
            <v>3175036303990010</v>
          </cell>
          <cell r="D31" t="str">
            <v>25077451802</v>
          </cell>
        </row>
        <row r="32">
          <cell r="C32" t="str">
            <v>3175015503990005</v>
          </cell>
          <cell r="D32" t="str">
            <v>25077451786</v>
          </cell>
        </row>
        <row r="33">
          <cell r="C33" t="str">
            <v>3526110705890002</v>
          </cell>
          <cell r="D33" t="str">
            <v>25077451760</v>
          </cell>
        </row>
        <row r="34">
          <cell r="C34" t="str">
            <v>3515032306880002</v>
          </cell>
          <cell r="D34" t="str">
            <v>25077451737</v>
          </cell>
        </row>
        <row r="35">
          <cell r="C35" t="str">
            <v>3506210403840002</v>
          </cell>
          <cell r="D35" t="str">
            <v>25077451711</v>
          </cell>
        </row>
        <row r="36">
          <cell r="C36" t="str">
            <v>3517111501920001</v>
          </cell>
          <cell r="D36" t="str">
            <v>25077451703</v>
          </cell>
        </row>
        <row r="37">
          <cell r="C37" t="str">
            <v>3578100509920003</v>
          </cell>
          <cell r="D37" t="str">
            <v>25077451687</v>
          </cell>
        </row>
        <row r="38">
          <cell r="C38" t="str">
            <v>3509131608860003</v>
          </cell>
          <cell r="D38" t="str">
            <v>25077451661</v>
          </cell>
        </row>
        <row r="39">
          <cell r="C39" t="str">
            <v>3509213103990004</v>
          </cell>
          <cell r="D39" t="str">
            <v>25077451646</v>
          </cell>
        </row>
        <row r="40">
          <cell r="C40" t="str">
            <v>3509170111920002</v>
          </cell>
          <cell r="D40" t="str">
            <v>25077451620</v>
          </cell>
        </row>
        <row r="41">
          <cell r="C41" t="str">
            <v>3175060807920003</v>
          </cell>
          <cell r="D41" t="str">
            <v>25077451604</v>
          </cell>
        </row>
        <row r="42">
          <cell r="C42" t="str">
            <v>3275060510950029</v>
          </cell>
          <cell r="D42" t="str">
            <v>25077451588</v>
          </cell>
        </row>
        <row r="43">
          <cell r="C43" t="str">
            <v>3275041508820047</v>
          </cell>
          <cell r="D43" t="str">
            <v>25077451562</v>
          </cell>
        </row>
        <row r="44">
          <cell r="C44" t="str">
            <v>3216022209850010</v>
          </cell>
          <cell r="D44" t="str">
            <v>25077451547</v>
          </cell>
        </row>
        <row r="45">
          <cell r="C45" t="str">
            <v>3216025202950006</v>
          </cell>
          <cell r="D45" t="str">
            <v>25077451505</v>
          </cell>
        </row>
        <row r="46">
          <cell r="C46" t="str">
            <v>3273180507850002</v>
          </cell>
          <cell r="D46" t="str">
            <v>25077451489</v>
          </cell>
        </row>
        <row r="47">
          <cell r="C47" t="str">
            <v>3273082703900004</v>
          </cell>
          <cell r="D47" t="str">
            <v>25077451463</v>
          </cell>
        </row>
        <row r="48">
          <cell r="C48" t="str">
            <v>3175081806950004</v>
          </cell>
          <cell r="D48" t="str">
            <v>25077451448</v>
          </cell>
        </row>
        <row r="49">
          <cell r="C49" t="str">
            <v>3174060802750004</v>
          </cell>
          <cell r="D49" t="str">
            <v>25077451414</v>
          </cell>
        </row>
        <row r="50">
          <cell r="C50" t="str">
            <v>6171041204010007</v>
          </cell>
          <cell r="D50" t="str">
            <v>25077451380</v>
          </cell>
        </row>
        <row r="51">
          <cell r="C51" t="str">
            <v>1671064507870011</v>
          </cell>
          <cell r="D51" t="str">
            <v>25077451364</v>
          </cell>
        </row>
        <row r="52">
          <cell r="C52" t="str">
            <v>1607100609950005</v>
          </cell>
          <cell r="D52" t="str">
            <v>25077451349</v>
          </cell>
        </row>
        <row r="53">
          <cell r="C53" t="str">
            <v>1607010204970004</v>
          </cell>
          <cell r="D53" t="str">
            <v>25077451323</v>
          </cell>
        </row>
        <row r="54">
          <cell r="C54" t="str">
            <v>3276021610940014</v>
          </cell>
          <cell r="D54" t="str">
            <v>25077451299</v>
          </cell>
        </row>
        <row r="55">
          <cell r="C55" t="str">
            <v>3603220304910001</v>
          </cell>
          <cell r="D55" t="str">
            <v>25077451281</v>
          </cell>
        </row>
        <row r="56">
          <cell r="C56" t="str">
            <v>3201205208960010</v>
          </cell>
          <cell r="D56" t="str">
            <v>25077451273</v>
          </cell>
        </row>
        <row r="57">
          <cell r="C57" t="str">
            <v>3603222706890003</v>
          </cell>
          <cell r="D57" t="str">
            <v>25077451257</v>
          </cell>
        </row>
        <row r="58">
          <cell r="C58" t="str">
            <v>3471031210800001</v>
          </cell>
          <cell r="D58" t="str">
            <v>25077451232</v>
          </cell>
        </row>
        <row r="59">
          <cell r="C59" t="str">
            <v>3404062702960006</v>
          </cell>
          <cell r="D59" t="str">
            <v>25077451224</v>
          </cell>
        </row>
        <row r="60">
          <cell r="C60" t="str">
            <v>3311101212970003</v>
          </cell>
          <cell r="D60" t="str">
            <v>25077451216</v>
          </cell>
        </row>
        <row r="61">
          <cell r="C61" t="str">
            <v>3209192001870004</v>
          </cell>
          <cell r="D61" t="str">
            <v>25077451190</v>
          </cell>
        </row>
        <row r="62">
          <cell r="C62" t="str">
            <v>3209221008960004</v>
          </cell>
          <cell r="D62" t="str">
            <v>25077451174</v>
          </cell>
        </row>
        <row r="63">
          <cell r="C63" t="str">
            <v>6303141712880001</v>
          </cell>
          <cell r="D63" t="str">
            <v>25077451158</v>
          </cell>
        </row>
        <row r="64">
          <cell r="C64" t="str">
            <v>6304041108920001</v>
          </cell>
          <cell r="D64" t="str">
            <v>25077451141</v>
          </cell>
        </row>
        <row r="65">
          <cell r="C65" t="str">
            <v>6371032810990005</v>
          </cell>
          <cell r="D65" t="str">
            <v>25077451133</v>
          </cell>
        </row>
        <row r="66">
          <cell r="C66" t="str">
            <v>3175082512970006</v>
          </cell>
          <cell r="D66" t="str">
            <v>25077451125</v>
          </cell>
        </row>
        <row r="67">
          <cell r="C67" t="str">
            <v>3212282405890001</v>
          </cell>
          <cell r="D67" t="str">
            <v>25077451117</v>
          </cell>
        </row>
        <row r="68">
          <cell r="C68" t="str">
            <v>3329072207880001</v>
          </cell>
          <cell r="D68" t="str">
            <v>25077451091</v>
          </cell>
        </row>
        <row r="69">
          <cell r="C69" t="str">
            <v>3171031511800007</v>
          </cell>
          <cell r="D69" t="str">
            <v>25077451083</v>
          </cell>
        </row>
        <row r="70">
          <cell r="C70" t="str">
            <v>3174021303890002</v>
          </cell>
          <cell r="D70" t="str">
            <v>25077451075</v>
          </cell>
        </row>
        <row r="71">
          <cell r="C71" t="str">
            <v>3202331001940009</v>
          </cell>
          <cell r="D71" t="str">
            <v>25077451067</v>
          </cell>
        </row>
        <row r="72">
          <cell r="C72" t="str">
            <v>3201400809870006</v>
          </cell>
          <cell r="D72" t="str">
            <v>25077450812</v>
          </cell>
        </row>
        <row r="73">
          <cell r="C73" t="str">
            <v>3327066502990002</v>
          </cell>
          <cell r="D73" t="str">
            <v>25077450804</v>
          </cell>
        </row>
        <row r="74">
          <cell r="C74" t="str">
            <v>3175062204760022</v>
          </cell>
          <cell r="D74" t="str">
            <v>25077450796</v>
          </cell>
        </row>
        <row r="75">
          <cell r="C75" t="str">
            <v>3206102006940001</v>
          </cell>
          <cell r="D75" t="str">
            <v>25077450788</v>
          </cell>
        </row>
        <row r="76">
          <cell r="C76" t="str">
            <v>3275122709010003</v>
          </cell>
          <cell r="D76" t="str">
            <v>25077450770</v>
          </cell>
        </row>
        <row r="77">
          <cell r="C77" t="str">
            <v>3175020604880002</v>
          </cell>
          <cell r="D77" t="str">
            <v>25077450762</v>
          </cell>
        </row>
        <row r="78">
          <cell r="C78" t="str">
            <v>3174012606920006</v>
          </cell>
          <cell r="D78" t="str">
            <v>25077450747</v>
          </cell>
        </row>
        <row r="79">
          <cell r="C79" t="str">
            <v>3325082003920001</v>
          </cell>
          <cell r="D79" t="str">
            <v>25077450911</v>
          </cell>
        </row>
        <row r="80">
          <cell r="C80" t="str">
            <v>3175022308990006</v>
          </cell>
          <cell r="D80" t="str">
            <v>25077450903</v>
          </cell>
        </row>
        <row r="81">
          <cell r="C81" t="str">
            <v>3175061008900008</v>
          </cell>
          <cell r="D81" t="str">
            <v>25077450895</v>
          </cell>
        </row>
        <row r="82">
          <cell r="C82" t="str">
            <v>3172041209940003</v>
          </cell>
          <cell r="D82" t="str">
            <v>25077450887</v>
          </cell>
        </row>
        <row r="83">
          <cell r="C83" t="str">
            <v>3172041903990007</v>
          </cell>
          <cell r="D83" t="str">
            <v>25077450879</v>
          </cell>
        </row>
        <row r="84">
          <cell r="C84" t="str">
            <v>3174011911960003</v>
          </cell>
          <cell r="D84" t="str">
            <v>25077450861</v>
          </cell>
        </row>
        <row r="85">
          <cell r="C85" t="str">
            <v>3174015309970008</v>
          </cell>
          <cell r="D85" t="str">
            <v>25077450853</v>
          </cell>
        </row>
        <row r="86">
          <cell r="C86" t="str">
            <v>3172040403981001</v>
          </cell>
          <cell r="D86" t="str">
            <v>25077450846</v>
          </cell>
        </row>
        <row r="87">
          <cell r="C87" t="str">
            <v>3172042702920003</v>
          </cell>
          <cell r="D87" t="str">
            <v>25077450838</v>
          </cell>
        </row>
        <row r="88">
          <cell r="C88" t="str">
            <v>3175061201790002</v>
          </cell>
          <cell r="D88" t="str">
            <v>25077450820</v>
          </cell>
        </row>
        <row r="89">
          <cell r="C89" t="str">
            <v>3175013107940001</v>
          </cell>
          <cell r="D89" t="str">
            <v>25077451059</v>
          </cell>
        </row>
        <row r="90">
          <cell r="C90" t="str">
            <v>3172041108930004</v>
          </cell>
          <cell r="D90" t="str">
            <v>25077451042</v>
          </cell>
        </row>
        <row r="91">
          <cell r="C91" t="str">
            <v>3174081308980001</v>
          </cell>
          <cell r="D91" t="str">
            <v>25077451034</v>
          </cell>
        </row>
        <row r="92">
          <cell r="C92" t="str">
            <v>7106022907940002</v>
          </cell>
          <cell r="D92" t="str">
            <v>25077451018</v>
          </cell>
        </row>
        <row r="93">
          <cell r="C93" t="str">
            <v>3172041402960008</v>
          </cell>
          <cell r="D93" t="str">
            <v>25077451000</v>
          </cell>
        </row>
        <row r="94">
          <cell r="C94" t="str">
            <v>3172040704910003</v>
          </cell>
          <cell r="D94" t="str">
            <v>25077450994</v>
          </cell>
        </row>
        <row r="95">
          <cell r="C95" t="str">
            <v>3174021606960001</v>
          </cell>
          <cell r="D95" t="str">
            <v>25077450986</v>
          </cell>
        </row>
        <row r="96">
          <cell r="C96" t="str">
            <v>3671135104890005</v>
          </cell>
          <cell r="D96" t="str">
            <v>25077450952</v>
          </cell>
        </row>
        <row r="97">
          <cell r="C97" t="str">
            <v>3175032506960004</v>
          </cell>
          <cell r="D97" t="str">
            <v>25077450945</v>
          </cell>
        </row>
        <row r="98">
          <cell r="C98" t="str">
            <v>3172046008940008</v>
          </cell>
          <cell r="D98" t="str">
            <v>25077450937</v>
          </cell>
        </row>
        <row r="99">
          <cell r="C99" t="str">
            <v>3175086807940001</v>
          </cell>
          <cell r="D99" t="str">
            <v>25077450929</v>
          </cell>
        </row>
        <row r="100">
          <cell r="C100" t="str">
            <v>3172040809980011</v>
          </cell>
          <cell r="D100" t="str">
            <v>25077450978</v>
          </cell>
        </row>
        <row r="101">
          <cell r="C101" t="str">
            <v>3216011309970002</v>
          </cell>
          <cell r="D101" t="str">
            <v>25077450267</v>
          </cell>
        </row>
        <row r="102">
          <cell r="C102" t="str">
            <v>3404110210000001</v>
          </cell>
          <cell r="D102" t="str">
            <v>25077450259</v>
          </cell>
        </row>
        <row r="103">
          <cell r="C103" t="str">
            <v>5310121807950006</v>
          </cell>
          <cell r="D103" t="str">
            <v>25077450739</v>
          </cell>
        </row>
        <row r="104">
          <cell r="C104" t="str">
            <v>8101120805010003</v>
          </cell>
          <cell r="D104" t="str">
            <v>25077450721</v>
          </cell>
        </row>
        <row r="105">
          <cell r="C105" t="str">
            <v>3674032707760008</v>
          </cell>
          <cell r="D105" t="str">
            <v>25077450713</v>
          </cell>
        </row>
        <row r="106">
          <cell r="C106" t="str">
            <v>3521162511830001</v>
          </cell>
          <cell r="D106" t="str">
            <v>25077450705</v>
          </cell>
        </row>
        <row r="107">
          <cell r="C107" t="str">
            <v>3578312205920001</v>
          </cell>
          <cell r="D107" t="str">
            <v>25077450697</v>
          </cell>
        </row>
        <row r="108">
          <cell r="C108" t="str">
            <v>3578102003950001</v>
          </cell>
          <cell r="D108" t="str">
            <v>25077450689</v>
          </cell>
        </row>
        <row r="109">
          <cell r="C109" t="str">
            <v>7104062112930001</v>
          </cell>
          <cell r="D109" t="str">
            <v>25077450671</v>
          </cell>
        </row>
        <row r="110">
          <cell r="C110" t="str">
            <v>3509191905000004</v>
          </cell>
          <cell r="D110" t="str">
            <v>25077450663</v>
          </cell>
        </row>
        <row r="111">
          <cell r="C111" t="str">
            <v>3509230311950004</v>
          </cell>
          <cell r="D111" t="str">
            <v>25077450655</v>
          </cell>
        </row>
        <row r="112">
          <cell r="C112" t="str">
            <v>3509180204990005</v>
          </cell>
          <cell r="D112" t="str">
            <v>25077450630</v>
          </cell>
        </row>
        <row r="113">
          <cell r="C113" t="str">
            <v>3509223008920001</v>
          </cell>
          <cell r="D113" t="str">
            <v>25077450622</v>
          </cell>
        </row>
        <row r="114">
          <cell r="C114" t="str">
            <v>3306150208920001</v>
          </cell>
          <cell r="D114" t="str">
            <v>25077450614</v>
          </cell>
        </row>
        <row r="115">
          <cell r="C115" t="str">
            <v>5315022212970004</v>
          </cell>
          <cell r="D115" t="str">
            <v>25077450606</v>
          </cell>
        </row>
        <row r="116">
          <cell r="C116" t="str">
            <v>6108020512050003</v>
          </cell>
          <cell r="D116" t="str">
            <v>25077450580</v>
          </cell>
        </row>
        <row r="117">
          <cell r="C117" t="str">
            <v>3603220311820001</v>
          </cell>
          <cell r="D117" t="str">
            <v>25077450572</v>
          </cell>
        </row>
        <row r="118">
          <cell r="C118" t="str">
            <v>3603032910860002</v>
          </cell>
          <cell r="D118" t="str">
            <v>25077450564</v>
          </cell>
        </row>
        <row r="119">
          <cell r="C119" t="str">
            <v>3603280506800015</v>
          </cell>
          <cell r="D119" t="str">
            <v>25077450556</v>
          </cell>
        </row>
        <row r="120">
          <cell r="C120" t="str">
            <v>3603230202860007</v>
          </cell>
          <cell r="D120" t="str">
            <v>25077450549</v>
          </cell>
        </row>
        <row r="121">
          <cell r="C121" t="str">
            <v>3674020801000006</v>
          </cell>
          <cell r="D121" t="str">
            <v>25077450531</v>
          </cell>
        </row>
        <row r="122">
          <cell r="C122" t="str">
            <v>3212011009930001</v>
          </cell>
          <cell r="D122" t="str">
            <v>25077450523</v>
          </cell>
        </row>
        <row r="123">
          <cell r="C123" t="str">
            <v>3212310511920002</v>
          </cell>
          <cell r="D123" t="str">
            <v>25077450515</v>
          </cell>
        </row>
        <row r="124">
          <cell r="C124" t="str">
            <v>3201112705860001</v>
          </cell>
          <cell r="D124" t="str">
            <v>25077450507</v>
          </cell>
        </row>
        <row r="125">
          <cell r="C125" t="str">
            <v>3202321008980002</v>
          </cell>
          <cell r="D125" t="str">
            <v>25077450499</v>
          </cell>
        </row>
        <row r="126">
          <cell r="C126" t="str">
            <v>3603111102060003</v>
          </cell>
          <cell r="D126" t="str">
            <v>25077450481</v>
          </cell>
        </row>
        <row r="127">
          <cell r="C127" t="str">
            <v>1210182802040003</v>
          </cell>
          <cell r="D127" t="str">
            <v>25077450473</v>
          </cell>
        </row>
        <row r="128">
          <cell r="C128" t="str">
            <v>3208141704950003</v>
          </cell>
          <cell r="D128" t="str">
            <v>25077450465</v>
          </cell>
        </row>
        <row r="129">
          <cell r="C129" t="str">
            <v>6371022608990006</v>
          </cell>
          <cell r="D129" t="str">
            <v>25077450457</v>
          </cell>
        </row>
        <row r="130">
          <cell r="C130" t="str">
            <v>6304055408850002</v>
          </cell>
          <cell r="D130" t="str">
            <v>25077450440</v>
          </cell>
        </row>
        <row r="131">
          <cell r="C131" t="str">
            <v>6304050107060006</v>
          </cell>
          <cell r="D131" t="str">
            <v>25077450432</v>
          </cell>
        </row>
        <row r="132">
          <cell r="C132" t="str">
            <v>8205180507920001</v>
          </cell>
          <cell r="D132" t="str">
            <v>25077450424</v>
          </cell>
        </row>
        <row r="133">
          <cell r="C133" t="str">
            <v>3175011912900002</v>
          </cell>
          <cell r="D133" t="str">
            <v>25077450416</v>
          </cell>
        </row>
        <row r="134">
          <cell r="C134" t="str">
            <v>3175103009910002</v>
          </cell>
          <cell r="D134" t="str">
            <v>25077450408</v>
          </cell>
        </row>
        <row r="135">
          <cell r="C135" t="str">
            <v>3175070608830004</v>
          </cell>
          <cell r="D135" t="str">
            <v>25077450382</v>
          </cell>
        </row>
        <row r="136">
          <cell r="C136" t="str">
            <v>1301040607840003</v>
          </cell>
          <cell r="D136" t="str">
            <v>25077450374</v>
          </cell>
        </row>
        <row r="137">
          <cell r="C137" t="str">
            <v>3175100412820005</v>
          </cell>
          <cell r="D137" t="str">
            <v>25077450366</v>
          </cell>
        </row>
        <row r="138">
          <cell r="C138" t="str">
            <v>3275092306910007</v>
          </cell>
          <cell r="D138" t="str">
            <v>25077450358</v>
          </cell>
        </row>
        <row r="139">
          <cell r="C139" t="str">
            <v>7371130205820007</v>
          </cell>
          <cell r="D139" t="str">
            <v>25077450341</v>
          </cell>
        </row>
        <row r="140">
          <cell r="C140" t="str">
            <v>7306162108950003</v>
          </cell>
          <cell r="D140" t="str">
            <v>25077450325</v>
          </cell>
        </row>
        <row r="141">
          <cell r="C141" t="str">
            <v>7306012002000002</v>
          </cell>
          <cell r="D141" t="str">
            <v>25077450317</v>
          </cell>
        </row>
        <row r="142">
          <cell r="C142" t="str">
            <v>5301052009930002</v>
          </cell>
          <cell r="D142" t="str">
            <v>25077450309</v>
          </cell>
        </row>
        <row r="143">
          <cell r="C143" t="str">
            <v>5371040310860005</v>
          </cell>
          <cell r="D143" t="str">
            <v>25077450291</v>
          </cell>
        </row>
        <row r="144">
          <cell r="C144" t="str">
            <v>3173081601780004</v>
          </cell>
          <cell r="D144" t="str">
            <v>25077450275</v>
          </cell>
        </row>
        <row r="145">
          <cell r="C145" t="str">
            <v>5271050605990003</v>
          </cell>
          <cell r="D145" t="str">
            <v>25060699995</v>
          </cell>
        </row>
        <row r="146">
          <cell r="C146" t="str">
            <v>3209391903950002</v>
          </cell>
          <cell r="D146" t="str">
            <v>25060699722</v>
          </cell>
        </row>
        <row r="147">
          <cell r="C147" t="str">
            <v>1201046705980001</v>
          </cell>
          <cell r="D147" t="str">
            <v>25060699979</v>
          </cell>
        </row>
        <row r="148">
          <cell r="C148" t="str">
            <v>1608160905050001</v>
          </cell>
          <cell r="D148" t="str">
            <v>25060699961</v>
          </cell>
        </row>
        <row r="149">
          <cell r="C149" t="str">
            <v>3311090901020001</v>
          </cell>
          <cell r="D149" t="str">
            <v>25060699953</v>
          </cell>
        </row>
        <row r="150">
          <cell r="C150" t="str">
            <v>3175076202971002</v>
          </cell>
          <cell r="D150" t="str">
            <v>25060699946</v>
          </cell>
        </row>
        <row r="151">
          <cell r="C151" t="str">
            <v>3175030203960006</v>
          </cell>
          <cell r="D151" t="str">
            <v>25060699938</v>
          </cell>
        </row>
        <row r="152">
          <cell r="C152" t="str">
            <v>3215265408910005</v>
          </cell>
          <cell r="D152" t="str">
            <v>25060699912</v>
          </cell>
        </row>
        <row r="153">
          <cell r="C153" t="str">
            <v>6471030204830003</v>
          </cell>
          <cell r="D153" t="str">
            <v>25060699904</v>
          </cell>
        </row>
        <row r="154">
          <cell r="C154" t="str">
            <v>3671081602990005</v>
          </cell>
          <cell r="D154" t="str">
            <v>25060699896</v>
          </cell>
        </row>
        <row r="155">
          <cell r="C155" t="str">
            <v>1371037101930003</v>
          </cell>
          <cell r="D155" t="str">
            <v>25060699888</v>
          </cell>
        </row>
        <row r="156">
          <cell r="C156" t="str">
            <v>3172045103940003</v>
          </cell>
          <cell r="D156" t="str">
            <v>25060699870</v>
          </cell>
        </row>
        <row r="157">
          <cell r="C157" t="str">
            <v>6473032212970003</v>
          </cell>
          <cell r="D157" t="str">
            <v>25060699862</v>
          </cell>
        </row>
        <row r="158">
          <cell r="C158" t="str">
            <v>3601090107950209</v>
          </cell>
          <cell r="D158" t="str">
            <v>25060699854</v>
          </cell>
        </row>
        <row r="159">
          <cell r="C159" t="str">
            <v>3603232808010004</v>
          </cell>
          <cell r="D159" t="str">
            <v>25060699847</v>
          </cell>
        </row>
        <row r="160">
          <cell r="C160" t="str">
            <v>3510166207990001</v>
          </cell>
          <cell r="D160" t="str">
            <v>25060699839</v>
          </cell>
        </row>
        <row r="161">
          <cell r="C161" t="str">
            <v>3175032105990002</v>
          </cell>
          <cell r="D161" t="str">
            <v>25060699821</v>
          </cell>
        </row>
        <row r="162">
          <cell r="C162" t="str">
            <v>1101061111030002</v>
          </cell>
          <cell r="D162" t="str">
            <v>25060699813</v>
          </cell>
        </row>
        <row r="163">
          <cell r="C163" t="str">
            <v>1505012707010001</v>
          </cell>
          <cell r="D163" t="str">
            <v>25060699805</v>
          </cell>
        </row>
        <row r="164">
          <cell r="C164" t="str">
            <v>3208150401930003</v>
          </cell>
          <cell r="D164" t="str">
            <v>25060699797</v>
          </cell>
        </row>
        <row r="165">
          <cell r="C165" t="str">
            <v>3175061101800023</v>
          </cell>
          <cell r="D165" t="str">
            <v>25060699789</v>
          </cell>
        </row>
        <row r="166">
          <cell r="C166" t="str">
            <v>3171080405940001</v>
          </cell>
          <cell r="D166" t="str">
            <v>25060699771</v>
          </cell>
        </row>
        <row r="167">
          <cell r="C167" t="str">
            <v>3174082610960002</v>
          </cell>
          <cell r="D167" t="str">
            <v>25051200928</v>
          </cell>
        </row>
        <row r="168">
          <cell r="C168" t="str">
            <v>3275022506990013</v>
          </cell>
          <cell r="D168" t="str">
            <v>25051200902</v>
          </cell>
        </row>
        <row r="169">
          <cell r="C169" t="str">
            <v>3175093012870005</v>
          </cell>
          <cell r="D169" t="str">
            <v>25051200894</v>
          </cell>
        </row>
        <row r="170">
          <cell r="C170" t="str">
            <v>3578251605970001</v>
          </cell>
          <cell r="D170" t="str">
            <v>25051200886</v>
          </cell>
        </row>
        <row r="171">
          <cell r="C171" t="str">
            <v>3515010304880001</v>
          </cell>
          <cell r="D171" t="str">
            <v>25051200878</v>
          </cell>
        </row>
        <row r="172">
          <cell r="C172" t="str">
            <v>3316040912810002</v>
          </cell>
          <cell r="D172" t="str">
            <v>25051200860</v>
          </cell>
        </row>
        <row r="173">
          <cell r="C173" t="str">
            <v>3504110405980002</v>
          </cell>
          <cell r="D173" t="str">
            <v>25051200852</v>
          </cell>
        </row>
        <row r="174">
          <cell r="C174" t="str">
            <v>3515112305980003</v>
          </cell>
          <cell r="D174" t="str">
            <v>25051200845</v>
          </cell>
        </row>
        <row r="175">
          <cell r="C175" t="str">
            <v>3573021209860002</v>
          </cell>
          <cell r="D175" t="str">
            <v>25051200829</v>
          </cell>
        </row>
        <row r="176">
          <cell r="C176" t="str">
            <v>3573031304920003</v>
          </cell>
          <cell r="D176" t="str">
            <v>25051200811</v>
          </cell>
        </row>
        <row r="177">
          <cell r="C177" t="str">
            <v>3573021205820003</v>
          </cell>
          <cell r="D177" t="str">
            <v>25051200803</v>
          </cell>
        </row>
        <row r="178">
          <cell r="C178" t="str">
            <v>3507171009950001</v>
          </cell>
          <cell r="D178" t="str">
            <v>25051200795</v>
          </cell>
        </row>
        <row r="179">
          <cell r="C179" t="str">
            <v>3507242707980002</v>
          </cell>
          <cell r="D179" t="str">
            <v>25051200787</v>
          </cell>
        </row>
        <row r="180">
          <cell r="C180" t="str">
            <v>3573051010700008</v>
          </cell>
          <cell r="D180" t="str">
            <v>25051200779</v>
          </cell>
        </row>
        <row r="181">
          <cell r="C181" t="str">
            <v>3571011406850006</v>
          </cell>
          <cell r="D181" t="str">
            <v>25051200761</v>
          </cell>
        </row>
        <row r="182">
          <cell r="C182" t="str">
            <v>1207232812930008</v>
          </cell>
          <cell r="D182" t="str">
            <v>25051200746</v>
          </cell>
        </row>
        <row r="183">
          <cell r="C183" t="str">
            <v>1271060306910008</v>
          </cell>
          <cell r="D183" t="str">
            <v>25051200738</v>
          </cell>
        </row>
        <row r="184">
          <cell r="C184" t="str">
            <v>1174041909950001</v>
          </cell>
          <cell r="D184" t="str">
            <v>25051200720</v>
          </cell>
        </row>
        <row r="185">
          <cell r="C185" t="str">
            <v>1271050507960001</v>
          </cell>
          <cell r="D185" t="str">
            <v>25051200712</v>
          </cell>
        </row>
        <row r="186">
          <cell r="C186" t="str">
            <v>1271150804900001</v>
          </cell>
          <cell r="D186" t="str">
            <v>25051200704</v>
          </cell>
        </row>
        <row r="187">
          <cell r="C187" t="str">
            <v>1271152102920003</v>
          </cell>
          <cell r="D187" t="str">
            <v>25051200696</v>
          </cell>
        </row>
        <row r="188">
          <cell r="C188" t="str">
            <v>1211103007960001</v>
          </cell>
          <cell r="D188" t="str">
            <v>25051200688</v>
          </cell>
        </row>
        <row r="189">
          <cell r="C189" t="str">
            <v>3271012212830014</v>
          </cell>
          <cell r="D189" t="str">
            <v>25051200670</v>
          </cell>
        </row>
        <row r="190">
          <cell r="C190" t="str">
            <v>3328011911950006</v>
          </cell>
          <cell r="D190" t="str">
            <v>25051200662</v>
          </cell>
        </row>
        <row r="191">
          <cell r="C191" t="str">
            <v>3312110903960001</v>
          </cell>
          <cell r="D191" t="str">
            <v>25051200654</v>
          </cell>
        </row>
        <row r="192">
          <cell r="C192" t="str">
            <v>3215032812830001</v>
          </cell>
          <cell r="D192" t="str">
            <v>25051200647</v>
          </cell>
        </row>
        <row r="193">
          <cell r="C193" t="str">
            <v>3215032212900001</v>
          </cell>
          <cell r="D193" t="str">
            <v>25051200639</v>
          </cell>
        </row>
        <row r="194">
          <cell r="C194" t="str">
            <v>3215260208820001</v>
          </cell>
          <cell r="D194" t="str">
            <v>25051200621</v>
          </cell>
        </row>
        <row r="195">
          <cell r="C195" t="str">
            <v>3175064210931004</v>
          </cell>
          <cell r="D195" t="str">
            <v>25051200613</v>
          </cell>
        </row>
        <row r="196">
          <cell r="C196" t="str">
            <v>3307140204920004</v>
          </cell>
          <cell r="D196" t="str">
            <v>25051200605</v>
          </cell>
        </row>
        <row r="197">
          <cell r="C197" t="str">
            <v>3273242705930005</v>
          </cell>
          <cell r="D197" t="str">
            <v>25051200597</v>
          </cell>
        </row>
        <row r="198">
          <cell r="C198" t="str">
            <v>1106070506960005</v>
          </cell>
          <cell r="D198" t="str">
            <v>25051200589</v>
          </cell>
        </row>
        <row r="199">
          <cell r="C199" t="str">
            <v>1171042612870002</v>
          </cell>
          <cell r="D199" t="str">
            <v>25051200571</v>
          </cell>
        </row>
        <row r="200">
          <cell r="C200" t="str">
            <v>1171042904870001</v>
          </cell>
          <cell r="D200" t="str">
            <v>25051200563</v>
          </cell>
        </row>
        <row r="201">
          <cell r="C201" t="str">
            <v>1171070906040001</v>
          </cell>
          <cell r="D201" t="str">
            <v>25051200555</v>
          </cell>
        </row>
        <row r="202">
          <cell r="C202" t="str">
            <v>1171042404830001</v>
          </cell>
          <cell r="D202" t="str">
            <v>25051200548</v>
          </cell>
        </row>
        <row r="203">
          <cell r="C203" t="str">
            <v>1971031906050001</v>
          </cell>
          <cell r="D203" t="str">
            <v>25051200530</v>
          </cell>
        </row>
        <row r="204">
          <cell r="C204" t="str">
            <v>1971051011000003</v>
          </cell>
          <cell r="D204" t="str">
            <v>25051200522</v>
          </cell>
        </row>
        <row r="205">
          <cell r="C205" t="str">
            <v>1971031111920001</v>
          </cell>
          <cell r="D205" t="str">
            <v>25051200514</v>
          </cell>
        </row>
        <row r="206">
          <cell r="C206" t="str">
            <v>6473033003030007</v>
          </cell>
          <cell r="D206" t="str">
            <v>25051200506</v>
          </cell>
        </row>
        <row r="207">
          <cell r="C207" t="str">
            <v>3201342609030001</v>
          </cell>
          <cell r="D207" t="str">
            <v>25051200498</v>
          </cell>
        </row>
        <row r="208">
          <cell r="C208" t="str">
            <v>3674062811990004</v>
          </cell>
          <cell r="D208" t="str">
            <v>25051200480</v>
          </cell>
        </row>
        <row r="209">
          <cell r="C209" t="str">
            <v>3174091701000010</v>
          </cell>
          <cell r="D209" t="str">
            <v>25051200472</v>
          </cell>
        </row>
        <row r="210">
          <cell r="C210" t="str">
            <v>6472052106060007</v>
          </cell>
          <cell r="D210" t="str">
            <v>25051200464</v>
          </cell>
        </row>
        <row r="211">
          <cell r="C211" t="str">
            <v>6472050202940007</v>
          </cell>
          <cell r="D211" t="str">
            <v>25051200456</v>
          </cell>
        </row>
        <row r="212">
          <cell r="C212" t="str">
            <v>1607012605970005</v>
          </cell>
          <cell r="D212" t="str">
            <v>25051200449</v>
          </cell>
        </row>
        <row r="213">
          <cell r="C213" t="str">
            <v>1671060304960008</v>
          </cell>
          <cell r="D213" t="str">
            <v>25051200431</v>
          </cell>
        </row>
        <row r="214">
          <cell r="C214" t="str">
            <v>1671031701960007</v>
          </cell>
          <cell r="D214" t="str">
            <v>25051200423</v>
          </cell>
        </row>
        <row r="215">
          <cell r="C215" t="str">
            <v>1671072101030007</v>
          </cell>
          <cell r="D215" t="str">
            <v>25051200415</v>
          </cell>
        </row>
        <row r="216">
          <cell r="C216" t="str">
            <v>1671140712870006</v>
          </cell>
          <cell r="D216" t="str">
            <v>25051200407</v>
          </cell>
        </row>
        <row r="217">
          <cell r="C217" t="str">
            <v>3201371901970004</v>
          </cell>
          <cell r="D217" t="str">
            <v>25051200399</v>
          </cell>
        </row>
        <row r="218">
          <cell r="C218" t="str">
            <v>1571020902020042</v>
          </cell>
          <cell r="D218" t="str">
            <v>25051200381</v>
          </cell>
        </row>
        <row r="219">
          <cell r="C219" t="str">
            <v>1472022202030042</v>
          </cell>
          <cell r="D219" t="str">
            <v>25051200365</v>
          </cell>
        </row>
        <row r="220">
          <cell r="C220" t="str">
            <v>1571072710030121</v>
          </cell>
          <cell r="D220" t="str">
            <v>25051200340</v>
          </cell>
        </row>
        <row r="221">
          <cell r="C221" t="str">
            <v>1505062611990006</v>
          </cell>
          <cell r="D221" t="str">
            <v>25051200332</v>
          </cell>
        </row>
        <row r="222">
          <cell r="C222" t="str">
            <v>6471012307980001</v>
          </cell>
          <cell r="D222" t="str">
            <v>25051200316</v>
          </cell>
        </row>
        <row r="223">
          <cell r="C223" t="str">
            <v>6471020906020003</v>
          </cell>
          <cell r="D223" t="str">
            <v>25051200290</v>
          </cell>
        </row>
        <row r="224">
          <cell r="C224" t="str">
            <v>6471022310010002</v>
          </cell>
          <cell r="D224" t="str">
            <v>25051200282</v>
          </cell>
        </row>
        <row r="225">
          <cell r="C225" t="str">
            <v>1771060503970002</v>
          </cell>
          <cell r="D225" t="str">
            <v>25051200266</v>
          </cell>
        </row>
        <row r="226">
          <cell r="C226" t="str">
            <v>1709010608990002</v>
          </cell>
          <cell r="D226" t="str">
            <v>25051200258</v>
          </cell>
        </row>
        <row r="227">
          <cell r="C227" t="str">
            <v>1704080404980001</v>
          </cell>
          <cell r="D227" t="str">
            <v>25051200241</v>
          </cell>
        </row>
        <row r="228">
          <cell r="C228" t="str">
            <v>1611022301970002</v>
          </cell>
          <cell r="D228" t="str">
            <v>25051200233</v>
          </cell>
        </row>
        <row r="229">
          <cell r="C229" t="str">
            <v>6471055501010002</v>
          </cell>
          <cell r="D229" t="str">
            <v>25051200217</v>
          </cell>
        </row>
        <row r="230">
          <cell r="C230" t="str">
            <v>3603200202920003</v>
          </cell>
          <cell r="D230" t="str">
            <v>25051200191</v>
          </cell>
        </row>
        <row r="231">
          <cell r="C231" t="str">
            <v>3671011405990009</v>
          </cell>
          <cell r="D231" t="str">
            <v>25051200183</v>
          </cell>
        </row>
        <row r="232">
          <cell r="C232" t="str">
            <v>3673012308980002</v>
          </cell>
          <cell r="D232" t="str">
            <v>25051200175</v>
          </cell>
        </row>
        <row r="233">
          <cell r="C233" t="str">
            <v>3276031504020001</v>
          </cell>
          <cell r="D233" t="str">
            <v>25051200167</v>
          </cell>
        </row>
        <row r="234">
          <cell r="C234" t="str">
            <v>3201111906010001</v>
          </cell>
          <cell r="D234" t="str">
            <v>25051200159</v>
          </cell>
        </row>
        <row r="235">
          <cell r="C235" t="str">
            <v>3674071803000001</v>
          </cell>
          <cell r="D235" t="str">
            <v>25051200142</v>
          </cell>
        </row>
        <row r="236">
          <cell r="C236" t="str">
            <v>3201111409990002</v>
          </cell>
          <cell r="D236" t="str">
            <v>25051200134</v>
          </cell>
        </row>
        <row r="237">
          <cell r="C237" t="str">
            <v>3674062703990004</v>
          </cell>
          <cell r="D237" t="str">
            <v>25051200126</v>
          </cell>
        </row>
        <row r="238">
          <cell r="C238" t="str">
            <v>3674012810020003</v>
          </cell>
          <cell r="D238" t="str">
            <v>25051200118</v>
          </cell>
        </row>
        <row r="239">
          <cell r="C239" t="str">
            <v>1401040110970001</v>
          </cell>
          <cell r="D239" t="str">
            <v>25051200100</v>
          </cell>
        </row>
        <row r="240">
          <cell r="C240" t="str">
            <v>1304030409980002</v>
          </cell>
          <cell r="D240" t="str">
            <v>25051200092</v>
          </cell>
        </row>
        <row r="241">
          <cell r="C241" t="str">
            <v>1471030804030001</v>
          </cell>
          <cell r="D241" t="str">
            <v>25051200084</v>
          </cell>
        </row>
        <row r="242">
          <cell r="C242" t="str">
            <v>1371060105040005</v>
          </cell>
          <cell r="D242" t="str">
            <v>25051200076</v>
          </cell>
        </row>
        <row r="243">
          <cell r="C243" t="str">
            <v>3404130602870002</v>
          </cell>
          <cell r="D243" t="str">
            <v>25051200068</v>
          </cell>
        </row>
        <row r="244">
          <cell r="C244" t="str">
            <v>3402143001840001</v>
          </cell>
          <cell r="D244" t="str">
            <v>25051200050</v>
          </cell>
        </row>
        <row r="245">
          <cell r="C245" t="str">
            <v>3402141208850001</v>
          </cell>
          <cell r="D245" t="str">
            <v>25051200043</v>
          </cell>
        </row>
        <row r="246">
          <cell r="C246" t="str">
            <v>3402052602910001</v>
          </cell>
          <cell r="D246" t="str">
            <v>25051200027</v>
          </cell>
        </row>
        <row r="247">
          <cell r="C247" t="str">
            <v>3313090308000001</v>
          </cell>
          <cell r="D247" t="str">
            <v>25051200019</v>
          </cell>
        </row>
        <row r="248">
          <cell r="C248" t="str">
            <v>3317071011910004</v>
          </cell>
          <cell r="D248" t="str">
            <v>25051200001</v>
          </cell>
        </row>
        <row r="249">
          <cell r="C249" t="str">
            <v>3311101407980002</v>
          </cell>
          <cell r="D249" t="str">
            <v>25051199997</v>
          </cell>
        </row>
        <row r="250">
          <cell r="C250" t="str">
            <v>3372020606810002</v>
          </cell>
          <cell r="D250" t="str">
            <v>25051199989</v>
          </cell>
        </row>
        <row r="251">
          <cell r="C251" t="str">
            <v>3313110702900001</v>
          </cell>
          <cell r="D251" t="str">
            <v>25051199971</v>
          </cell>
        </row>
        <row r="252">
          <cell r="C252" t="str">
            <v>3374061308830011</v>
          </cell>
          <cell r="D252" t="str">
            <v>25051199963</v>
          </cell>
        </row>
        <row r="253">
          <cell r="C253" t="str">
            <v>3374081210910003</v>
          </cell>
          <cell r="D253" t="str">
            <v>25051199948</v>
          </cell>
        </row>
        <row r="254">
          <cell r="C254" t="str">
            <v>3374112409760004</v>
          </cell>
          <cell r="D254" t="str">
            <v>25051199930</v>
          </cell>
        </row>
        <row r="255">
          <cell r="C255" t="str">
            <v>3374061810970006</v>
          </cell>
          <cell r="D255" t="str">
            <v>25051199922</v>
          </cell>
        </row>
        <row r="256">
          <cell r="C256" t="str">
            <v>3374132410950001</v>
          </cell>
          <cell r="D256" t="str">
            <v>25051199914</v>
          </cell>
        </row>
        <row r="257">
          <cell r="C257" t="str">
            <v>3321021703990001</v>
          </cell>
          <cell r="D257" t="str">
            <v>25051199898</v>
          </cell>
        </row>
        <row r="258">
          <cell r="C258" t="str">
            <v>3374092809920001</v>
          </cell>
          <cell r="D258" t="str">
            <v>25051199864</v>
          </cell>
        </row>
        <row r="259">
          <cell r="C259" t="str">
            <v>3374043101000003</v>
          </cell>
          <cell r="D259" t="str">
            <v>25051199856</v>
          </cell>
        </row>
        <row r="260">
          <cell r="C260" t="str">
            <v>3302272005860005</v>
          </cell>
          <cell r="D260" t="str">
            <v>25051199773</v>
          </cell>
        </row>
        <row r="261">
          <cell r="C261" t="str">
            <v>3209352812980002</v>
          </cell>
          <cell r="D261" t="str">
            <v>25051199765</v>
          </cell>
        </row>
        <row r="262">
          <cell r="C262" t="str">
            <v>3209201812040002</v>
          </cell>
          <cell r="D262" t="str">
            <v>25051199757</v>
          </cell>
        </row>
        <row r="263">
          <cell r="C263" t="str">
            <v>3209202410980008</v>
          </cell>
          <cell r="D263" t="str">
            <v>25051199740</v>
          </cell>
        </row>
        <row r="264">
          <cell r="C264" t="str">
            <v>3209221604960005</v>
          </cell>
          <cell r="D264" t="str">
            <v>25051199732</v>
          </cell>
        </row>
        <row r="265">
          <cell r="C265" t="str">
            <v>3209081702990004</v>
          </cell>
          <cell r="D265" t="str">
            <v>25051199724</v>
          </cell>
        </row>
        <row r="266">
          <cell r="C266" t="str">
            <v>3316081603910002</v>
          </cell>
          <cell r="D266" t="str">
            <v>25051199716</v>
          </cell>
        </row>
        <row r="267">
          <cell r="C267" t="str">
            <v>3171060806800002</v>
          </cell>
          <cell r="D267" t="str">
            <v>25051199708</v>
          </cell>
        </row>
        <row r="268">
          <cell r="C268" t="str">
            <v>3279042507910001</v>
          </cell>
          <cell r="D268" t="str">
            <v>25051199690</v>
          </cell>
        </row>
        <row r="269">
          <cell r="C269" t="str">
            <v>3601295006970002</v>
          </cell>
          <cell r="D269" t="str">
            <v>25051199682</v>
          </cell>
        </row>
        <row r="270">
          <cell r="C270" t="str">
            <v>3172020101950006</v>
          </cell>
          <cell r="D270" t="str">
            <v>25051199674</v>
          </cell>
        </row>
        <row r="271">
          <cell r="C271" t="str">
            <v>3674030705850012</v>
          </cell>
          <cell r="D271" t="str">
            <v>25051199666</v>
          </cell>
        </row>
        <row r="272">
          <cell r="C272" t="str">
            <v>7371060203910005</v>
          </cell>
          <cell r="D272" t="str">
            <v>25051199658</v>
          </cell>
        </row>
        <row r="273">
          <cell r="C273" t="str">
            <v>5202020202950008</v>
          </cell>
          <cell r="D273" t="str">
            <v>25051199641</v>
          </cell>
        </row>
        <row r="274">
          <cell r="C274" t="str">
            <v>5201092512960002</v>
          </cell>
          <cell r="D274" t="str">
            <v>25051199633</v>
          </cell>
        </row>
        <row r="275">
          <cell r="C275" t="str">
            <v>5271050901960002</v>
          </cell>
          <cell r="D275" t="str">
            <v>25051199625</v>
          </cell>
        </row>
        <row r="276">
          <cell r="C276" t="str">
            <v>5271012408970002</v>
          </cell>
          <cell r="D276" t="str">
            <v>25051199617</v>
          </cell>
        </row>
        <row r="277">
          <cell r="C277" t="str">
            <v>5271021307930004</v>
          </cell>
          <cell r="D277" t="str">
            <v>25051199609</v>
          </cell>
        </row>
        <row r="278">
          <cell r="C278" t="str">
            <v>5271023105030001</v>
          </cell>
          <cell r="D278" t="str">
            <v>25051199591</v>
          </cell>
        </row>
        <row r="279">
          <cell r="C279" t="str">
            <v>3271042507960002</v>
          </cell>
          <cell r="D279" t="str">
            <v>25051199583</v>
          </cell>
        </row>
        <row r="280">
          <cell r="C280" t="str">
            <v>3271021202980003</v>
          </cell>
          <cell r="D280" t="str">
            <v>25051199575</v>
          </cell>
        </row>
        <row r="281">
          <cell r="C281" t="str">
            <v>3201130603950011</v>
          </cell>
          <cell r="D281" t="str">
            <v>25051199567</v>
          </cell>
        </row>
        <row r="282">
          <cell r="C282" t="str">
            <v>3309162607969001</v>
          </cell>
          <cell r="D282" t="str">
            <v>25051199559</v>
          </cell>
        </row>
        <row r="283">
          <cell r="C283" t="str">
            <v>3174092504850013</v>
          </cell>
          <cell r="D283" t="str">
            <v>25051199542</v>
          </cell>
        </row>
        <row r="284">
          <cell r="C284" t="str">
            <v>3201370709900001</v>
          </cell>
          <cell r="D284" t="str">
            <v>25051199534</v>
          </cell>
        </row>
        <row r="285">
          <cell r="C285" t="str">
            <v>6472035204040003</v>
          </cell>
          <cell r="D285" t="str">
            <v>25051199518</v>
          </cell>
        </row>
        <row r="286">
          <cell r="C286" t="str">
            <v>3171074110010005</v>
          </cell>
          <cell r="D286" t="str">
            <v>25051199500</v>
          </cell>
        </row>
        <row r="287">
          <cell r="C287" t="str">
            <v>3175052903010001</v>
          </cell>
          <cell r="D287" t="str">
            <v>25051199492</v>
          </cell>
        </row>
        <row r="288">
          <cell r="C288" t="str">
            <v>3604212101050002</v>
          </cell>
          <cell r="D288" t="str">
            <v>25051199484</v>
          </cell>
        </row>
        <row r="289">
          <cell r="C289" t="str">
            <v>3171032304830012</v>
          </cell>
          <cell r="D289" t="str">
            <v>25051199476</v>
          </cell>
        </row>
        <row r="290">
          <cell r="C290" t="str">
            <v>3216012709900007</v>
          </cell>
          <cell r="D290" t="str">
            <v>25051199468</v>
          </cell>
        </row>
        <row r="291">
          <cell r="C291" t="str">
            <v>3172041509930008</v>
          </cell>
          <cell r="D291" t="str">
            <v>25051199450</v>
          </cell>
        </row>
        <row r="292">
          <cell r="C292" t="str">
            <v>3175062606840013</v>
          </cell>
          <cell r="D292" t="str">
            <v>25051199443</v>
          </cell>
        </row>
        <row r="293">
          <cell r="C293" t="str">
            <v>3275120511850007</v>
          </cell>
          <cell r="D293" t="str">
            <v>25051201090</v>
          </cell>
        </row>
        <row r="294">
          <cell r="C294" t="str">
            <v>3204321007990009</v>
          </cell>
          <cell r="D294" t="str">
            <v>25051201082</v>
          </cell>
        </row>
        <row r="295">
          <cell r="C295" t="str">
            <v>3175072104930009</v>
          </cell>
          <cell r="D295" t="str">
            <v>25051201074</v>
          </cell>
        </row>
        <row r="296">
          <cell r="C296" t="str">
            <v>3275092912950019</v>
          </cell>
          <cell r="D296" t="str">
            <v>25051201066</v>
          </cell>
        </row>
        <row r="297">
          <cell r="C297" t="str">
            <v>3275032306820027</v>
          </cell>
          <cell r="D297" t="str">
            <v>25051201058</v>
          </cell>
        </row>
        <row r="298">
          <cell r="C298" t="str">
            <v>3173051101790011</v>
          </cell>
          <cell r="D298" t="str">
            <v>25051201041</v>
          </cell>
        </row>
        <row r="299">
          <cell r="C299" t="str">
            <v>3172041705870006</v>
          </cell>
          <cell r="D299" t="str">
            <v>25051201033</v>
          </cell>
        </row>
        <row r="300">
          <cell r="C300" t="str">
            <v>3171071904720003</v>
          </cell>
          <cell r="D300" t="str">
            <v>25051201025</v>
          </cell>
        </row>
        <row r="301">
          <cell r="C301" t="str">
            <v>3171080206820001</v>
          </cell>
          <cell r="D301" t="str">
            <v>25051201017</v>
          </cell>
        </row>
        <row r="302">
          <cell r="C302" t="str">
            <v>3173052611890010</v>
          </cell>
          <cell r="D302" t="str">
            <v>25051201009</v>
          </cell>
        </row>
        <row r="303">
          <cell r="C303" t="str">
            <v>3174031701810002</v>
          </cell>
          <cell r="D303" t="str">
            <v>25051200993</v>
          </cell>
        </row>
        <row r="304">
          <cell r="C304" t="str">
            <v>3671060201770004</v>
          </cell>
          <cell r="D304" t="str">
            <v>25051200985</v>
          </cell>
        </row>
        <row r="305">
          <cell r="C305" t="str">
            <v>3174032809840005</v>
          </cell>
          <cell r="D305" t="str">
            <v>25051200977</v>
          </cell>
        </row>
        <row r="306">
          <cell r="C306" t="str">
            <v>1705052010060002</v>
          </cell>
          <cell r="D306" t="str">
            <v>25051200944</v>
          </cell>
        </row>
        <row r="307">
          <cell r="C307" t="str">
            <v>1371112502020010</v>
          </cell>
          <cell r="D307" t="str">
            <v>25051201108</v>
          </cell>
        </row>
        <row r="308">
          <cell r="C308" t="str">
            <v>1371024608980007</v>
          </cell>
          <cell r="D308" t="str">
            <v>25051199351</v>
          </cell>
        </row>
        <row r="309">
          <cell r="C309" t="str">
            <v>3275051006990020</v>
          </cell>
          <cell r="D309" t="str">
            <v>25051199393</v>
          </cell>
        </row>
        <row r="310">
          <cell r="C310" t="str">
            <v>3173070711890003</v>
          </cell>
          <cell r="D310" t="str">
            <v>25051200969</v>
          </cell>
        </row>
        <row r="311">
          <cell r="C311" t="str">
            <v>3674031409890007</v>
          </cell>
          <cell r="D311" t="str">
            <v>25051200951</v>
          </cell>
        </row>
        <row r="312">
          <cell r="C312" t="str">
            <v>3321020506050002</v>
          </cell>
          <cell r="D312" t="str">
            <v>25038744691</v>
          </cell>
        </row>
        <row r="313">
          <cell r="C313" t="str">
            <v>3573031205890002</v>
          </cell>
          <cell r="D313" t="str">
            <v>25038744709</v>
          </cell>
        </row>
        <row r="314">
          <cell r="C314" t="str">
            <v>3275044105010013</v>
          </cell>
          <cell r="D314" t="str">
            <v>25038744667</v>
          </cell>
        </row>
        <row r="315">
          <cell r="C315" t="str">
            <v>3174090701096794</v>
          </cell>
          <cell r="D315" t="str">
            <v>25038744659</v>
          </cell>
        </row>
        <row r="316">
          <cell r="C316" t="str">
            <v>7371121512880004</v>
          </cell>
          <cell r="D316" t="str">
            <v>25038744642</v>
          </cell>
        </row>
        <row r="317">
          <cell r="C317" t="str">
            <v>3402102707040001</v>
          </cell>
          <cell r="D317" t="str">
            <v>25038744618</v>
          </cell>
        </row>
        <row r="318">
          <cell r="C318" t="str">
            <v>3310012511990002</v>
          </cell>
          <cell r="D318" t="str">
            <v>25038744600</v>
          </cell>
        </row>
        <row r="319">
          <cell r="C319" t="str">
            <v>3403074906000001</v>
          </cell>
          <cell r="D319" t="str">
            <v>25038744592</v>
          </cell>
        </row>
        <row r="320">
          <cell r="C320" t="str">
            <v>3403122007000001</v>
          </cell>
          <cell r="D320" t="str">
            <v>25038744584</v>
          </cell>
        </row>
        <row r="321">
          <cell r="C321" t="str">
            <v>3471131803040001</v>
          </cell>
          <cell r="D321" t="str">
            <v>25038744683</v>
          </cell>
        </row>
        <row r="322">
          <cell r="C322" t="str">
            <v>3278044101050003</v>
          </cell>
          <cell r="D322" t="str">
            <v>25038744675</v>
          </cell>
        </row>
        <row r="323">
          <cell r="C323" t="str">
            <v>9171012807960004</v>
          </cell>
          <cell r="D323" t="str">
            <v>25023140293</v>
          </cell>
        </row>
        <row r="324">
          <cell r="C324" t="str">
            <v>3216031012790005</v>
          </cell>
          <cell r="D324" t="str">
            <v>25023140285</v>
          </cell>
        </row>
        <row r="325">
          <cell r="C325" t="str">
            <v>3215030704900001</v>
          </cell>
          <cell r="D325" t="str">
            <v>25023140277</v>
          </cell>
        </row>
        <row r="326">
          <cell r="C326" t="str">
            <v>3215030402840003</v>
          </cell>
          <cell r="D326" t="str">
            <v>25023140269</v>
          </cell>
        </row>
        <row r="327">
          <cell r="C327" t="str">
            <v>3215030906920003</v>
          </cell>
          <cell r="D327" t="str">
            <v>25023140251</v>
          </cell>
        </row>
        <row r="328">
          <cell r="C328" t="str">
            <v>3215170912780001</v>
          </cell>
          <cell r="D328" t="str">
            <v>25023140244</v>
          </cell>
        </row>
        <row r="329">
          <cell r="C329" t="str">
            <v>7104054905030001</v>
          </cell>
          <cell r="D329" t="str">
            <v>25023140236</v>
          </cell>
        </row>
        <row r="330">
          <cell r="C330" t="str">
            <v>7207070801030001</v>
          </cell>
          <cell r="D330" t="str">
            <v>25023140228</v>
          </cell>
        </row>
        <row r="331">
          <cell r="C331" t="str">
            <v>1671070408790013</v>
          </cell>
          <cell r="D331" t="str">
            <v>25023140566</v>
          </cell>
        </row>
        <row r="332">
          <cell r="C332" t="str">
            <v>1118012503970001</v>
          </cell>
          <cell r="D332" t="str">
            <v>25023140541</v>
          </cell>
        </row>
        <row r="333">
          <cell r="C333" t="str">
            <v>1709010707970001</v>
          </cell>
          <cell r="D333" t="str">
            <v>25023140558</v>
          </cell>
        </row>
        <row r="334">
          <cell r="C334" t="str">
            <v>1271032508790006</v>
          </cell>
          <cell r="D334" t="str">
            <v>25023140533</v>
          </cell>
        </row>
        <row r="335">
          <cell r="C335" t="str">
            <v>1106100101830010</v>
          </cell>
          <cell r="D335" t="str">
            <v>25023140616</v>
          </cell>
        </row>
        <row r="336">
          <cell r="C336" t="str">
            <v>1305041503030001</v>
          </cell>
          <cell r="D336" t="str">
            <v>25023140590</v>
          </cell>
        </row>
        <row r="337">
          <cell r="C337" t="str">
            <v>1809012202790002</v>
          </cell>
          <cell r="D337" t="str">
            <v>25023140582</v>
          </cell>
        </row>
        <row r="338">
          <cell r="C338" t="str">
            <v>3404144309950002</v>
          </cell>
          <cell r="D338" t="str">
            <v>25023140574</v>
          </cell>
        </row>
        <row r="339">
          <cell r="C339" t="str">
            <v>3310162706940004</v>
          </cell>
          <cell r="D339" t="str">
            <v>25023140640</v>
          </cell>
        </row>
        <row r="340">
          <cell r="C340" t="str">
            <v>3309072901950001</v>
          </cell>
          <cell r="D340" t="str">
            <v>25023140624</v>
          </cell>
        </row>
        <row r="341">
          <cell r="C341" t="str">
            <v>6303040802030005</v>
          </cell>
          <cell r="D341" t="str">
            <v>25023140657</v>
          </cell>
        </row>
        <row r="342">
          <cell r="C342" t="str">
            <v>8101140309900006</v>
          </cell>
          <cell r="D342" t="str">
            <v>25023140632</v>
          </cell>
        </row>
        <row r="343">
          <cell r="C343" t="str">
            <v>3172011110030004</v>
          </cell>
          <cell r="D343" t="str">
            <v>25023139964</v>
          </cell>
        </row>
        <row r="344">
          <cell r="C344" t="str">
            <v>7171032409800001</v>
          </cell>
          <cell r="D344" t="str">
            <v>25023139949</v>
          </cell>
        </row>
        <row r="345">
          <cell r="C345" t="str">
            <v>3603171508010006</v>
          </cell>
          <cell r="D345" t="str">
            <v>25023139972</v>
          </cell>
        </row>
        <row r="346">
          <cell r="C346" t="str">
            <v>1671073101880010</v>
          </cell>
          <cell r="D346" t="str">
            <v>25023139931</v>
          </cell>
        </row>
        <row r="347">
          <cell r="C347" t="str">
            <v>3302271008970002</v>
          </cell>
          <cell r="D347" t="str">
            <v>25023140210</v>
          </cell>
        </row>
        <row r="348">
          <cell r="C348" t="str">
            <v>3372051610840004</v>
          </cell>
          <cell r="D348" t="str">
            <v>25023140202</v>
          </cell>
        </row>
        <row r="349">
          <cell r="C349" t="str">
            <v>3307046002000004</v>
          </cell>
          <cell r="D349" t="str">
            <v>25023140194</v>
          </cell>
        </row>
        <row r="350">
          <cell r="C350" t="str">
            <v>3404024410930003</v>
          </cell>
          <cell r="D350" t="str">
            <v>25023140186</v>
          </cell>
        </row>
        <row r="351">
          <cell r="C351" t="str">
            <v>3302194401980001</v>
          </cell>
          <cell r="D351" t="str">
            <v>25023140178</v>
          </cell>
        </row>
        <row r="352">
          <cell r="C352" t="str">
            <v>3402094808080004</v>
          </cell>
          <cell r="D352" t="str">
            <v>25023140160</v>
          </cell>
        </row>
        <row r="353">
          <cell r="C353" t="str">
            <v>3372056712840006</v>
          </cell>
          <cell r="D353" t="str">
            <v>25023140152</v>
          </cell>
        </row>
        <row r="354">
          <cell r="C354" t="str">
            <v>3313132204880001</v>
          </cell>
          <cell r="D354" t="str">
            <v>25023140137</v>
          </cell>
        </row>
        <row r="355">
          <cell r="C355" t="str">
            <v>3320025404000006</v>
          </cell>
          <cell r="D355" t="str">
            <v>25023140129</v>
          </cell>
        </row>
        <row r="356">
          <cell r="C356" t="str">
            <v>3175031507830019</v>
          </cell>
          <cell r="D356" t="str">
            <v>25023140103</v>
          </cell>
        </row>
        <row r="357">
          <cell r="C357" t="str">
            <v>3202120510850001</v>
          </cell>
          <cell r="D357" t="str">
            <v>25023140095</v>
          </cell>
        </row>
        <row r="358">
          <cell r="C358" t="str">
            <v>3172024905940001</v>
          </cell>
          <cell r="D358" t="str">
            <v>25023140087</v>
          </cell>
        </row>
        <row r="359">
          <cell r="C359" t="str">
            <v>3507310205970002</v>
          </cell>
          <cell r="D359" t="str">
            <v>25023140079</v>
          </cell>
        </row>
        <row r="360">
          <cell r="C360" t="str">
            <v>6471030702730001</v>
          </cell>
          <cell r="D360" t="str">
            <v>25023140053</v>
          </cell>
        </row>
        <row r="361">
          <cell r="C361" t="str">
            <v>6471020111970002</v>
          </cell>
          <cell r="D361" t="str">
            <v>25023140046</v>
          </cell>
        </row>
        <row r="362">
          <cell r="C362" t="str">
            <v>6471010602970001</v>
          </cell>
          <cell r="D362" t="str">
            <v>25023140004</v>
          </cell>
        </row>
        <row r="363">
          <cell r="C363" t="str">
            <v>8171021011860010</v>
          </cell>
          <cell r="D363" t="str">
            <v>25023139998</v>
          </cell>
        </row>
        <row r="364">
          <cell r="C364" t="str">
            <v>3515181109870004</v>
          </cell>
          <cell r="D364" t="str">
            <v>25023139980</v>
          </cell>
        </row>
        <row r="365">
          <cell r="C365" t="str">
            <v>3519152009850002</v>
          </cell>
          <cell r="D365" t="str">
            <v>25023141531</v>
          </cell>
        </row>
        <row r="366">
          <cell r="C366" t="str">
            <v>3522021607940002</v>
          </cell>
          <cell r="D366" t="str">
            <v>25023141523</v>
          </cell>
        </row>
        <row r="367">
          <cell r="C367" t="str">
            <v>3519120306910001</v>
          </cell>
          <cell r="D367" t="str">
            <v>25023141515</v>
          </cell>
        </row>
        <row r="368">
          <cell r="C368" t="str">
            <v>3577012804850002</v>
          </cell>
          <cell r="D368" t="str">
            <v>25023141481</v>
          </cell>
        </row>
        <row r="369">
          <cell r="C369" t="str">
            <v>3578062605810007</v>
          </cell>
          <cell r="D369" t="str">
            <v>25023141473</v>
          </cell>
        </row>
        <row r="370">
          <cell r="C370" t="str">
            <v>7171032209900002</v>
          </cell>
          <cell r="D370" t="str">
            <v>25023139923</v>
          </cell>
        </row>
        <row r="371">
          <cell r="C371" t="str">
            <v>7103241412760001</v>
          </cell>
          <cell r="D371" t="str">
            <v>25023139915</v>
          </cell>
        </row>
        <row r="372">
          <cell r="C372" t="str">
            <v>7171051607990021</v>
          </cell>
          <cell r="D372" t="str">
            <v>25023139899</v>
          </cell>
        </row>
        <row r="373">
          <cell r="C373" t="str">
            <v>7106013004960001</v>
          </cell>
          <cell r="D373" t="str">
            <v>25023139881</v>
          </cell>
        </row>
        <row r="374">
          <cell r="C374" t="str">
            <v>7171041706920001</v>
          </cell>
          <cell r="D374" t="str">
            <v>25023139873</v>
          </cell>
        </row>
        <row r="375">
          <cell r="C375" t="str">
            <v>7106060508920003</v>
          </cell>
          <cell r="D375" t="str">
            <v>25023139865</v>
          </cell>
        </row>
        <row r="376">
          <cell r="C376" t="str">
            <v>3507192308820005</v>
          </cell>
          <cell r="D376" t="str">
            <v>25023139840</v>
          </cell>
        </row>
        <row r="377">
          <cell r="C377" t="str">
            <v>3573021005800009</v>
          </cell>
          <cell r="D377" t="str">
            <v>25023139832</v>
          </cell>
        </row>
        <row r="378">
          <cell r="C378" t="str">
            <v>3514072911930001</v>
          </cell>
          <cell r="D378" t="str">
            <v>25023139824</v>
          </cell>
        </row>
        <row r="379">
          <cell r="C379" t="str">
            <v>3573010511780005</v>
          </cell>
          <cell r="D379" t="str">
            <v>25023139816</v>
          </cell>
        </row>
        <row r="380">
          <cell r="C380" t="str">
            <v>3507101608830005</v>
          </cell>
          <cell r="D380" t="str">
            <v>25023139808</v>
          </cell>
        </row>
        <row r="381">
          <cell r="C381" t="str">
            <v>3506041312000002</v>
          </cell>
          <cell r="D381" t="str">
            <v>25023139790</v>
          </cell>
        </row>
        <row r="382">
          <cell r="C382" t="str">
            <v>7503034607990001</v>
          </cell>
          <cell r="D382" t="str">
            <v>25023139782</v>
          </cell>
        </row>
        <row r="383">
          <cell r="C383" t="str">
            <v>5371013107970001</v>
          </cell>
          <cell r="D383" t="str">
            <v>25023139758</v>
          </cell>
        </row>
        <row r="384">
          <cell r="C384" t="str">
            <v>5308191111930002</v>
          </cell>
          <cell r="D384" t="str">
            <v>25023139741</v>
          </cell>
        </row>
        <row r="385">
          <cell r="C385" t="str">
            <v>1271160407870003</v>
          </cell>
          <cell r="D385" t="str">
            <v>25023139733</v>
          </cell>
        </row>
        <row r="386">
          <cell r="C386" t="str">
            <v>1271011906860002</v>
          </cell>
          <cell r="D386" t="str">
            <v>25023139725</v>
          </cell>
        </row>
        <row r="387">
          <cell r="C387" t="str">
            <v>1218021007880005</v>
          </cell>
          <cell r="D387" t="str">
            <v>25023139717</v>
          </cell>
        </row>
        <row r="388">
          <cell r="C388" t="str">
            <v>1224090708960001</v>
          </cell>
          <cell r="D388" t="str">
            <v>25023139709</v>
          </cell>
        </row>
        <row r="389">
          <cell r="C389" t="str">
            <v>1207244105000010</v>
          </cell>
          <cell r="D389" t="str">
            <v>25023141572</v>
          </cell>
        </row>
        <row r="390">
          <cell r="C390" t="str">
            <v>1213012310920003</v>
          </cell>
          <cell r="D390" t="str">
            <v>25023141556</v>
          </cell>
        </row>
        <row r="391">
          <cell r="C391" t="str">
            <v>1275011205980002</v>
          </cell>
          <cell r="D391" t="str">
            <v>25023141457</v>
          </cell>
        </row>
        <row r="392">
          <cell r="C392" t="str">
            <v>3601170103980001</v>
          </cell>
          <cell r="D392" t="str">
            <v>25023141440</v>
          </cell>
        </row>
        <row r="393">
          <cell r="C393" t="str">
            <v>3172022901790002</v>
          </cell>
          <cell r="D393" t="str">
            <v>25023141432</v>
          </cell>
        </row>
        <row r="394">
          <cell r="C394" t="str">
            <v>3301060104880005</v>
          </cell>
          <cell r="D394" t="str">
            <v>25023141424</v>
          </cell>
        </row>
        <row r="395">
          <cell r="C395" t="str">
            <v>3175070503750022</v>
          </cell>
          <cell r="D395" t="str">
            <v>25023141416</v>
          </cell>
        </row>
        <row r="396">
          <cell r="C396" t="str">
            <v>3273016603980001</v>
          </cell>
          <cell r="D396" t="str">
            <v>25023141408</v>
          </cell>
        </row>
        <row r="397">
          <cell r="C397" t="str">
            <v>3211262207000002</v>
          </cell>
          <cell r="D397" t="str">
            <v>25023141390</v>
          </cell>
        </row>
        <row r="398">
          <cell r="C398" t="str">
            <v>3273152004800015</v>
          </cell>
          <cell r="D398" t="str">
            <v>25023141382</v>
          </cell>
        </row>
        <row r="399">
          <cell r="C399" t="str">
            <v>8171021801960006</v>
          </cell>
          <cell r="D399" t="str">
            <v>25023141689</v>
          </cell>
        </row>
        <row r="400">
          <cell r="C400" t="str">
            <v>3273160108750008</v>
          </cell>
          <cell r="D400" t="str">
            <v>25023141671</v>
          </cell>
        </row>
        <row r="401">
          <cell r="C401" t="str">
            <v>3273052701940003</v>
          </cell>
          <cell r="D401" t="str">
            <v>25023141663</v>
          </cell>
        </row>
        <row r="402">
          <cell r="C402" t="str">
            <v>3204160902860003</v>
          </cell>
          <cell r="D402" t="str">
            <v>25023141655</v>
          </cell>
        </row>
        <row r="403">
          <cell r="C403" t="str">
            <v>3206020807930005</v>
          </cell>
          <cell r="D403" t="str">
            <v>25023141648</v>
          </cell>
        </row>
        <row r="404">
          <cell r="C404" t="str">
            <v>3201170306910004</v>
          </cell>
          <cell r="D404" t="str">
            <v>25023141630</v>
          </cell>
        </row>
        <row r="405">
          <cell r="C405" t="str">
            <v>3217080111900003</v>
          </cell>
          <cell r="D405" t="str">
            <v>25023141622</v>
          </cell>
        </row>
        <row r="406">
          <cell r="C406" t="str">
            <v>1106082810970002</v>
          </cell>
          <cell r="D406" t="str">
            <v>25023141614</v>
          </cell>
        </row>
        <row r="407">
          <cell r="C407" t="str">
            <v>1171041208830002</v>
          </cell>
          <cell r="D407" t="str">
            <v>25023141606</v>
          </cell>
        </row>
        <row r="408">
          <cell r="C408" t="str">
            <v>1107161312000002</v>
          </cell>
          <cell r="D408" t="str">
            <v>25023141598</v>
          </cell>
        </row>
        <row r="409">
          <cell r="C409" t="str">
            <v>1106071301980004</v>
          </cell>
          <cell r="D409" t="str">
            <v>25023141507</v>
          </cell>
        </row>
        <row r="410">
          <cell r="C410" t="str">
            <v>1106050105820003</v>
          </cell>
          <cell r="D410" t="str">
            <v>25023141499</v>
          </cell>
        </row>
        <row r="411">
          <cell r="C411" t="str">
            <v>1102072303970002</v>
          </cell>
          <cell r="D411" t="str">
            <v>25023141465</v>
          </cell>
        </row>
        <row r="412">
          <cell r="C412" t="str">
            <v>1971010409000003</v>
          </cell>
          <cell r="D412" t="str">
            <v>25023141002</v>
          </cell>
        </row>
        <row r="413">
          <cell r="C413" t="str">
            <v>1904040808850001</v>
          </cell>
          <cell r="D413" t="str">
            <v>25023140418</v>
          </cell>
        </row>
        <row r="414">
          <cell r="C414" t="str">
            <v>1971042004930002</v>
          </cell>
          <cell r="D414" t="str">
            <v>25023140400</v>
          </cell>
        </row>
        <row r="415">
          <cell r="C415" t="str">
            <v>1903031104940002</v>
          </cell>
          <cell r="D415" t="str">
            <v>25023140392</v>
          </cell>
        </row>
        <row r="416">
          <cell r="C416" t="str">
            <v>1803021712960003</v>
          </cell>
          <cell r="D416" t="str">
            <v>25023140434</v>
          </cell>
        </row>
        <row r="417">
          <cell r="C417" t="str">
            <v>3316042103000004</v>
          </cell>
          <cell r="D417" t="str">
            <v>25023140426</v>
          </cell>
        </row>
        <row r="418">
          <cell r="C418" t="str">
            <v>1812032807970002</v>
          </cell>
          <cell r="D418" t="str">
            <v>25023140368</v>
          </cell>
        </row>
        <row r="419">
          <cell r="C419" t="str">
            <v>3674030304910009</v>
          </cell>
          <cell r="D419" t="str">
            <v>25023140343</v>
          </cell>
        </row>
        <row r="420">
          <cell r="C420" t="str">
            <v>3201331011010003</v>
          </cell>
          <cell r="D420" t="str">
            <v>25023140335</v>
          </cell>
        </row>
        <row r="421">
          <cell r="C421" t="str">
            <v>3201041708940017</v>
          </cell>
          <cell r="D421" t="str">
            <v>25023141309</v>
          </cell>
        </row>
        <row r="422">
          <cell r="C422" t="str">
            <v>6472040206990003</v>
          </cell>
          <cell r="D422" t="str">
            <v>25023141291</v>
          </cell>
        </row>
        <row r="423">
          <cell r="C423" t="str">
            <v>6112051310010001</v>
          </cell>
          <cell r="D423" t="str">
            <v>25023141283</v>
          </cell>
        </row>
        <row r="424">
          <cell r="C424" t="str">
            <v>6112015711960010</v>
          </cell>
          <cell r="D424" t="str">
            <v>25023141275</v>
          </cell>
        </row>
        <row r="425">
          <cell r="C425" t="str">
            <v>1671071810770015</v>
          </cell>
          <cell r="D425" t="str">
            <v>25023141267</v>
          </cell>
        </row>
        <row r="426">
          <cell r="C426" t="str">
            <v>1671141707980005</v>
          </cell>
          <cell r="D426" t="str">
            <v>25023141259</v>
          </cell>
        </row>
        <row r="427">
          <cell r="C427" t="str">
            <v>1809010810810002</v>
          </cell>
          <cell r="D427" t="str">
            <v>25023141242</v>
          </cell>
        </row>
        <row r="428">
          <cell r="C428" t="str">
            <v>6171071306880003</v>
          </cell>
          <cell r="D428" t="str">
            <v>25023141234</v>
          </cell>
        </row>
        <row r="429">
          <cell r="C429" t="str">
            <v>1671051503890004</v>
          </cell>
          <cell r="D429" t="str">
            <v>25023141226</v>
          </cell>
        </row>
        <row r="430">
          <cell r="C430" t="str">
            <v>1602151712760004</v>
          </cell>
          <cell r="D430" t="str">
            <v>25023141218</v>
          </cell>
        </row>
        <row r="431">
          <cell r="C431" t="str">
            <v>1671021204980014</v>
          </cell>
          <cell r="D431" t="str">
            <v>25023141200</v>
          </cell>
        </row>
        <row r="432">
          <cell r="C432" t="str">
            <v>1671140612920007</v>
          </cell>
          <cell r="D432" t="str">
            <v>25023141192</v>
          </cell>
        </row>
        <row r="433">
          <cell r="C433" t="str">
            <v>1501171006980001</v>
          </cell>
          <cell r="D433" t="str">
            <v>25023141143</v>
          </cell>
        </row>
        <row r="434">
          <cell r="C434" t="str">
            <v>1771031008960002</v>
          </cell>
          <cell r="D434" t="str">
            <v>25023141135</v>
          </cell>
        </row>
        <row r="435">
          <cell r="C435" t="str">
            <v>6471051111000002</v>
          </cell>
          <cell r="D435" t="str">
            <v>25023141127</v>
          </cell>
        </row>
        <row r="436">
          <cell r="C436" t="str">
            <v>6471055202980004</v>
          </cell>
          <cell r="D436" t="str">
            <v>25023141119</v>
          </cell>
        </row>
        <row r="437">
          <cell r="C437" t="str">
            <v>1608160506000001</v>
          </cell>
          <cell r="D437" t="str">
            <v>25023141101</v>
          </cell>
        </row>
        <row r="438">
          <cell r="C438" t="str">
            <v>1401171901030001</v>
          </cell>
          <cell r="D438" t="str">
            <v>25023141093</v>
          </cell>
        </row>
        <row r="439">
          <cell r="C439" t="str">
            <v>1371060507000005</v>
          </cell>
          <cell r="D439" t="str">
            <v>25023141085</v>
          </cell>
        </row>
        <row r="440">
          <cell r="C440" t="str">
            <v>1401162005990001</v>
          </cell>
          <cell r="D440" t="str">
            <v>25023141077</v>
          </cell>
        </row>
        <row r="441">
          <cell r="C441" t="str">
            <v>1371111702930004</v>
          </cell>
          <cell r="D441" t="str">
            <v>25023141069</v>
          </cell>
        </row>
        <row r="442">
          <cell r="C442" t="str">
            <v>1302102108030007</v>
          </cell>
          <cell r="D442" t="str">
            <v>25023141051</v>
          </cell>
        </row>
        <row r="443">
          <cell r="C443" t="str">
            <v>1301060305030003</v>
          </cell>
          <cell r="D443" t="str">
            <v>25023139691</v>
          </cell>
        </row>
        <row r="444">
          <cell r="C444" t="str">
            <v>1311021112930001</v>
          </cell>
          <cell r="D444" t="str">
            <v>25023139683</v>
          </cell>
        </row>
        <row r="445">
          <cell r="C445" t="str">
            <v>1809020604950001</v>
          </cell>
          <cell r="D445" t="str">
            <v>25023140970</v>
          </cell>
        </row>
        <row r="446">
          <cell r="C446" t="str">
            <v>1809011012020009</v>
          </cell>
          <cell r="D446" t="str">
            <v>25023141184</v>
          </cell>
        </row>
        <row r="447">
          <cell r="C447" t="str">
            <v>2171021501939004</v>
          </cell>
          <cell r="D447" t="str">
            <v>25023141176</v>
          </cell>
        </row>
        <row r="448">
          <cell r="C448" t="str">
            <v>3404022506030006</v>
          </cell>
          <cell r="D448" t="str">
            <v>25023141044</v>
          </cell>
        </row>
        <row r="449">
          <cell r="C449" t="str">
            <v>3404052606900002</v>
          </cell>
          <cell r="D449" t="str">
            <v>25023141036</v>
          </cell>
        </row>
        <row r="450">
          <cell r="C450" t="str">
            <v>3404051704970001</v>
          </cell>
          <cell r="D450" t="str">
            <v>25023141028</v>
          </cell>
        </row>
        <row r="451">
          <cell r="C451" t="str">
            <v>3402172101950001</v>
          </cell>
          <cell r="D451" t="str">
            <v>25023141010</v>
          </cell>
        </row>
        <row r="452">
          <cell r="C452" t="str">
            <v>3309052505959004</v>
          </cell>
          <cell r="D452" t="str">
            <v>25023140020</v>
          </cell>
        </row>
        <row r="453">
          <cell r="C453" t="str">
            <v>3372043009940003</v>
          </cell>
          <cell r="D453" t="str">
            <v>25023141374</v>
          </cell>
        </row>
        <row r="454">
          <cell r="C454" t="str">
            <v>3311072511940003</v>
          </cell>
          <cell r="D454" t="str">
            <v>25023141358</v>
          </cell>
        </row>
        <row r="455">
          <cell r="C455" t="str">
            <v>3324092804870004</v>
          </cell>
          <cell r="D455" t="str">
            <v>25023141366</v>
          </cell>
        </row>
        <row r="456">
          <cell r="C456" t="str">
            <v>3321011002820008</v>
          </cell>
          <cell r="D456" t="str">
            <v>25023141333</v>
          </cell>
        </row>
        <row r="457">
          <cell r="C457" t="str">
            <v>6303041801980003</v>
          </cell>
          <cell r="D457" t="str">
            <v>25023140947</v>
          </cell>
        </row>
        <row r="458">
          <cell r="C458" t="str">
            <v>6310032309010002</v>
          </cell>
          <cell r="D458" t="str">
            <v>25023140939</v>
          </cell>
        </row>
        <row r="459">
          <cell r="C459" t="str">
            <v>8104061303950005</v>
          </cell>
          <cell r="D459" t="str">
            <v>25023140517</v>
          </cell>
        </row>
        <row r="460">
          <cell r="C460" t="str">
            <v>7306071302820003</v>
          </cell>
          <cell r="D460" t="str">
            <v>25023140509</v>
          </cell>
        </row>
        <row r="461">
          <cell r="C461" t="str">
            <v>5371012802000003</v>
          </cell>
          <cell r="D461" t="str">
            <v>25023140491</v>
          </cell>
        </row>
        <row r="462">
          <cell r="C462" t="str">
            <v>3671074306920001</v>
          </cell>
          <cell r="D462" t="str">
            <v>25023140475</v>
          </cell>
        </row>
        <row r="463">
          <cell r="C463" t="str">
            <v>3404111108800002</v>
          </cell>
          <cell r="D463" t="str">
            <v>25023140467</v>
          </cell>
        </row>
        <row r="464">
          <cell r="C464" t="str">
            <v>3310251601890001</v>
          </cell>
          <cell r="D464" t="str">
            <v>25023140483</v>
          </cell>
        </row>
        <row r="465">
          <cell r="C465" t="str">
            <v>3175072105790001</v>
          </cell>
          <cell r="D465" t="str">
            <v>25023140459</v>
          </cell>
        </row>
        <row r="466">
          <cell r="C466" t="str">
            <v>3172027003860006</v>
          </cell>
          <cell r="D466" t="str">
            <v>25023140442</v>
          </cell>
        </row>
        <row r="467">
          <cell r="C467" t="str">
            <v>3174090804790002</v>
          </cell>
          <cell r="D467" t="str">
            <v>25023140921</v>
          </cell>
        </row>
        <row r="468">
          <cell r="C468" t="str">
            <v>3604011806791277</v>
          </cell>
          <cell r="D468" t="str">
            <v>25023140913</v>
          </cell>
        </row>
        <row r="469">
          <cell r="C469" t="str">
            <v>3327090602940013</v>
          </cell>
          <cell r="D469" t="str">
            <v>25023140905</v>
          </cell>
        </row>
        <row r="470">
          <cell r="C470" t="str">
            <v>3174082603840001</v>
          </cell>
          <cell r="D470" t="str">
            <v>25023140897</v>
          </cell>
        </row>
        <row r="471">
          <cell r="C471" t="str">
            <v>5307151009810001</v>
          </cell>
          <cell r="D471" t="str">
            <v>25023140889</v>
          </cell>
        </row>
        <row r="472">
          <cell r="C472" t="str">
            <v>5307100411850004</v>
          </cell>
          <cell r="D472" t="str">
            <v>25023140863</v>
          </cell>
        </row>
        <row r="473">
          <cell r="C473" t="str">
            <v>5201020205110010</v>
          </cell>
          <cell r="D473" t="str">
            <v>25023140855</v>
          </cell>
        </row>
        <row r="474">
          <cell r="C474" t="str">
            <v>5271051310920002</v>
          </cell>
          <cell r="D474" t="str">
            <v>25023140848</v>
          </cell>
        </row>
        <row r="475">
          <cell r="C475" t="str">
            <v>5271012904020001</v>
          </cell>
          <cell r="D475" t="str">
            <v>25023140830</v>
          </cell>
        </row>
        <row r="476">
          <cell r="C476" t="str">
            <v>5202050605000002</v>
          </cell>
          <cell r="D476" t="str">
            <v>25023140822</v>
          </cell>
        </row>
        <row r="477">
          <cell r="C477" t="str">
            <v>5271031702910004</v>
          </cell>
          <cell r="D477" t="str">
            <v>25023140806</v>
          </cell>
        </row>
        <row r="478">
          <cell r="C478" t="str">
            <v>5371041312910006</v>
          </cell>
          <cell r="D478" t="str">
            <v>25023140798</v>
          </cell>
        </row>
        <row r="479">
          <cell r="C479" t="str">
            <v>9171032203980003</v>
          </cell>
          <cell r="D479" t="str">
            <v>25023140780</v>
          </cell>
        </row>
        <row r="480">
          <cell r="C480" t="str">
            <v>5301100501990001</v>
          </cell>
          <cell r="D480" t="str">
            <v>25023140772</v>
          </cell>
        </row>
        <row r="481">
          <cell r="C481" t="str">
            <v>8101090801000004</v>
          </cell>
          <cell r="D481" t="str">
            <v>25023140749</v>
          </cell>
        </row>
        <row r="482">
          <cell r="C482" t="str">
            <v>9106022711000002</v>
          </cell>
          <cell r="D482" t="str">
            <v>25023140731</v>
          </cell>
        </row>
        <row r="483">
          <cell r="C483" t="str">
            <v>3201390806890006</v>
          </cell>
          <cell r="D483" t="str">
            <v>25023140723</v>
          </cell>
        </row>
        <row r="484">
          <cell r="C484" t="str">
            <v>3206282211990004</v>
          </cell>
          <cell r="D484" t="str">
            <v>25023140756</v>
          </cell>
        </row>
        <row r="485">
          <cell r="C485" t="str">
            <v>3276012105020001</v>
          </cell>
          <cell r="D485" t="str">
            <v>25023140715</v>
          </cell>
        </row>
        <row r="486">
          <cell r="C486" t="str">
            <v>3276081604820001</v>
          </cell>
          <cell r="D486" t="str">
            <v>25023140707</v>
          </cell>
        </row>
        <row r="487">
          <cell r="C487" t="str">
            <v>3320021909900003</v>
          </cell>
          <cell r="D487" t="str">
            <v>25023140699</v>
          </cell>
        </row>
        <row r="488">
          <cell r="C488" t="str">
            <v>3402121008840006</v>
          </cell>
          <cell r="D488" t="str">
            <v>25023140681</v>
          </cell>
        </row>
        <row r="489">
          <cell r="C489" t="str">
            <v>3402120810740001</v>
          </cell>
          <cell r="D489" t="str">
            <v>25023140673</v>
          </cell>
        </row>
        <row r="490">
          <cell r="C490" t="str">
            <v>6471041704970004</v>
          </cell>
          <cell r="D490" t="str">
            <v>25005279408</v>
          </cell>
        </row>
        <row r="491">
          <cell r="C491" t="str">
            <v>1402061506990007</v>
          </cell>
          <cell r="D491" t="str">
            <v>24219362688</v>
          </cell>
        </row>
        <row r="492">
          <cell r="C492" t="str">
            <v>3274012110900004</v>
          </cell>
          <cell r="D492" t="str">
            <v>24136341161</v>
          </cell>
        </row>
        <row r="493">
          <cell r="C493" t="str">
            <v>5307050909890004</v>
          </cell>
          <cell r="D493" t="str">
            <v>24127900967</v>
          </cell>
        </row>
        <row r="494">
          <cell r="C494" t="str">
            <v>7471071212940003</v>
          </cell>
          <cell r="D494" t="str">
            <v>24124858168</v>
          </cell>
        </row>
        <row r="495">
          <cell r="C495" t="str">
            <v>1801051508930003</v>
          </cell>
          <cell r="D495" t="str">
            <v>24145686960</v>
          </cell>
        </row>
        <row r="496">
          <cell r="C496" t="str">
            <v>3209182006980008</v>
          </cell>
          <cell r="D496" t="str">
            <v>24124121351</v>
          </cell>
        </row>
        <row r="497">
          <cell r="C497" t="str">
            <v>5203040107810503</v>
          </cell>
          <cell r="D497" t="str">
            <v>24119877561</v>
          </cell>
        </row>
        <row r="498">
          <cell r="C498" t="str">
            <v>1304032706010003</v>
          </cell>
          <cell r="D498" t="str">
            <v>24115993230</v>
          </cell>
        </row>
        <row r="499">
          <cell r="C499" t="str">
            <v>1502050905020001</v>
          </cell>
          <cell r="D499" t="str">
            <v>24115993289</v>
          </cell>
        </row>
        <row r="500">
          <cell r="C500" t="str">
            <v>1201101505000003</v>
          </cell>
          <cell r="D500" t="str">
            <v>24115993073</v>
          </cell>
        </row>
        <row r="501">
          <cell r="C501" t="str">
            <v>3404131706020001</v>
          </cell>
          <cell r="D501" t="str">
            <v>24113167043</v>
          </cell>
        </row>
        <row r="502">
          <cell r="C502" t="str">
            <v>1401170211030003</v>
          </cell>
          <cell r="D502" t="str">
            <v>24099947624</v>
          </cell>
        </row>
        <row r="503">
          <cell r="C503" t="str">
            <v>1804041304960004</v>
          </cell>
          <cell r="D503" t="str">
            <v>24099657629</v>
          </cell>
        </row>
        <row r="504">
          <cell r="C504" t="str">
            <v>1971010707970001</v>
          </cell>
          <cell r="D504" t="str">
            <v>24083977991</v>
          </cell>
        </row>
        <row r="505">
          <cell r="C505" t="str">
            <v>1809050104990002</v>
          </cell>
          <cell r="D505" t="str">
            <v>24099657553</v>
          </cell>
        </row>
        <row r="506">
          <cell r="C506" t="str">
            <v>3273150808880001</v>
          </cell>
          <cell r="D506" t="str">
            <v>24071456180</v>
          </cell>
        </row>
        <row r="507">
          <cell r="C507" t="str">
            <v>3273030505910005</v>
          </cell>
          <cell r="D507" t="str">
            <v>24071456297</v>
          </cell>
        </row>
        <row r="508">
          <cell r="C508" t="str">
            <v>3209052404930002</v>
          </cell>
          <cell r="D508" t="str">
            <v>24070516935</v>
          </cell>
        </row>
        <row r="509">
          <cell r="C509" t="str">
            <v>3310011807030001</v>
          </cell>
          <cell r="D509" t="str">
            <v>24062870696</v>
          </cell>
        </row>
        <row r="510">
          <cell r="C510" t="str">
            <v>3578131112860001</v>
          </cell>
          <cell r="D510" t="str">
            <v>24057576563</v>
          </cell>
        </row>
        <row r="511">
          <cell r="C511" t="str">
            <v>3524260101870015</v>
          </cell>
          <cell r="D511" t="str">
            <v>24057576555</v>
          </cell>
        </row>
        <row r="512">
          <cell r="C512" t="str">
            <v>1708052205980001</v>
          </cell>
          <cell r="D512" t="str">
            <v>24044364610</v>
          </cell>
        </row>
        <row r="513">
          <cell r="C513" t="str">
            <v>1673081210780003</v>
          </cell>
          <cell r="D513" t="str">
            <v>24045287695</v>
          </cell>
        </row>
        <row r="514">
          <cell r="C514" t="str">
            <v>1671131808890005</v>
          </cell>
          <cell r="D514" t="str">
            <v>24045287620</v>
          </cell>
        </row>
        <row r="515">
          <cell r="C515" t="str">
            <v>5307072003810002</v>
          </cell>
          <cell r="D515" t="str">
            <v>24034968917</v>
          </cell>
        </row>
        <row r="516">
          <cell r="C516" t="str">
            <v>6472052006000006</v>
          </cell>
          <cell r="D516" t="str">
            <v>24034968263</v>
          </cell>
        </row>
        <row r="517">
          <cell r="C517" t="str">
            <v>3209391701920001</v>
          </cell>
          <cell r="D517" t="str">
            <v>24034968743</v>
          </cell>
        </row>
        <row r="518">
          <cell r="C518" t="str">
            <v>1771062903010004</v>
          </cell>
          <cell r="D518" t="str">
            <v>24036290302</v>
          </cell>
        </row>
        <row r="519">
          <cell r="C519" t="str">
            <v>3215274701900001</v>
          </cell>
          <cell r="D519" t="str">
            <v>24028907228</v>
          </cell>
        </row>
        <row r="520">
          <cell r="C520" t="str">
            <v>3506041911980001</v>
          </cell>
          <cell r="D520" t="str">
            <v>24032440323</v>
          </cell>
        </row>
        <row r="521">
          <cell r="C521" t="str">
            <v>1371103001900005</v>
          </cell>
          <cell r="D521" t="str">
            <v>24045771359</v>
          </cell>
        </row>
        <row r="522">
          <cell r="C522" t="str">
            <v>3302181211890001</v>
          </cell>
          <cell r="D522" t="str">
            <v>24017836834</v>
          </cell>
        </row>
        <row r="523">
          <cell r="C523" t="str">
            <v>3374131304870002</v>
          </cell>
          <cell r="D523" t="str">
            <v>24017836867</v>
          </cell>
        </row>
        <row r="524">
          <cell r="C524" t="str">
            <v>3404161005020002</v>
          </cell>
          <cell r="D524" t="str">
            <v>24017836883</v>
          </cell>
        </row>
        <row r="525">
          <cell r="C525" t="str">
            <v>3321070306890001</v>
          </cell>
          <cell r="D525" t="str">
            <v>24017836677</v>
          </cell>
        </row>
        <row r="526">
          <cell r="C526" t="str">
            <v>5309012908970002</v>
          </cell>
          <cell r="D526" t="str">
            <v>24005788864</v>
          </cell>
        </row>
        <row r="527">
          <cell r="C527" t="str">
            <v>6471026603950002</v>
          </cell>
          <cell r="D527" t="str">
            <v>24016926594</v>
          </cell>
        </row>
        <row r="528">
          <cell r="C528" t="str">
            <v>1571030806010021</v>
          </cell>
          <cell r="D528" t="str">
            <v>23130985577</v>
          </cell>
        </row>
        <row r="529">
          <cell r="C529" t="str">
            <v>3202051607940002</v>
          </cell>
          <cell r="D529" t="str">
            <v>23107728547</v>
          </cell>
        </row>
        <row r="530">
          <cell r="C530" t="str">
            <v>1205041704870005</v>
          </cell>
          <cell r="D530" t="str">
            <v>23101709345</v>
          </cell>
        </row>
        <row r="531">
          <cell r="C531" t="str">
            <v>7571021902930002</v>
          </cell>
          <cell r="D531" t="str">
            <v>23035375841</v>
          </cell>
        </row>
        <row r="532">
          <cell r="C532" t="str">
            <v>3674061610990010</v>
          </cell>
          <cell r="D532" t="str">
            <v>22152470757</v>
          </cell>
        </row>
        <row r="533">
          <cell r="C533" t="str">
            <v>7271031307830003</v>
          </cell>
          <cell r="D533" t="str">
            <v>22130787298</v>
          </cell>
        </row>
        <row r="534">
          <cell r="C534" t="str">
            <v>3211172909930005</v>
          </cell>
          <cell r="D534" t="str">
            <v>22061524330</v>
          </cell>
        </row>
        <row r="535">
          <cell r="C535" t="str">
            <v>3520111407940001</v>
          </cell>
          <cell r="D535" t="str">
            <v>22044445405</v>
          </cell>
        </row>
        <row r="536">
          <cell r="C536" t="str">
            <v>1801101009860005</v>
          </cell>
          <cell r="D536" t="str">
            <v>22024028015</v>
          </cell>
        </row>
        <row r="537">
          <cell r="C537" t="str">
            <v>1801130609980009</v>
          </cell>
          <cell r="D537" t="str">
            <v>22020361238</v>
          </cell>
        </row>
        <row r="538">
          <cell r="C538" t="str">
            <v>3276040707800001</v>
          </cell>
          <cell r="D538" t="str">
            <v>22020361162</v>
          </cell>
        </row>
        <row r="539">
          <cell r="C539" t="str">
            <v>3209131609940002</v>
          </cell>
          <cell r="D539" t="str">
            <v>22007795515</v>
          </cell>
        </row>
        <row r="540">
          <cell r="C540" t="str">
            <v>3529080205940003</v>
          </cell>
          <cell r="D540" t="str">
            <v>21059477139</v>
          </cell>
        </row>
        <row r="541">
          <cell r="C541" t="str">
            <v>3404115702920001</v>
          </cell>
          <cell r="D541" t="str">
            <v>20053051601</v>
          </cell>
        </row>
        <row r="542">
          <cell r="C542" t="str">
            <v>3471071903990001</v>
          </cell>
          <cell r="D542" t="str">
            <v>20013792245</v>
          </cell>
        </row>
        <row r="543">
          <cell r="C543" t="str">
            <v>3603202403920003</v>
          </cell>
          <cell r="D543" t="str">
            <v>14004563301</v>
          </cell>
        </row>
        <row r="544">
          <cell r="C544" t="str">
            <v>3173033108891001</v>
          </cell>
          <cell r="D544" t="str">
            <v>13022720109</v>
          </cell>
        </row>
        <row r="545">
          <cell r="C545" t="str">
            <v>1671142303710005</v>
          </cell>
          <cell r="D545" t="str">
            <v>12032521515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tunjuk Pengisian"/>
      <sheetName val="data_upah"/>
      <sheetName val="Petunjuk_Pengisian"/>
    </sheetNames>
    <sheetDataSet>
      <sheetData sheetId="0"/>
      <sheetData sheetId="1">
        <row r="2">
          <cell r="A2" t="str">
            <v>1803021712960003</v>
          </cell>
          <cell r="C2" t="str">
            <v>25023140434</v>
          </cell>
        </row>
        <row r="3">
          <cell r="A3" t="str">
            <v>7171041706920001</v>
          </cell>
          <cell r="C3" t="str">
            <v>25023139873</v>
          </cell>
        </row>
        <row r="4">
          <cell r="A4" t="str">
            <v>3524260101870015</v>
          </cell>
          <cell r="C4" t="str">
            <v>24057576555</v>
          </cell>
        </row>
        <row r="5">
          <cell r="A5" t="str">
            <v>3175070503750022</v>
          </cell>
          <cell r="C5" t="str">
            <v>25023141416</v>
          </cell>
        </row>
        <row r="6">
          <cell r="A6" t="str">
            <v>3204321007990009</v>
          </cell>
          <cell r="C6" t="str">
            <v>25051201082</v>
          </cell>
        </row>
        <row r="7">
          <cell r="A7" t="str">
            <v>6402131706970001</v>
          </cell>
        </row>
        <row r="8">
          <cell r="A8" t="str">
            <v>3172040403981001</v>
          </cell>
        </row>
        <row r="9">
          <cell r="A9" t="str">
            <v>3578251605970001</v>
          </cell>
          <cell r="C9" t="str">
            <v>25051200886</v>
          </cell>
        </row>
        <row r="10">
          <cell r="A10" t="str">
            <v>3171060806800002</v>
          </cell>
          <cell r="C10" t="str">
            <v>25051199708</v>
          </cell>
        </row>
        <row r="11">
          <cell r="A11" t="str">
            <v>3578102003950001</v>
          </cell>
        </row>
        <row r="12">
          <cell r="A12" t="str">
            <v>3515010304880001</v>
          </cell>
          <cell r="C12" t="str">
            <v>25051200878</v>
          </cell>
        </row>
        <row r="13">
          <cell r="A13" t="str">
            <v>1224090708960001</v>
          </cell>
          <cell r="C13" t="str">
            <v>25023139709</v>
          </cell>
        </row>
        <row r="14">
          <cell r="A14" t="str">
            <v>3172041705870006</v>
          </cell>
          <cell r="C14" t="str">
            <v>25051201033</v>
          </cell>
        </row>
        <row r="15">
          <cell r="A15" t="str">
            <v>3201112705860001</v>
          </cell>
        </row>
        <row r="16">
          <cell r="A16" t="str">
            <v>3172042611941003</v>
          </cell>
        </row>
        <row r="17">
          <cell r="A17" t="str">
            <v>3321070306890001</v>
          </cell>
          <cell r="C17" t="str">
            <v>24017836677</v>
          </cell>
        </row>
        <row r="18">
          <cell r="A18" t="str">
            <v>3208150401930003</v>
          </cell>
          <cell r="C18" t="str">
            <v>25060699797</v>
          </cell>
        </row>
        <row r="19">
          <cell r="A19" t="str">
            <v>3404110210000001</v>
          </cell>
        </row>
        <row r="20">
          <cell r="A20" t="str">
            <v>3172020101950006</v>
          </cell>
          <cell r="C20" t="str">
            <v>25051199674</v>
          </cell>
        </row>
        <row r="21">
          <cell r="A21" t="str">
            <v>3302272005860005</v>
          </cell>
          <cell r="C21" t="str">
            <v>25051199773</v>
          </cell>
        </row>
        <row r="22">
          <cell r="A22" t="str">
            <v>3671011405990009</v>
          </cell>
          <cell r="C22" t="str">
            <v>25051200183</v>
          </cell>
        </row>
        <row r="23">
          <cell r="A23" t="str">
            <v>5201092512960002</v>
          </cell>
          <cell r="C23" t="str">
            <v>25051199633</v>
          </cell>
        </row>
        <row r="24">
          <cell r="A24" t="str">
            <v>5309012908970002</v>
          </cell>
          <cell r="C24" t="str">
            <v>24005788864</v>
          </cell>
        </row>
        <row r="25">
          <cell r="A25" t="str">
            <v>3175015503990005</v>
          </cell>
        </row>
        <row r="26">
          <cell r="A26" t="str">
            <v>3172040809980011</v>
          </cell>
        </row>
        <row r="27">
          <cell r="A27" t="str">
            <v>3209192001870004</v>
          </cell>
        </row>
        <row r="28">
          <cell r="A28" t="str">
            <v>3522021607940002</v>
          </cell>
          <cell r="C28" t="str">
            <v>25023141523</v>
          </cell>
        </row>
        <row r="29">
          <cell r="A29" t="str">
            <v>1801051508930003</v>
          </cell>
          <cell r="C29" t="str">
            <v>24145686960</v>
          </cell>
        </row>
        <row r="30">
          <cell r="A30" t="str">
            <v>1505062611990006</v>
          </cell>
          <cell r="C30" t="str">
            <v>25051200332</v>
          </cell>
        </row>
        <row r="31">
          <cell r="A31" t="str">
            <v>3275041508820047</v>
          </cell>
        </row>
        <row r="32">
          <cell r="A32" t="str">
            <v>3324092804870004</v>
          </cell>
          <cell r="C32" t="str">
            <v>25023141366</v>
          </cell>
        </row>
        <row r="33">
          <cell r="A33" t="str">
            <v>5371012802000003</v>
          </cell>
          <cell r="C33" t="str">
            <v>25023140491</v>
          </cell>
        </row>
        <row r="34">
          <cell r="A34" t="str">
            <v>3271042507960002</v>
          </cell>
          <cell r="C34" t="str">
            <v>25051199583</v>
          </cell>
        </row>
        <row r="35">
          <cell r="A35" t="str">
            <v>3171080405940001</v>
          </cell>
          <cell r="C35" t="str">
            <v>25060699771</v>
          </cell>
        </row>
        <row r="36">
          <cell r="A36" t="str">
            <v>3673012308980002</v>
          </cell>
          <cell r="C36" t="str">
            <v>25051200175</v>
          </cell>
        </row>
        <row r="37">
          <cell r="A37" t="str">
            <v>1401040110970001</v>
          </cell>
          <cell r="C37" t="str">
            <v>25051200100</v>
          </cell>
        </row>
        <row r="38">
          <cell r="A38" t="str">
            <v>3174092504850013</v>
          </cell>
          <cell r="C38" t="str">
            <v>25051199542</v>
          </cell>
        </row>
        <row r="39">
          <cell r="A39" t="str">
            <v>6472052006000006</v>
          </cell>
          <cell r="C39" t="str">
            <v>24034968263</v>
          </cell>
        </row>
        <row r="40">
          <cell r="A40" t="str">
            <v>5271051310920002</v>
          </cell>
          <cell r="C40" t="str">
            <v>25023140848</v>
          </cell>
        </row>
        <row r="41">
          <cell r="A41" t="str">
            <v>3311101212970003</v>
          </cell>
        </row>
        <row r="42">
          <cell r="A42" t="str">
            <v>3374132410950001</v>
          </cell>
          <cell r="C42" t="str">
            <v>25051199914</v>
          </cell>
        </row>
        <row r="43">
          <cell r="A43" t="str">
            <v>1608160905050001</v>
          </cell>
          <cell r="C43" t="str">
            <v>25060699961</v>
          </cell>
        </row>
        <row r="44">
          <cell r="A44" t="str">
            <v>3509191905000004</v>
          </cell>
        </row>
        <row r="45">
          <cell r="A45" t="str">
            <v>3509131608860003</v>
          </cell>
        </row>
        <row r="46">
          <cell r="A46" t="str">
            <v>1607100609950005</v>
          </cell>
        </row>
        <row r="47">
          <cell r="A47" t="str">
            <v>3509230311950004</v>
          </cell>
        </row>
        <row r="48">
          <cell r="A48" t="str">
            <v>3307140204920004</v>
          </cell>
          <cell r="C48" t="str">
            <v>25051200605</v>
          </cell>
        </row>
        <row r="49">
          <cell r="A49" t="str">
            <v>3172041903990007</v>
          </cell>
        </row>
        <row r="50">
          <cell r="A50" t="str">
            <v>1102072303970002</v>
          </cell>
          <cell r="C50" t="str">
            <v>25023141465</v>
          </cell>
        </row>
        <row r="51">
          <cell r="A51" t="str">
            <v>6471055501010002</v>
          </cell>
          <cell r="C51" t="str">
            <v>25051200217</v>
          </cell>
        </row>
        <row r="52">
          <cell r="A52" t="str">
            <v>3276031504020001</v>
          </cell>
          <cell r="C52" t="str">
            <v>25051200167</v>
          </cell>
        </row>
        <row r="53">
          <cell r="A53" t="str">
            <v>3174081308980001</v>
          </cell>
        </row>
        <row r="54">
          <cell r="A54" t="str">
            <v>1211021409990003</v>
          </cell>
        </row>
        <row r="55">
          <cell r="A55" t="str">
            <v>1607012605970005</v>
          </cell>
          <cell r="C55" t="str">
            <v>25051200449</v>
          </cell>
        </row>
        <row r="56">
          <cell r="A56" t="str">
            <v>3328026902040001</v>
          </cell>
        </row>
        <row r="57">
          <cell r="A57" t="str">
            <v>3504110405980002</v>
          </cell>
          <cell r="C57" t="str">
            <v>25051200852</v>
          </cell>
        </row>
        <row r="58">
          <cell r="A58" t="str">
            <v>7571021902930002</v>
          </cell>
          <cell r="C58" t="str">
            <v>23035375841</v>
          </cell>
        </row>
        <row r="59">
          <cell r="A59" t="str">
            <v>3175052903010001</v>
          </cell>
          <cell r="C59" t="str">
            <v>25051199492</v>
          </cell>
        </row>
        <row r="60">
          <cell r="A60" t="str">
            <v>1671131808890005</v>
          </cell>
          <cell r="C60" t="str">
            <v>24045287620</v>
          </cell>
        </row>
        <row r="61">
          <cell r="A61" t="str">
            <v>5271012408970002</v>
          </cell>
          <cell r="C61" t="str">
            <v>25051199617</v>
          </cell>
        </row>
        <row r="62">
          <cell r="A62" t="str">
            <v>3603220304910001</v>
          </cell>
        </row>
        <row r="63">
          <cell r="A63" t="str">
            <v>3321021507960003</v>
          </cell>
        </row>
        <row r="64">
          <cell r="A64" t="str">
            <v>1971042004930002</v>
          </cell>
          <cell r="C64" t="str">
            <v>25023140400</v>
          </cell>
        </row>
        <row r="65">
          <cell r="A65" t="str">
            <v>3671074306920001</v>
          </cell>
          <cell r="C65" t="str">
            <v>25023140475</v>
          </cell>
        </row>
        <row r="66">
          <cell r="A66" t="str">
            <v>3275092306910007</v>
          </cell>
        </row>
        <row r="67">
          <cell r="A67" t="str">
            <v>1401171901030001</v>
          </cell>
          <cell r="C67" t="str">
            <v>25023141093</v>
          </cell>
        </row>
        <row r="68">
          <cell r="A68" t="str">
            <v>6472040206990003</v>
          </cell>
          <cell r="C68" t="str">
            <v>25023141291</v>
          </cell>
        </row>
        <row r="69">
          <cell r="A69" t="str">
            <v>3507101608830005</v>
          </cell>
          <cell r="C69" t="str">
            <v>25023139808</v>
          </cell>
        </row>
        <row r="70">
          <cell r="A70" t="str">
            <v>6471051111000002</v>
          </cell>
          <cell r="C70" t="str">
            <v>25023141127</v>
          </cell>
        </row>
        <row r="71">
          <cell r="A71" t="str">
            <v>7371130205820007</v>
          </cell>
        </row>
        <row r="72">
          <cell r="A72" t="str">
            <v>1611042212020003</v>
          </cell>
        </row>
        <row r="73">
          <cell r="A73" t="str">
            <v>1971010707970001</v>
          </cell>
          <cell r="C73" t="str">
            <v>24083977991</v>
          </cell>
        </row>
        <row r="74">
          <cell r="A74" t="str">
            <v>1705052010060002</v>
          </cell>
          <cell r="C74" t="str">
            <v>25051200944</v>
          </cell>
        </row>
        <row r="75">
          <cell r="A75" t="str">
            <v>7306012002000002</v>
          </cell>
        </row>
        <row r="76">
          <cell r="A76" t="str">
            <v>6471010602970001</v>
          </cell>
          <cell r="C76" t="str">
            <v>25023140004</v>
          </cell>
        </row>
        <row r="77">
          <cell r="A77" t="str">
            <v>3402172101950001</v>
          </cell>
          <cell r="C77" t="str">
            <v>25023141010</v>
          </cell>
        </row>
        <row r="78">
          <cell r="A78" t="str">
            <v>1302102108030007</v>
          </cell>
          <cell r="C78" t="str">
            <v>25023141051</v>
          </cell>
        </row>
        <row r="79">
          <cell r="A79" t="str">
            <v>3174011911960003</v>
          </cell>
        </row>
        <row r="80">
          <cell r="A80" t="str">
            <v>3404161005020002</v>
          </cell>
          <cell r="C80" t="str">
            <v>24017836883</v>
          </cell>
        </row>
        <row r="81">
          <cell r="A81" t="str">
            <v>3216025202950006</v>
          </cell>
        </row>
        <row r="82">
          <cell r="A82" t="str">
            <v>3404144309950002</v>
          </cell>
          <cell r="C82" t="str">
            <v>25023140574</v>
          </cell>
        </row>
        <row r="83">
          <cell r="A83" t="str">
            <v>3674030705850012</v>
          </cell>
          <cell r="C83" t="str">
            <v>25051199666</v>
          </cell>
        </row>
        <row r="84">
          <cell r="A84" t="str">
            <v>5271031702910004</v>
          </cell>
          <cell r="C84" t="str">
            <v>25023140806</v>
          </cell>
        </row>
        <row r="85">
          <cell r="A85" t="str">
            <v>1607010204970004</v>
          </cell>
        </row>
        <row r="86">
          <cell r="A86" t="str">
            <v>1671031701960007</v>
          </cell>
          <cell r="C86" t="str">
            <v>25051200423</v>
          </cell>
        </row>
        <row r="87">
          <cell r="A87" t="str">
            <v>3275032306820027</v>
          </cell>
          <cell r="C87" t="str">
            <v>25051201058</v>
          </cell>
        </row>
        <row r="88">
          <cell r="A88" t="str">
            <v>1602151712760004</v>
          </cell>
          <cell r="C88" t="str">
            <v>25023141218</v>
          </cell>
        </row>
        <row r="89">
          <cell r="A89" t="str">
            <v>7306162108950003</v>
          </cell>
        </row>
        <row r="90">
          <cell r="A90" t="str">
            <v>3206102006940001</v>
          </cell>
        </row>
        <row r="91">
          <cell r="A91" t="str">
            <v>3313110702900001</v>
          </cell>
          <cell r="C91" t="str">
            <v>25051199971</v>
          </cell>
        </row>
        <row r="92">
          <cell r="A92" t="str">
            <v>3201390806890006</v>
          </cell>
          <cell r="C92" t="str">
            <v>25023140723</v>
          </cell>
        </row>
        <row r="93">
          <cell r="A93" t="str">
            <v>1608160506000001</v>
          </cell>
          <cell r="C93" t="str">
            <v>25023141101</v>
          </cell>
        </row>
        <row r="94">
          <cell r="A94" t="str">
            <v>7106013004960001</v>
          </cell>
          <cell r="C94" t="str">
            <v>25023139881</v>
          </cell>
        </row>
        <row r="95">
          <cell r="A95" t="str">
            <v>5310121807950006</v>
          </cell>
        </row>
        <row r="96">
          <cell r="A96" t="str">
            <v>3215260208820001</v>
          </cell>
          <cell r="C96" t="str">
            <v>25051200621</v>
          </cell>
        </row>
        <row r="97">
          <cell r="A97" t="str">
            <v>3215030402840003</v>
          </cell>
          <cell r="C97" t="str">
            <v>25023140269</v>
          </cell>
        </row>
        <row r="98">
          <cell r="A98" t="str">
            <v>3273150808880001</v>
          </cell>
          <cell r="C98" t="str">
            <v>24071456180</v>
          </cell>
        </row>
        <row r="99">
          <cell r="A99" t="str">
            <v>3209391903950002</v>
          </cell>
          <cell r="C99" t="str">
            <v>25060699722</v>
          </cell>
        </row>
        <row r="100">
          <cell r="A100" t="str">
            <v>3578062605810007</v>
          </cell>
          <cell r="C100" t="str">
            <v>25023141473</v>
          </cell>
        </row>
        <row r="101">
          <cell r="A101" t="str">
            <v>3212310511920002</v>
          </cell>
        </row>
        <row r="102">
          <cell r="A102" t="str">
            <v>3204160902860003</v>
          </cell>
          <cell r="C102" t="str">
            <v>25023141655</v>
          </cell>
        </row>
        <row r="103">
          <cell r="A103" t="str">
            <v>3275044105010013</v>
          </cell>
          <cell r="C103" t="str">
            <v>25038744667</v>
          </cell>
        </row>
        <row r="104">
          <cell r="A104" t="str">
            <v>1673081210780003</v>
          </cell>
          <cell r="C104" t="str">
            <v>24045287695</v>
          </cell>
        </row>
        <row r="105">
          <cell r="A105" t="str">
            <v>3275122709010003</v>
          </cell>
        </row>
        <row r="106">
          <cell r="A106" t="str">
            <v>1471030804030001</v>
          </cell>
          <cell r="C106" t="str">
            <v>25051200084</v>
          </cell>
        </row>
        <row r="107">
          <cell r="A107" t="str">
            <v>3273160108750008</v>
          </cell>
          <cell r="C107" t="str">
            <v>25023141671</v>
          </cell>
        </row>
        <row r="108">
          <cell r="A108" t="str">
            <v>3404131706020001</v>
          </cell>
          <cell r="C108" t="str">
            <v>24113167043</v>
          </cell>
        </row>
        <row r="109">
          <cell r="A109" t="str">
            <v>7306071302820003</v>
          </cell>
          <cell r="C109" t="str">
            <v>25023140509</v>
          </cell>
        </row>
        <row r="110">
          <cell r="A110" t="str">
            <v>3175103009910002</v>
          </cell>
        </row>
        <row r="111">
          <cell r="A111" t="str">
            <v>3404115702920001</v>
          </cell>
          <cell r="C111" t="str">
            <v>20053051601</v>
          </cell>
        </row>
        <row r="112">
          <cell r="A112" t="str">
            <v>1371111402020013</v>
          </cell>
        </row>
        <row r="113">
          <cell r="A113" t="str">
            <v>1809010810810002</v>
          </cell>
          <cell r="C113" t="str">
            <v>25023141242</v>
          </cell>
        </row>
        <row r="114">
          <cell r="A114" t="str">
            <v>3273030505910005</v>
          </cell>
          <cell r="C114" t="str">
            <v>24071456297</v>
          </cell>
        </row>
        <row r="115">
          <cell r="A115" t="str">
            <v>6471020111970002</v>
          </cell>
          <cell r="C115" t="str">
            <v>25023140046</v>
          </cell>
        </row>
        <row r="116">
          <cell r="A116" t="str">
            <v>3211262207000002</v>
          </cell>
          <cell r="C116" t="str">
            <v>25023141390</v>
          </cell>
        </row>
        <row r="117">
          <cell r="A117" t="str">
            <v>3172041108930004</v>
          </cell>
        </row>
        <row r="118">
          <cell r="A118" t="str">
            <v>3507192308820005</v>
          </cell>
          <cell r="C118" t="str">
            <v>25023139840</v>
          </cell>
        </row>
        <row r="119">
          <cell r="A119" t="str">
            <v>1611022301970002</v>
          </cell>
          <cell r="C119" t="str">
            <v>25051200233</v>
          </cell>
        </row>
        <row r="120">
          <cell r="A120" t="str">
            <v>7103241412760001</v>
          </cell>
          <cell r="C120" t="str">
            <v>25023139915</v>
          </cell>
        </row>
        <row r="121">
          <cell r="A121" t="str">
            <v>5371013107970001</v>
          </cell>
          <cell r="C121" t="str">
            <v>25023139758</v>
          </cell>
        </row>
        <row r="122">
          <cell r="A122" t="str">
            <v>6108020512050003</v>
          </cell>
        </row>
        <row r="123">
          <cell r="A123" t="str">
            <v>3201170306910004</v>
          </cell>
          <cell r="C123" t="str">
            <v>25023141630</v>
          </cell>
        </row>
        <row r="124">
          <cell r="A124" t="str">
            <v>3175070608830004</v>
          </cell>
        </row>
        <row r="125">
          <cell r="A125" t="str">
            <v>1106082810970002</v>
          </cell>
          <cell r="C125" t="str">
            <v>25023141614</v>
          </cell>
        </row>
        <row r="126">
          <cell r="A126" t="str">
            <v>3509223008920001</v>
          </cell>
        </row>
        <row r="127">
          <cell r="A127" t="str">
            <v>6472050202940007</v>
          </cell>
          <cell r="C127" t="str">
            <v>25051200456</v>
          </cell>
        </row>
        <row r="128">
          <cell r="A128" t="str">
            <v>3215030906920003</v>
          </cell>
          <cell r="C128" t="str">
            <v>25023140251</v>
          </cell>
        </row>
        <row r="129">
          <cell r="A129" t="str">
            <v>3175031507830019</v>
          </cell>
          <cell r="C129" t="str">
            <v>25023140103</v>
          </cell>
        </row>
        <row r="130">
          <cell r="A130" t="str">
            <v>7104062112930001</v>
          </cell>
        </row>
        <row r="131">
          <cell r="A131" t="str">
            <v>3404024410930003</v>
          </cell>
          <cell r="C131" t="str">
            <v>25023140186</v>
          </cell>
        </row>
        <row r="132">
          <cell r="A132" t="str">
            <v>3674032707760008</v>
          </cell>
        </row>
        <row r="133">
          <cell r="A133" t="str">
            <v>3201205208960010</v>
          </cell>
        </row>
        <row r="134">
          <cell r="A134" t="str">
            <v>1804041304960004</v>
          </cell>
          <cell r="C134" t="str">
            <v>24099657629</v>
          </cell>
        </row>
        <row r="135">
          <cell r="A135" t="str">
            <v>3209391701920001</v>
          </cell>
          <cell r="C135" t="str">
            <v>24034968743</v>
          </cell>
        </row>
        <row r="136">
          <cell r="A136" t="str">
            <v>3175082512970006</v>
          </cell>
        </row>
        <row r="137">
          <cell r="A137" t="str">
            <v>3374081210910003</v>
          </cell>
          <cell r="C137" t="str">
            <v>25051199948</v>
          </cell>
        </row>
        <row r="138">
          <cell r="A138" t="str">
            <v>3674062703990004</v>
          </cell>
          <cell r="C138" t="str">
            <v>25051200126</v>
          </cell>
        </row>
        <row r="139">
          <cell r="A139" t="str">
            <v>7503034607990001</v>
          </cell>
          <cell r="C139" t="str">
            <v>25023139782</v>
          </cell>
        </row>
        <row r="140">
          <cell r="A140" t="str">
            <v>3208141704950003</v>
          </cell>
        </row>
        <row r="141">
          <cell r="A141" t="str">
            <v>3674020801000006</v>
          </cell>
        </row>
        <row r="142">
          <cell r="A142" t="str">
            <v>3404052606900002</v>
          </cell>
          <cell r="C142" t="str">
            <v>25023141036</v>
          </cell>
        </row>
        <row r="143">
          <cell r="A143" t="str">
            <v>3404130602870002</v>
          </cell>
          <cell r="C143" t="str">
            <v>25051200068</v>
          </cell>
        </row>
        <row r="144">
          <cell r="A144" t="str">
            <v>3174015309970008</v>
          </cell>
        </row>
        <row r="145">
          <cell r="A145" t="str">
            <v>3403074906000001</v>
          </cell>
          <cell r="C145" t="str">
            <v>25038744592</v>
          </cell>
        </row>
        <row r="146">
          <cell r="A146" t="str">
            <v>6473032212970003</v>
          </cell>
          <cell r="C146" t="str">
            <v>25060699862</v>
          </cell>
        </row>
        <row r="147">
          <cell r="A147" t="str">
            <v>3573031205890002</v>
          </cell>
          <cell r="C147" t="str">
            <v>25038744709</v>
          </cell>
        </row>
        <row r="148">
          <cell r="A148" t="str">
            <v>3402120810740001</v>
          </cell>
          <cell r="C148" t="str">
            <v>25023140673</v>
          </cell>
        </row>
        <row r="149">
          <cell r="A149" t="str">
            <v>3310162706940004</v>
          </cell>
          <cell r="C149" t="str">
            <v>25023140640</v>
          </cell>
        </row>
        <row r="150">
          <cell r="A150" t="str">
            <v>1809012202790002</v>
          </cell>
          <cell r="C150" t="str">
            <v>25023140582</v>
          </cell>
        </row>
        <row r="151">
          <cell r="A151" t="str">
            <v>3306150208920001</v>
          </cell>
        </row>
        <row r="152">
          <cell r="A152" t="str">
            <v>3309052505959004</v>
          </cell>
          <cell r="C152" t="str">
            <v>25023140020</v>
          </cell>
        </row>
        <row r="153">
          <cell r="A153" t="str">
            <v>1106100101830010</v>
          </cell>
          <cell r="C153" t="str">
            <v>25023140616</v>
          </cell>
        </row>
        <row r="154">
          <cell r="A154" t="str">
            <v>3175013107940001</v>
          </cell>
        </row>
        <row r="155">
          <cell r="A155" t="str">
            <v>3604212101050002</v>
          </cell>
          <cell r="C155" t="str">
            <v>25051199484</v>
          </cell>
        </row>
        <row r="156">
          <cell r="A156" t="str">
            <v>3573021205820003</v>
          </cell>
          <cell r="C156" t="str">
            <v>25051200803</v>
          </cell>
        </row>
        <row r="157">
          <cell r="A157" t="str">
            <v>3215030704900001</v>
          </cell>
          <cell r="C157" t="str">
            <v>25023140277</v>
          </cell>
        </row>
        <row r="158">
          <cell r="A158" t="str">
            <v>3310251601890001</v>
          </cell>
          <cell r="C158" t="str">
            <v>25023140483</v>
          </cell>
        </row>
        <row r="159">
          <cell r="A159" t="str">
            <v>3307046002000004</v>
          </cell>
          <cell r="C159" t="str">
            <v>25023140194</v>
          </cell>
        </row>
        <row r="160">
          <cell r="A160" t="str">
            <v>3275120511850007</v>
          </cell>
          <cell r="C160" t="str">
            <v>25051201090</v>
          </cell>
        </row>
        <row r="161">
          <cell r="A161" t="str">
            <v>3313090308000001</v>
          </cell>
          <cell r="C161" t="str">
            <v>25051200019</v>
          </cell>
        </row>
        <row r="162">
          <cell r="A162" t="str">
            <v>3171031511800007</v>
          </cell>
        </row>
        <row r="163">
          <cell r="A163" t="str">
            <v>1704080404980001</v>
          </cell>
          <cell r="C163" t="str">
            <v>25051200241</v>
          </cell>
        </row>
        <row r="164">
          <cell r="A164" t="str">
            <v>3202051607940002</v>
          </cell>
          <cell r="C164" t="str">
            <v>23107728547</v>
          </cell>
        </row>
        <row r="165">
          <cell r="A165" t="str">
            <v>3171080206820001</v>
          </cell>
          <cell r="C165" t="str">
            <v>25051201017</v>
          </cell>
        </row>
        <row r="166">
          <cell r="A166" t="str">
            <v>5271050605990003</v>
          </cell>
          <cell r="C166" t="str">
            <v>25060699995</v>
          </cell>
        </row>
        <row r="167">
          <cell r="A167" t="str">
            <v>1472022202030042</v>
          </cell>
          <cell r="C167" t="str">
            <v>25051200365</v>
          </cell>
        </row>
        <row r="168">
          <cell r="A168" t="str">
            <v>1207232812930008</v>
          </cell>
          <cell r="C168" t="str">
            <v>25051200746</v>
          </cell>
        </row>
        <row r="169">
          <cell r="A169" t="str">
            <v>3174021606960001</v>
          </cell>
        </row>
        <row r="170">
          <cell r="A170" t="str">
            <v>3302271008970002</v>
          </cell>
          <cell r="C170" t="str">
            <v>25023140210</v>
          </cell>
        </row>
        <row r="171">
          <cell r="A171" t="str">
            <v>3275092912950019</v>
          </cell>
          <cell r="C171" t="str">
            <v>25051201066</v>
          </cell>
        </row>
        <row r="172">
          <cell r="A172" t="str">
            <v>3175022308990006</v>
          </cell>
        </row>
        <row r="173">
          <cell r="A173" t="str">
            <v>3515181109870004</v>
          </cell>
          <cell r="C173" t="str">
            <v>25023139980</v>
          </cell>
        </row>
        <row r="174">
          <cell r="A174" t="str">
            <v>1371037101930003</v>
          </cell>
          <cell r="C174" t="str">
            <v>25060699888</v>
          </cell>
        </row>
        <row r="175">
          <cell r="A175" t="str">
            <v>6304041108920001</v>
          </cell>
        </row>
        <row r="176">
          <cell r="A176" t="str">
            <v>1271152102920003</v>
          </cell>
          <cell r="C176" t="str">
            <v>25051200696</v>
          </cell>
        </row>
        <row r="177">
          <cell r="A177" t="str">
            <v>3172011110030004</v>
          </cell>
          <cell r="C177" t="str">
            <v>25023139964</v>
          </cell>
        </row>
        <row r="178">
          <cell r="A178" t="str">
            <v>3201400809870006</v>
          </cell>
        </row>
        <row r="179">
          <cell r="A179" t="str">
            <v>3202321008980002</v>
          </cell>
        </row>
        <row r="180">
          <cell r="A180" t="str">
            <v>6171071306880003</v>
          </cell>
          <cell r="C180" t="str">
            <v>25023141234</v>
          </cell>
        </row>
        <row r="181">
          <cell r="A181" t="str">
            <v>3174060802750004</v>
          </cell>
        </row>
        <row r="182">
          <cell r="A182" t="str">
            <v>3172045103940003</v>
          </cell>
          <cell r="C182" t="str">
            <v>25060699870</v>
          </cell>
        </row>
        <row r="183">
          <cell r="A183" t="str">
            <v>3174090701096794</v>
          </cell>
          <cell r="C183" t="str">
            <v>25038744659</v>
          </cell>
        </row>
        <row r="184">
          <cell r="A184" t="str">
            <v>3175016301980003</v>
          </cell>
        </row>
        <row r="185">
          <cell r="A185" t="str">
            <v>3271012212830014</v>
          </cell>
          <cell r="C185" t="str">
            <v>25051200670</v>
          </cell>
        </row>
        <row r="186">
          <cell r="A186" t="str">
            <v>5315022212970004</v>
          </cell>
        </row>
        <row r="187">
          <cell r="A187" t="str">
            <v>3302194401980001</v>
          </cell>
          <cell r="C187" t="str">
            <v>25023140178</v>
          </cell>
        </row>
        <row r="188">
          <cell r="A188" t="str">
            <v>3275060510950029</v>
          </cell>
        </row>
        <row r="189">
          <cell r="A189" t="str">
            <v>6304055408850002</v>
          </cell>
        </row>
        <row r="190">
          <cell r="A190" t="str">
            <v>3603171508010006</v>
          </cell>
          <cell r="C190" t="str">
            <v>25023139972</v>
          </cell>
        </row>
        <row r="191">
          <cell r="A191" t="str">
            <v>6472052106060007</v>
          </cell>
          <cell r="C191" t="str">
            <v>25051200464</v>
          </cell>
        </row>
        <row r="192">
          <cell r="A192" t="str">
            <v>3520111407940001</v>
          </cell>
          <cell r="C192" t="str">
            <v>22044445405</v>
          </cell>
        </row>
        <row r="193">
          <cell r="A193" t="str">
            <v>1371060507000005</v>
          </cell>
          <cell r="C193" t="str">
            <v>25023141085</v>
          </cell>
        </row>
        <row r="194">
          <cell r="A194" t="str">
            <v>1571072710030121</v>
          </cell>
          <cell r="C194" t="str">
            <v>25051200340</v>
          </cell>
        </row>
        <row r="195">
          <cell r="A195" t="str">
            <v>1304030409980002</v>
          </cell>
          <cell r="C195" t="str">
            <v>25051200092</v>
          </cell>
        </row>
        <row r="196">
          <cell r="A196" t="str">
            <v>3273016603980001</v>
          </cell>
          <cell r="C196" t="str">
            <v>25023141408</v>
          </cell>
        </row>
        <row r="197">
          <cell r="A197" t="str">
            <v>3209202410980008</v>
          </cell>
          <cell r="C197" t="str">
            <v>25051199740</v>
          </cell>
        </row>
        <row r="198">
          <cell r="A198" t="str">
            <v>1671070408790013</v>
          </cell>
          <cell r="C198" t="str">
            <v>25023140566</v>
          </cell>
        </row>
        <row r="199">
          <cell r="A199" t="str">
            <v>1771062903010004</v>
          </cell>
          <cell r="C199" t="str">
            <v>24036290302</v>
          </cell>
        </row>
        <row r="200">
          <cell r="A200" t="str">
            <v>3175061201790002</v>
          </cell>
        </row>
        <row r="201">
          <cell r="A201" t="str">
            <v>3601170103980001</v>
          </cell>
          <cell r="C201" t="str">
            <v>25023141440</v>
          </cell>
        </row>
        <row r="202">
          <cell r="A202" t="str">
            <v>3674071803000001</v>
          </cell>
          <cell r="C202" t="str">
            <v>25051200142</v>
          </cell>
        </row>
        <row r="203">
          <cell r="A203" t="str">
            <v>3175076202971002</v>
          </cell>
          <cell r="C203" t="str">
            <v>25060699946</v>
          </cell>
        </row>
        <row r="204">
          <cell r="A204" t="str">
            <v>3173071108980001</v>
          </cell>
        </row>
        <row r="205">
          <cell r="A205" t="str">
            <v>3506041312000002</v>
          </cell>
          <cell r="C205" t="str">
            <v>25023139790</v>
          </cell>
        </row>
        <row r="206">
          <cell r="A206" t="str">
            <v>3404022506030006</v>
          </cell>
          <cell r="C206" t="str">
            <v>25023141044</v>
          </cell>
        </row>
        <row r="207">
          <cell r="A207" t="str">
            <v>3404062702960006</v>
          </cell>
        </row>
        <row r="208">
          <cell r="A208" t="str">
            <v>6471030702730001</v>
          </cell>
          <cell r="C208" t="str">
            <v>25023140053</v>
          </cell>
        </row>
        <row r="209">
          <cell r="A209" t="str">
            <v>3175064210931004</v>
          </cell>
          <cell r="C209" t="str">
            <v>25051200613</v>
          </cell>
        </row>
        <row r="210">
          <cell r="A210" t="str">
            <v>3601090107950209</v>
          </cell>
          <cell r="C210" t="str">
            <v>25060699854</v>
          </cell>
        </row>
        <row r="211">
          <cell r="A211" t="str">
            <v>1106050105820003</v>
          </cell>
          <cell r="C211" t="str">
            <v>25023141499</v>
          </cell>
        </row>
        <row r="212">
          <cell r="A212" t="str">
            <v>1271150804900001</v>
          </cell>
          <cell r="C212" t="str">
            <v>25051200704</v>
          </cell>
        </row>
        <row r="213">
          <cell r="A213" t="str">
            <v>3172024905940001</v>
          </cell>
          <cell r="C213" t="str">
            <v>25023140087</v>
          </cell>
        </row>
        <row r="214">
          <cell r="A214" t="str">
            <v>5271050901960002</v>
          </cell>
          <cell r="C214" t="str">
            <v>25051199625</v>
          </cell>
        </row>
        <row r="215">
          <cell r="A215" t="str">
            <v>3402121008840006</v>
          </cell>
          <cell r="C215" t="str">
            <v>25023140681</v>
          </cell>
        </row>
        <row r="216">
          <cell r="A216" t="str">
            <v>3509180204990005</v>
          </cell>
        </row>
        <row r="217">
          <cell r="A217" t="str">
            <v>3321021703990001</v>
          </cell>
          <cell r="C217" t="str">
            <v>25051199898</v>
          </cell>
        </row>
        <row r="218">
          <cell r="A218" t="str">
            <v>3215170912780001</v>
          </cell>
          <cell r="C218" t="str">
            <v>25023140244</v>
          </cell>
        </row>
        <row r="219">
          <cell r="A219" t="str">
            <v>3172046008940008</v>
          </cell>
        </row>
        <row r="220">
          <cell r="A220" t="str">
            <v>1113021505920001</v>
          </cell>
        </row>
        <row r="221">
          <cell r="A221" t="str">
            <v>1671071810770015</v>
          </cell>
          <cell r="C221" t="str">
            <v>25023141267</v>
          </cell>
        </row>
        <row r="222">
          <cell r="A222" t="str">
            <v>3327066502990002</v>
          </cell>
        </row>
        <row r="223">
          <cell r="A223" t="str">
            <v>3603280506800015</v>
          </cell>
        </row>
        <row r="224">
          <cell r="A224" t="str">
            <v>1401170211030003</v>
          </cell>
          <cell r="C224" t="str">
            <v>24099947624</v>
          </cell>
        </row>
        <row r="225">
          <cell r="A225" t="str">
            <v>3216031012790005</v>
          </cell>
          <cell r="C225" t="str">
            <v>25023140285</v>
          </cell>
        </row>
        <row r="226">
          <cell r="A226" t="str">
            <v>1171042404830001</v>
          </cell>
          <cell r="C226" t="str">
            <v>25051200548</v>
          </cell>
        </row>
        <row r="227">
          <cell r="A227" t="str">
            <v>3311070605040001</v>
          </cell>
        </row>
        <row r="228">
          <cell r="A228" t="str">
            <v>1809050104990002</v>
          </cell>
          <cell r="C228" t="str">
            <v>24099657553</v>
          </cell>
        </row>
        <row r="229">
          <cell r="A229" t="str">
            <v>7371060203910005</v>
          </cell>
          <cell r="C229" t="str">
            <v>25051199658</v>
          </cell>
        </row>
        <row r="230">
          <cell r="A230" t="str">
            <v>8171021801960006</v>
          </cell>
          <cell r="C230" t="str">
            <v>25023141689</v>
          </cell>
        </row>
        <row r="231">
          <cell r="A231" t="str">
            <v>1311021112930001</v>
          </cell>
          <cell r="C231" t="str">
            <v>25023139683</v>
          </cell>
        </row>
        <row r="232">
          <cell r="A232" t="str">
            <v>3374061810970006</v>
          </cell>
          <cell r="C232" t="str">
            <v>25051199922</v>
          </cell>
        </row>
        <row r="233">
          <cell r="A233" t="str">
            <v>1671140612920007</v>
          </cell>
          <cell r="C233" t="str">
            <v>25023141192</v>
          </cell>
        </row>
        <row r="234">
          <cell r="A234" t="str">
            <v>3272030610960001</v>
          </cell>
        </row>
        <row r="235">
          <cell r="A235" t="str">
            <v>1271060306910008</v>
          </cell>
          <cell r="C235" t="str">
            <v>25051200738</v>
          </cell>
        </row>
        <row r="236">
          <cell r="A236" t="str">
            <v>3175100412820005</v>
          </cell>
        </row>
        <row r="237">
          <cell r="A237" t="str">
            <v>1801101009860005</v>
          </cell>
          <cell r="C237" t="str">
            <v>22024028015</v>
          </cell>
        </row>
        <row r="238">
          <cell r="A238" t="str">
            <v>3310012511990002</v>
          </cell>
          <cell r="C238" t="str">
            <v>25038744600</v>
          </cell>
        </row>
        <row r="239">
          <cell r="A239" t="str">
            <v>8205180507920001</v>
          </cell>
        </row>
        <row r="240">
          <cell r="A240" t="str">
            <v>1271032508790006</v>
          </cell>
          <cell r="C240" t="str">
            <v>25023140533</v>
          </cell>
        </row>
        <row r="241">
          <cell r="A241" t="str">
            <v>5371041312910006</v>
          </cell>
          <cell r="C241" t="str">
            <v>25023140798</v>
          </cell>
        </row>
        <row r="242">
          <cell r="A242" t="str">
            <v>1171042612870002</v>
          </cell>
          <cell r="C242" t="str">
            <v>25051200571</v>
          </cell>
        </row>
        <row r="243">
          <cell r="A243" t="str">
            <v>3404111108800002</v>
          </cell>
          <cell r="C243" t="str">
            <v>25023140467</v>
          </cell>
        </row>
        <row r="244">
          <cell r="A244" t="str">
            <v>3175060807920003</v>
          </cell>
        </row>
        <row r="245">
          <cell r="A245" t="str">
            <v>3175032105990002</v>
          </cell>
          <cell r="C245" t="str">
            <v>25060699821</v>
          </cell>
        </row>
        <row r="246">
          <cell r="A246" t="str">
            <v>1205041704870005</v>
          </cell>
          <cell r="C246" t="str">
            <v>23101709345</v>
          </cell>
        </row>
        <row r="247">
          <cell r="A247" t="str">
            <v>3175036303990010</v>
          </cell>
        </row>
        <row r="248">
          <cell r="A248" t="str">
            <v>3209131609940002</v>
          </cell>
          <cell r="C248" t="str">
            <v>22007795515</v>
          </cell>
        </row>
        <row r="249">
          <cell r="A249" t="str">
            <v>5271021307930004</v>
          </cell>
          <cell r="C249" t="str">
            <v>25051199609</v>
          </cell>
        </row>
        <row r="250">
          <cell r="A250" t="str">
            <v>3209052404930002</v>
          </cell>
          <cell r="C250" t="str">
            <v>24070516935</v>
          </cell>
        </row>
        <row r="251">
          <cell r="A251" t="str">
            <v>5301100501990001</v>
          </cell>
          <cell r="C251" t="str">
            <v>25023140772</v>
          </cell>
        </row>
        <row r="252">
          <cell r="A252" t="str">
            <v>1505012707010001</v>
          </cell>
          <cell r="C252" t="str">
            <v>25060699805</v>
          </cell>
        </row>
        <row r="253">
          <cell r="A253" t="str">
            <v>7171032409800001</v>
          </cell>
          <cell r="C253" t="str">
            <v>25023139949</v>
          </cell>
        </row>
        <row r="254">
          <cell r="A254" t="str">
            <v>3313132204880001</v>
          </cell>
          <cell r="C254" t="str">
            <v>25023140137</v>
          </cell>
        </row>
        <row r="255">
          <cell r="A255" t="str">
            <v>3374131304870002</v>
          </cell>
          <cell r="C255" t="str">
            <v>24017836867</v>
          </cell>
        </row>
        <row r="256">
          <cell r="A256" t="str">
            <v>1671021204980014</v>
          </cell>
          <cell r="C256" t="str">
            <v>25023141200</v>
          </cell>
        </row>
        <row r="257">
          <cell r="A257" t="str">
            <v>1211103007960001</v>
          </cell>
          <cell r="C257" t="str">
            <v>25051200688</v>
          </cell>
        </row>
        <row r="258">
          <cell r="A258" t="str">
            <v>7171051607990021</v>
          </cell>
          <cell r="C258" t="str">
            <v>25023139899</v>
          </cell>
        </row>
        <row r="259">
          <cell r="A259" t="str">
            <v>1709010707970001</v>
          </cell>
          <cell r="C259" t="str">
            <v>25023140558</v>
          </cell>
        </row>
        <row r="260">
          <cell r="A260" t="str">
            <v>3671060201770004</v>
          </cell>
          <cell r="C260" t="str">
            <v>25051200985</v>
          </cell>
        </row>
        <row r="261">
          <cell r="A261" t="str">
            <v>3402143001840001</v>
          </cell>
          <cell r="C261" t="str">
            <v>25051200050</v>
          </cell>
        </row>
        <row r="262">
          <cell r="A262" t="str">
            <v>1301040607840003</v>
          </cell>
        </row>
        <row r="263">
          <cell r="A263" t="str">
            <v>3216012709900007</v>
          </cell>
          <cell r="C263" t="str">
            <v>25051199468</v>
          </cell>
        </row>
        <row r="264">
          <cell r="A264" t="str">
            <v>7207070801030001</v>
          </cell>
          <cell r="C264" t="str">
            <v>25023140228</v>
          </cell>
        </row>
        <row r="265">
          <cell r="A265" t="str">
            <v>1671140712870006</v>
          </cell>
          <cell r="C265" t="str">
            <v>25051200407</v>
          </cell>
        </row>
        <row r="266">
          <cell r="A266" t="str">
            <v>3573010511780005</v>
          </cell>
          <cell r="C266" t="str">
            <v>25023139816</v>
          </cell>
        </row>
        <row r="267">
          <cell r="A267" t="str">
            <v>8104061303950005</v>
          </cell>
          <cell r="C267" t="str">
            <v>25023140517</v>
          </cell>
        </row>
        <row r="268">
          <cell r="A268" t="str">
            <v>3515112305980003</v>
          </cell>
          <cell r="C268" t="str">
            <v>25051200845</v>
          </cell>
        </row>
        <row r="269">
          <cell r="A269" t="str">
            <v>1501171006980001</v>
          </cell>
          <cell r="C269" t="str">
            <v>25023141143</v>
          </cell>
        </row>
        <row r="270">
          <cell r="A270" t="str">
            <v>1201046705980001</v>
          </cell>
          <cell r="C270" t="str">
            <v>25060699979</v>
          </cell>
        </row>
        <row r="271">
          <cell r="A271" t="str">
            <v>3519120306910001</v>
          </cell>
          <cell r="C271" t="str">
            <v>25023141515</v>
          </cell>
        </row>
        <row r="272">
          <cell r="A272" t="str">
            <v>5202050605000002</v>
          </cell>
          <cell r="C272" t="str">
            <v>25023140822</v>
          </cell>
        </row>
        <row r="273">
          <cell r="A273" t="str">
            <v>1107161312000002</v>
          </cell>
          <cell r="C273" t="str">
            <v>25023141598</v>
          </cell>
        </row>
        <row r="274">
          <cell r="A274" t="str">
            <v>1801052206880001</v>
          </cell>
        </row>
        <row r="275">
          <cell r="A275" t="str">
            <v>3573021209860002</v>
          </cell>
          <cell r="C275" t="str">
            <v>25051200829</v>
          </cell>
        </row>
        <row r="276">
          <cell r="A276" t="str">
            <v>1271160407870003</v>
          </cell>
          <cell r="C276" t="str">
            <v>25023139733</v>
          </cell>
        </row>
        <row r="277">
          <cell r="A277" t="str">
            <v>3674061610990010</v>
          </cell>
          <cell r="C277" t="str">
            <v>22152470757</v>
          </cell>
        </row>
        <row r="278">
          <cell r="A278" t="str">
            <v>3325082003920001</v>
          </cell>
        </row>
        <row r="279">
          <cell r="A279" t="str">
            <v>6371032810990005</v>
          </cell>
        </row>
        <row r="280">
          <cell r="A280" t="str">
            <v>7371121512880004</v>
          </cell>
          <cell r="C280" t="str">
            <v>25038744642</v>
          </cell>
        </row>
        <row r="281">
          <cell r="A281" t="str">
            <v>3603202403920003</v>
          </cell>
          <cell r="C281" t="str">
            <v>14004563301</v>
          </cell>
        </row>
        <row r="282">
          <cell r="A282" t="str">
            <v>1671060304960008</v>
          </cell>
          <cell r="C282" t="str">
            <v>25051200431</v>
          </cell>
        </row>
        <row r="283">
          <cell r="A283" t="str">
            <v>3201111906010001</v>
          </cell>
          <cell r="C283" t="str">
            <v>25051200159</v>
          </cell>
        </row>
        <row r="284">
          <cell r="A284" t="str">
            <v>1106070506960005</v>
          </cell>
          <cell r="C284" t="str">
            <v>25051200589</v>
          </cell>
        </row>
        <row r="285">
          <cell r="A285" t="str">
            <v>3209352812980002</v>
          </cell>
          <cell r="C285" t="str">
            <v>25051199765</v>
          </cell>
        </row>
        <row r="286">
          <cell r="A286" t="str">
            <v>3276081604820001</v>
          </cell>
          <cell r="C286" t="str">
            <v>25023140707</v>
          </cell>
        </row>
        <row r="287">
          <cell r="A287" t="str">
            <v>3174090804790002</v>
          </cell>
          <cell r="C287" t="str">
            <v>25023140921</v>
          </cell>
        </row>
        <row r="288">
          <cell r="A288" t="str">
            <v>7104054905030001</v>
          </cell>
          <cell r="C288" t="str">
            <v>25023140236</v>
          </cell>
        </row>
        <row r="289">
          <cell r="A289" t="str">
            <v>3175030203960006</v>
          </cell>
          <cell r="C289" t="str">
            <v>25060699938</v>
          </cell>
        </row>
        <row r="290">
          <cell r="A290" t="str">
            <v>6471030204830003</v>
          </cell>
          <cell r="C290" t="str">
            <v>25060699904</v>
          </cell>
        </row>
        <row r="291">
          <cell r="A291" t="str">
            <v>3601194805000001</v>
          </cell>
        </row>
        <row r="292">
          <cell r="A292" t="str">
            <v>5308191111930002</v>
          </cell>
          <cell r="C292" t="str">
            <v>25023139741</v>
          </cell>
        </row>
        <row r="293">
          <cell r="A293" t="str">
            <v>3374061308830011</v>
          </cell>
          <cell r="C293" t="str">
            <v>25051199963</v>
          </cell>
        </row>
        <row r="294">
          <cell r="A294" t="str">
            <v>5307100411850004</v>
          </cell>
          <cell r="C294" t="str">
            <v>25023140863</v>
          </cell>
        </row>
        <row r="295">
          <cell r="A295" t="str">
            <v>3173051101790011</v>
          </cell>
          <cell r="C295" t="str">
            <v>25051201041</v>
          </cell>
        </row>
        <row r="296">
          <cell r="A296" t="str">
            <v>1207244105000010</v>
          </cell>
          <cell r="C296" t="str">
            <v>25023141572</v>
          </cell>
        </row>
        <row r="297">
          <cell r="A297" t="str">
            <v>8101120805010003</v>
          </cell>
        </row>
        <row r="298">
          <cell r="A298" t="str">
            <v>9106022711000002</v>
          </cell>
          <cell r="C298" t="str">
            <v>25023140731</v>
          </cell>
        </row>
        <row r="299">
          <cell r="A299" t="str">
            <v>3175081806950004</v>
          </cell>
        </row>
        <row r="300">
          <cell r="A300" t="str">
            <v>3506210403840002</v>
          </cell>
        </row>
        <row r="301">
          <cell r="A301" t="str">
            <v>3573031304920003</v>
          </cell>
          <cell r="C301" t="str">
            <v>25051200811</v>
          </cell>
        </row>
        <row r="302">
          <cell r="A302" t="str">
            <v>3526110705890002</v>
          </cell>
        </row>
        <row r="303">
          <cell r="A303" t="str">
            <v>3507171009950001</v>
          </cell>
          <cell r="C303" t="str">
            <v>25051200795</v>
          </cell>
        </row>
        <row r="304">
          <cell r="A304" t="str">
            <v>3209182006980008</v>
          </cell>
          <cell r="C304" t="str">
            <v>24124121351</v>
          </cell>
        </row>
        <row r="305">
          <cell r="A305" t="str">
            <v>3174031701810002</v>
          </cell>
          <cell r="C305" t="str">
            <v>25051200993</v>
          </cell>
        </row>
        <row r="306">
          <cell r="A306" t="str">
            <v>3578312205920001</v>
          </cell>
        </row>
        <row r="307">
          <cell r="A307" t="str">
            <v>3201122111990004</v>
          </cell>
        </row>
        <row r="308">
          <cell r="A308" t="str">
            <v>3172041509930008</v>
          </cell>
          <cell r="C308" t="str">
            <v>25051199450</v>
          </cell>
        </row>
        <row r="309">
          <cell r="A309" t="str">
            <v>1118012503970001</v>
          </cell>
          <cell r="C309" t="str">
            <v>25023140541</v>
          </cell>
        </row>
        <row r="310">
          <cell r="A310" t="str">
            <v>3206282211990004</v>
          </cell>
          <cell r="C310" t="str">
            <v>25023140756</v>
          </cell>
        </row>
        <row r="311">
          <cell r="A311" t="str">
            <v>3201342609030001</v>
          </cell>
          <cell r="C311" t="str">
            <v>25051200498</v>
          </cell>
        </row>
        <row r="312">
          <cell r="A312" t="str">
            <v>3328011911950006</v>
          </cell>
          <cell r="C312" t="str">
            <v>25051200662</v>
          </cell>
        </row>
        <row r="313">
          <cell r="A313" t="str">
            <v>3173033108891001</v>
          </cell>
          <cell r="C313" t="str">
            <v>13022720109</v>
          </cell>
        </row>
        <row r="314">
          <cell r="A314" t="str">
            <v>5203040107810503</v>
          </cell>
          <cell r="C314" t="str">
            <v>24119877561</v>
          </cell>
        </row>
        <row r="315">
          <cell r="A315" t="str">
            <v>3201041708940017</v>
          </cell>
          <cell r="C315" t="str">
            <v>25023141309</v>
          </cell>
        </row>
        <row r="316">
          <cell r="A316" t="str">
            <v>3674031409890007</v>
          </cell>
          <cell r="C316" t="str">
            <v>25051200951</v>
          </cell>
        </row>
        <row r="317">
          <cell r="A317" t="str">
            <v>3174012606920006</v>
          </cell>
        </row>
        <row r="318">
          <cell r="A318" t="str">
            <v>1971051011000003</v>
          </cell>
          <cell r="C318" t="str">
            <v>25051200522</v>
          </cell>
        </row>
        <row r="319">
          <cell r="A319" t="str">
            <v>3175072104930009</v>
          </cell>
          <cell r="C319" t="str">
            <v>25051201074</v>
          </cell>
        </row>
        <row r="320">
          <cell r="A320" t="str">
            <v>3173052611890010</v>
          </cell>
          <cell r="C320" t="str">
            <v>25051201009</v>
          </cell>
        </row>
        <row r="321">
          <cell r="A321" t="str">
            <v>3216011309970002</v>
          </cell>
        </row>
        <row r="322">
          <cell r="A322" t="str">
            <v>6471041704970004</v>
          </cell>
          <cell r="C322" t="str">
            <v>25005279408</v>
          </cell>
        </row>
        <row r="323">
          <cell r="A323" t="str">
            <v>1801130609980009</v>
          </cell>
          <cell r="C323" t="str">
            <v>22020361238</v>
          </cell>
        </row>
        <row r="324">
          <cell r="A324" t="str">
            <v>1201101505000003</v>
          </cell>
          <cell r="C324" t="str">
            <v>24115993073</v>
          </cell>
        </row>
        <row r="325">
          <cell r="A325" t="str">
            <v>1301060305030003</v>
          </cell>
          <cell r="C325" t="str">
            <v>25023139691</v>
          </cell>
        </row>
        <row r="326">
          <cell r="A326" t="str">
            <v>3316042103000004</v>
          </cell>
          <cell r="C326" t="str">
            <v>25023140426</v>
          </cell>
        </row>
        <row r="327">
          <cell r="A327" t="str">
            <v>2171021501939004</v>
          </cell>
          <cell r="C327" t="str">
            <v>25023141176</v>
          </cell>
        </row>
        <row r="328">
          <cell r="A328" t="str">
            <v>3471071903990001</v>
          </cell>
          <cell r="C328" t="str">
            <v>20013792245</v>
          </cell>
        </row>
        <row r="329">
          <cell r="A329" t="str">
            <v>3275022506990013</v>
          </cell>
          <cell r="C329" t="str">
            <v>25051200902</v>
          </cell>
        </row>
        <row r="330">
          <cell r="A330" t="str">
            <v>6471012512010001</v>
          </cell>
        </row>
        <row r="331">
          <cell r="A331" t="str">
            <v>1371112502020010</v>
          </cell>
          <cell r="C331" t="str">
            <v>25051201108</v>
          </cell>
        </row>
        <row r="332">
          <cell r="A332" t="str">
            <v>6471012307980001</v>
          </cell>
          <cell r="C332" t="str">
            <v>25051200316</v>
          </cell>
        </row>
        <row r="333">
          <cell r="A333" t="str">
            <v>3514072911930001</v>
          </cell>
          <cell r="C333" t="str">
            <v>25023139824</v>
          </cell>
        </row>
        <row r="334">
          <cell r="A334" t="str">
            <v>3509170111920002</v>
          </cell>
        </row>
        <row r="335">
          <cell r="A335" t="str">
            <v>1305041503030001</v>
          </cell>
          <cell r="C335" t="str">
            <v>25023140590</v>
          </cell>
        </row>
        <row r="336">
          <cell r="A336" t="str">
            <v>3507242707980002</v>
          </cell>
          <cell r="C336" t="str">
            <v>25051200787</v>
          </cell>
        </row>
        <row r="337">
          <cell r="A337" t="str">
            <v>5271012904020001</v>
          </cell>
          <cell r="C337" t="str">
            <v>25023140830</v>
          </cell>
        </row>
        <row r="338">
          <cell r="A338" t="str">
            <v>3311072511940003</v>
          </cell>
          <cell r="C338" t="str">
            <v>25023141358</v>
          </cell>
        </row>
        <row r="339">
          <cell r="A339" t="str">
            <v>3321020506050002</v>
          </cell>
          <cell r="C339" t="str">
            <v>25038744691</v>
          </cell>
        </row>
        <row r="340">
          <cell r="A340" t="str">
            <v>6303040802030005</v>
          </cell>
          <cell r="C340" t="str">
            <v>25023140657</v>
          </cell>
        </row>
        <row r="341">
          <cell r="A341" t="str">
            <v>3311062509010003</v>
          </cell>
        </row>
        <row r="342">
          <cell r="A342" t="str">
            <v>3209221008960004</v>
          </cell>
        </row>
        <row r="343">
          <cell r="A343" t="str">
            <v>3273152004800015</v>
          </cell>
          <cell r="C343" t="str">
            <v>25023141382</v>
          </cell>
        </row>
        <row r="344">
          <cell r="A344" t="str">
            <v>3521162511830001</v>
          </cell>
        </row>
        <row r="345">
          <cell r="A345" t="str">
            <v>3320025404000006</v>
          </cell>
          <cell r="C345" t="str">
            <v>25023140129</v>
          </cell>
        </row>
        <row r="346">
          <cell r="A346" t="str">
            <v>3529080205940003</v>
          </cell>
          <cell r="C346" t="str">
            <v>21059477139</v>
          </cell>
        </row>
        <row r="347">
          <cell r="A347" t="str">
            <v>1171041208830002</v>
          </cell>
          <cell r="C347" t="str">
            <v>25023141606</v>
          </cell>
        </row>
        <row r="348">
          <cell r="A348" t="str">
            <v>6303141712880001</v>
          </cell>
        </row>
        <row r="349">
          <cell r="A349" t="str">
            <v>3276040707800001</v>
          </cell>
          <cell r="C349" t="str">
            <v>22020361162</v>
          </cell>
        </row>
        <row r="350">
          <cell r="A350" t="str">
            <v>3174032809840005</v>
          </cell>
          <cell r="C350" t="str">
            <v>25051200977</v>
          </cell>
        </row>
        <row r="351">
          <cell r="A351" t="str">
            <v>3374060109060002</v>
          </cell>
        </row>
        <row r="352">
          <cell r="A352" t="str">
            <v>5103025008820012</v>
          </cell>
        </row>
        <row r="353">
          <cell r="A353" t="str">
            <v>3215265408910005</v>
          </cell>
          <cell r="C353" t="str">
            <v>25060699912</v>
          </cell>
        </row>
        <row r="354">
          <cell r="A354" t="str">
            <v>8171021011860010</v>
          </cell>
          <cell r="C354" t="str">
            <v>25023139998</v>
          </cell>
        </row>
        <row r="355">
          <cell r="A355" t="str">
            <v>6112015711960010</v>
          </cell>
          <cell r="C355" t="str">
            <v>25023141275</v>
          </cell>
        </row>
        <row r="356">
          <cell r="A356" t="str">
            <v>6471026603950002</v>
          </cell>
          <cell r="C356" t="str">
            <v>24016926594</v>
          </cell>
        </row>
        <row r="357">
          <cell r="A357" t="str">
            <v>3603232808010004</v>
          </cell>
          <cell r="C357" t="str">
            <v>25060699847</v>
          </cell>
        </row>
        <row r="358">
          <cell r="A358" t="str">
            <v>3573051010700008</v>
          </cell>
          <cell r="C358" t="str">
            <v>25051200779</v>
          </cell>
        </row>
        <row r="359">
          <cell r="A359" t="str">
            <v>1101061111030002</v>
          </cell>
          <cell r="C359" t="str">
            <v>25060699813</v>
          </cell>
        </row>
        <row r="360">
          <cell r="A360" t="str">
            <v>3274012110900004</v>
          </cell>
          <cell r="C360" t="str">
            <v>24136341161</v>
          </cell>
        </row>
        <row r="361">
          <cell r="A361" t="str">
            <v>1671141707980005</v>
          </cell>
          <cell r="C361" t="str">
            <v>25023141259</v>
          </cell>
        </row>
        <row r="362">
          <cell r="A362" t="str">
            <v>3273242705930005</v>
          </cell>
          <cell r="C362" t="str">
            <v>25051200597</v>
          </cell>
        </row>
        <row r="363">
          <cell r="A363" t="str">
            <v>5307151009810001</v>
          </cell>
          <cell r="C363" t="str">
            <v>25023140889</v>
          </cell>
        </row>
        <row r="364">
          <cell r="A364" t="str">
            <v>1401162005990001</v>
          </cell>
          <cell r="C364" t="str">
            <v>25023141077</v>
          </cell>
        </row>
        <row r="365">
          <cell r="A365" t="str">
            <v>7106060508920003</v>
          </cell>
          <cell r="C365" t="str">
            <v>25023139865</v>
          </cell>
        </row>
        <row r="366">
          <cell r="A366" t="str">
            <v>3172027003860006</v>
          </cell>
          <cell r="C366" t="str">
            <v>25023140442</v>
          </cell>
        </row>
        <row r="367">
          <cell r="A367" t="str">
            <v>1571020902020042</v>
          </cell>
          <cell r="C367" t="str">
            <v>25051200381</v>
          </cell>
        </row>
        <row r="368">
          <cell r="A368" t="str">
            <v>3404051704970001</v>
          </cell>
          <cell r="C368" t="str">
            <v>25023141028</v>
          </cell>
        </row>
        <row r="369">
          <cell r="A369" t="str">
            <v>3316040912810002</v>
          </cell>
          <cell r="C369" t="str">
            <v>25051200860</v>
          </cell>
        </row>
        <row r="370">
          <cell r="A370" t="str">
            <v>3175062204760022</v>
          </cell>
        </row>
        <row r="371">
          <cell r="A371" t="str">
            <v>1671142303710005</v>
          </cell>
          <cell r="C371" t="str">
            <v>12032521515</v>
          </cell>
        </row>
        <row r="372">
          <cell r="A372" t="str">
            <v>3276012105020001</v>
          </cell>
          <cell r="C372" t="str">
            <v>25023140715</v>
          </cell>
        </row>
        <row r="373">
          <cell r="A373" t="str">
            <v>9171032203980003</v>
          </cell>
          <cell r="C373" t="str">
            <v>25023140780</v>
          </cell>
        </row>
        <row r="374">
          <cell r="A374" t="str">
            <v>6471020906020003</v>
          </cell>
          <cell r="C374" t="str">
            <v>25051200290</v>
          </cell>
        </row>
        <row r="375">
          <cell r="A375" t="str">
            <v>6371022608990006</v>
          </cell>
        </row>
        <row r="376">
          <cell r="A376" t="str">
            <v>1371060105040005</v>
          </cell>
          <cell r="C376" t="str">
            <v>25051200076</v>
          </cell>
        </row>
        <row r="377">
          <cell r="A377" t="str">
            <v>3172041209940003</v>
          </cell>
        </row>
        <row r="378">
          <cell r="A378" t="str">
            <v>1771060503970002</v>
          </cell>
          <cell r="C378" t="str">
            <v>25051200266</v>
          </cell>
        </row>
        <row r="379">
          <cell r="A379" t="str">
            <v>1402061506990007</v>
          </cell>
          <cell r="C379" t="str">
            <v>24219362688</v>
          </cell>
        </row>
        <row r="380">
          <cell r="A380" t="str">
            <v>1971031906050001</v>
          </cell>
          <cell r="C380" t="str">
            <v>25051200530</v>
          </cell>
        </row>
        <row r="381">
          <cell r="A381" t="str">
            <v>6303041801980003</v>
          </cell>
          <cell r="C381" t="str">
            <v>25023140947</v>
          </cell>
        </row>
        <row r="382">
          <cell r="A382" t="str">
            <v>3201331011010003</v>
          </cell>
          <cell r="C382" t="str">
            <v>25023140335</v>
          </cell>
        </row>
        <row r="383">
          <cell r="A383" t="str">
            <v>5202020202950008</v>
          </cell>
          <cell r="C383" t="str">
            <v>25051199641</v>
          </cell>
        </row>
        <row r="384">
          <cell r="A384" t="str">
            <v>3311090901020001</v>
          </cell>
          <cell r="C384" t="str">
            <v>25060699953</v>
          </cell>
        </row>
        <row r="385">
          <cell r="A385" t="str">
            <v>3273052701940003</v>
          </cell>
          <cell r="C385" t="str">
            <v>25023141663</v>
          </cell>
        </row>
        <row r="386">
          <cell r="A386" t="str">
            <v>3603111102060003</v>
          </cell>
        </row>
        <row r="387">
          <cell r="A387" t="str">
            <v>7106022907940002</v>
          </cell>
        </row>
        <row r="388">
          <cell r="A388" t="str">
            <v>1304032706010003</v>
          </cell>
          <cell r="C388" t="str">
            <v>24115993230</v>
          </cell>
        </row>
        <row r="389">
          <cell r="A389" t="str">
            <v>3171043108970001</v>
          </cell>
        </row>
        <row r="390">
          <cell r="A390" t="str">
            <v>1601091605960001</v>
          </cell>
        </row>
        <row r="391">
          <cell r="A391" t="str">
            <v>5371040310860005</v>
          </cell>
        </row>
        <row r="392">
          <cell r="A392" t="str">
            <v>1671072101030007</v>
          </cell>
          <cell r="C392" t="str">
            <v>25051200415</v>
          </cell>
        </row>
        <row r="393">
          <cell r="A393" t="str">
            <v>3402102707040001</v>
          </cell>
          <cell r="C393" t="str">
            <v>25038744618</v>
          </cell>
        </row>
        <row r="394">
          <cell r="A394" t="str">
            <v>3217080111900003</v>
          </cell>
          <cell r="C394" t="str">
            <v>25023141622</v>
          </cell>
        </row>
        <row r="395">
          <cell r="A395" t="str">
            <v>3174091701000010</v>
          </cell>
          <cell r="C395" t="str">
            <v>25051200472</v>
          </cell>
        </row>
        <row r="396">
          <cell r="A396" t="str">
            <v>3209081702990004</v>
          </cell>
          <cell r="C396" t="str">
            <v>25051199724</v>
          </cell>
        </row>
        <row r="397">
          <cell r="A397" t="str">
            <v>3305261011970001</v>
          </cell>
        </row>
        <row r="398">
          <cell r="A398" t="str">
            <v>6171041204010007</v>
          </cell>
        </row>
        <row r="399">
          <cell r="A399" t="str">
            <v>3301177009000001</v>
          </cell>
        </row>
        <row r="400">
          <cell r="A400" t="str">
            <v>8101090801000004</v>
          </cell>
          <cell r="C400" t="str">
            <v>25023140749</v>
          </cell>
        </row>
        <row r="401">
          <cell r="A401" t="str">
            <v>3175061101800023</v>
          </cell>
          <cell r="C401" t="str">
            <v>25060699789</v>
          </cell>
        </row>
        <row r="402">
          <cell r="A402" t="str">
            <v>3175093012870005</v>
          </cell>
          <cell r="C402" t="str">
            <v>25051200894</v>
          </cell>
        </row>
        <row r="403">
          <cell r="A403" t="str">
            <v>3201111409990002</v>
          </cell>
          <cell r="C403" t="str">
            <v>25051200134</v>
          </cell>
        </row>
        <row r="404">
          <cell r="A404" t="str">
            <v>5271023105030001</v>
          </cell>
          <cell r="C404" t="str">
            <v>25051199591</v>
          </cell>
        </row>
        <row r="405">
          <cell r="A405" t="str">
            <v>1809011012020009</v>
          </cell>
          <cell r="C405" t="str">
            <v>25023141184</v>
          </cell>
        </row>
        <row r="406">
          <cell r="A406" t="str">
            <v>3172022901790002</v>
          </cell>
          <cell r="C406" t="str">
            <v>25023141432</v>
          </cell>
        </row>
        <row r="407">
          <cell r="A407" t="str">
            <v>3509213103990004</v>
          </cell>
        </row>
        <row r="408">
          <cell r="A408" t="str">
            <v>3275115704020013</v>
          </cell>
        </row>
        <row r="409">
          <cell r="A409" t="str">
            <v>6471022310010002</v>
          </cell>
          <cell r="C409" t="str">
            <v>25051200282</v>
          </cell>
        </row>
        <row r="410">
          <cell r="A410" t="str">
            <v>3521092607960001</v>
          </cell>
        </row>
        <row r="411">
          <cell r="A411" t="str">
            <v>3175020604880002</v>
          </cell>
        </row>
        <row r="412">
          <cell r="A412" t="str">
            <v>1210182802040003</v>
          </cell>
        </row>
        <row r="413">
          <cell r="A413" t="str">
            <v>1213012310920003</v>
          </cell>
          <cell r="C413" t="str">
            <v>25023141556</v>
          </cell>
        </row>
        <row r="414">
          <cell r="A414" t="str">
            <v>1708052205980001</v>
          </cell>
          <cell r="C414" t="str">
            <v>24044364610</v>
          </cell>
        </row>
        <row r="415">
          <cell r="A415" t="str">
            <v>1174041909950001</v>
          </cell>
          <cell r="C415" t="str">
            <v>25051200720</v>
          </cell>
        </row>
        <row r="416">
          <cell r="A416" t="str">
            <v>3174082610960002</v>
          </cell>
          <cell r="C416" t="str">
            <v>25051200928</v>
          </cell>
        </row>
        <row r="417">
          <cell r="A417" t="str">
            <v>3674030304910009</v>
          </cell>
          <cell r="C417" t="str">
            <v>25023140343</v>
          </cell>
        </row>
        <row r="418">
          <cell r="A418" t="str">
            <v>1812032807970002</v>
          </cell>
          <cell r="C418" t="str">
            <v>25023140368</v>
          </cell>
        </row>
        <row r="419">
          <cell r="A419" t="str">
            <v>3674012810020003</v>
          </cell>
          <cell r="C419" t="str">
            <v>25051200118</v>
          </cell>
        </row>
        <row r="420">
          <cell r="A420" t="str">
            <v>3171071904720003</v>
          </cell>
          <cell r="C420" t="str">
            <v>25051201025</v>
          </cell>
        </row>
        <row r="421">
          <cell r="A421" t="str">
            <v>1709010608990002</v>
          </cell>
          <cell r="C421" t="str">
            <v>25051200258</v>
          </cell>
        </row>
        <row r="422">
          <cell r="A422" t="str">
            <v>1903031104940002</v>
          </cell>
          <cell r="C422" t="str">
            <v>25023140392</v>
          </cell>
        </row>
        <row r="423">
          <cell r="A423" t="str">
            <v>6473033003030007</v>
          </cell>
          <cell r="C423" t="str">
            <v>25051200506</v>
          </cell>
        </row>
        <row r="424">
          <cell r="A424" t="str">
            <v>3175061008900008</v>
          </cell>
        </row>
        <row r="425">
          <cell r="A425" t="str">
            <v>3374092809920001</v>
          </cell>
          <cell r="C425" t="str">
            <v>25051199864</v>
          </cell>
        </row>
        <row r="426">
          <cell r="A426" t="str">
            <v>3320021909900003</v>
          </cell>
          <cell r="C426" t="str">
            <v>25023140699</v>
          </cell>
        </row>
        <row r="427">
          <cell r="A427" t="str">
            <v>3175011912900002</v>
          </cell>
        </row>
        <row r="428">
          <cell r="A428" t="str">
            <v>3201370709900001</v>
          </cell>
          <cell r="C428" t="str">
            <v>25051199534</v>
          </cell>
        </row>
        <row r="429">
          <cell r="A429" t="str">
            <v>3317071011910004</v>
          </cell>
          <cell r="C429" t="str">
            <v>25051200001</v>
          </cell>
        </row>
        <row r="430">
          <cell r="A430" t="str">
            <v>3279042507910001</v>
          </cell>
          <cell r="C430" t="str">
            <v>25051199690</v>
          </cell>
        </row>
        <row r="431">
          <cell r="A431" t="str">
            <v>1271011906860002</v>
          </cell>
          <cell r="C431" t="str">
            <v>25023139725</v>
          </cell>
        </row>
        <row r="432">
          <cell r="A432" t="str">
            <v>3215032212900001</v>
          </cell>
          <cell r="C432" t="str">
            <v>25051200639</v>
          </cell>
        </row>
        <row r="433">
          <cell r="A433" t="str">
            <v>3603230202860007</v>
          </cell>
        </row>
        <row r="434">
          <cell r="A434" t="str">
            <v>1904040808850001</v>
          </cell>
          <cell r="C434" t="str">
            <v>25023140418</v>
          </cell>
        </row>
        <row r="435">
          <cell r="A435" t="str">
            <v>3206020807930005</v>
          </cell>
          <cell r="C435" t="str">
            <v>25023141648</v>
          </cell>
        </row>
        <row r="436">
          <cell r="A436" t="str">
            <v>5307050909890004</v>
          </cell>
          <cell r="C436" t="str">
            <v>24127900967</v>
          </cell>
        </row>
        <row r="437">
          <cell r="A437" t="str">
            <v>3329072207880001</v>
          </cell>
        </row>
        <row r="438">
          <cell r="A438" t="str">
            <v>3276102701810001</v>
          </cell>
        </row>
        <row r="439">
          <cell r="A439" t="str">
            <v>3174021303890002</v>
          </cell>
        </row>
        <row r="440">
          <cell r="A440" t="str">
            <v>5301052009930002</v>
          </cell>
        </row>
        <row r="441">
          <cell r="A441" t="str">
            <v>6310032309010002</v>
          </cell>
          <cell r="C441" t="str">
            <v>25023140939</v>
          </cell>
        </row>
        <row r="442">
          <cell r="A442" t="str">
            <v>3578100509920003</v>
          </cell>
        </row>
        <row r="443">
          <cell r="A443" t="str">
            <v>3309072901950001</v>
          </cell>
          <cell r="C443" t="str">
            <v>25023140624</v>
          </cell>
        </row>
        <row r="444">
          <cell r="A444" t="str">
            <v>3212011009930001</v>
          </cell>
        </row>
        <row r="445">
          <cell r="A445" t="str">
            <v>3209201812040002</v>
          </cell>
          <cell r="C445" t="str">
            <v>25051199757</v>
          </cell>
        </row>
        <row r="446">
          <cell r="A446" t="str">
            <v>3215274701900001</v>
          </cell>
          <cell r="C446" t="str">
            <v>24028907228</v>
          </cell>
        </row>
        <row r="447">
          <cell r="A447" t="str">
            <v>7171032209900002</v>
          </cell>
          <cell r="C447" t="str">
            <v>25023139923</v>
          </cell>
        </row>
        <row r="448">
          <cell r="A448" t="str">
            <v>3316081603910002</v>
          </cell>
          <cell r="C448" t="str">
            <v>25051199716</v>
          </cell>
        </row>
        <row r="449">
          <cell r="A449" t="str">
            <v>3271021202980003</v>
          </cell>
          <cell r="C449" t="str">
            <v>25051199575</v>
          </cell>
        </row>
        <row r="450">
          <cell r="A450" t="str">
            <v>3273180507850002</v>
          </cell>
        </row>
        <row r="451">
          <cell r="A451" t="str">
            <v>3171032304830012</v>
          </cell>
          <cell r="C451" t="str">
            <v>25051199476</v>
          </cell>
        </row>
        <row r="452">
          <cell r="A452" t="str">
            <v>8101140309900006</v>
          </cell>
          <cell r="C452" t="str">
            <v>25023140632</v>
          </cell>
        </row>
        <row r="453">
          <cell r="A453" t="str">
            <v>3175086807940001</v>
          </cell>
        </row>
        <row r="454">
          <cell r="A454" t="str">
            <v>1771031008960002</v>
          </cell>
          <cell r="C454" t="str">
            <v>25023141135</v>
          </cell>
        </row>
        <row r="455">
          <cell r="A455" t="str">
            <v>3374112409760004</v>
          </cell>
          <cell r="C455" t="str">
            <v>25051199930</v>
          </cell>
        </row>
        <row r="456">
          <cell r="A456" t="str">
            <v>3372056712840006</v>
          </cell>
          <cell r="C456" t="str">
            <v>25023140152</v>
          </cell>
        </row>
        <row r="457">
          <cell r="A457" t="str">
            <v>3321011002820008</v>
          </cell>
          <cell r="C457" t="str">
            <v>25023141333</v>
          </cell>
        </row>
        <row r="458">
          <cell r="A458" t="str">
            <v>3571011406850006</v>
          </cell>
          <cell r="C458" t="str">
            <v>25051200761</v>
          </cell>
        </row>
        <row r="459">
          <cell r="A459" t="str">
            <v>3372020606810002</v>
          </cell>
          <cell r="C459" t="str">
            <v>25051199989</v>
          </cell>
        </row>
        <row r="460">
          <cell r="A460" t="str">
            <v>3507310205970002</v>
          </cell>
          <cell r="C460" t="str">
            <v>25023140079</v>
          </cell>
        </row>
        <row r="461">
          <cell r="A461" t="str">
            <v>3175072105790001</v>
          </cell>
          <cell r="C461" t="str">
            <v>25023140459</v>
          </cell>
        </row>
        <row r="462">
          <cell r="A462" t="str">
            <v>3172041402960008</v>
          </cell>
        </row>
        <row r="463">
          <cell r="A463" t="str">
            <v>6304050107060006</v>
          </cell>
        </row>
        <row r="464">
          <cell r="A464" t="str">
            <v>3402141208850001</v>
          </cell>
          <cell r="C464" t="str">
            <v>25051200043</v>
          </cell>
        </row>
        <row r="465">
          <cell r="A465" t="str">
            <v>3202120510850001</v>
          </cell>
          <cell r="C465" t="str">
            <v>25023140095</v>
          </cell>
        </row>
        <row r="466">
          <cell r="A466" t="str">
            <v>3174082603840001</v>
          </cell>
          <cell r="C466" t="str">
            <v>25023140897</v>
          </cell>
        </row>
        <row r="467">
          <cell r="A467" t="str">
            <v>3603200202920003</v>
          </cell>
          <cell r="C467" t="str">
            <v>25051200191</v>
          </cell>
        </row>
        <row r="468">
          <cell r="A468" t="str">
            <v>5201020205110010</v>
          </cell>
          <cell r="C468" t="str">
            <v>25023140855</v>
          </cell>
        </row>
        <row r="469">
          <cell r="A469" t="str">
            <v>1271050507960001</v>
          </cell>
          <cell r="C469" t="str">
            <v>25051200712</v>
          </cell>
        </row>
        <row r="470">
          <cell r="A470" t="str">
            <v>3573021005800009</v>
          </cell>
          <cell r="C470" t="str">
            <v>25023139832</v>
          </cell>
        </row>
        <row r="471">
          <cell r="A471" t="str">
            <v>3578131112860001</v>
          </cell>
          <cell r="C471" t="str">
            <v>24057576563</v>
          </cell>
        </row>
        <row r="472">
          <cell r="A472" t="str">
            <v>3402052602910001</v>
          </cell>
          <cell r="C472" t="str">
            <v>25051200027</v>
          </cell>
        </row>
        <row r="473">
          <cell r="A473" t="str">
            <v>1218021007880005</v>
          </cell>
          <cell r="C473" t="str">
            <v>25023139717</v>
          </cell>
        </row>
        <row r="474">
          <cell r="A474" t="str">
            <v>3175062606840013</v>
          </cell>
          <cell r="C474" t="str">
            <v>25051199443</v>
          </cell>
        </row>
        <row r="475">
          <cell r="A475" t="str">
            <v>3309162607969001</v>
          </cell>
          <cell r="C475" t="str">
            <v>25051199559</v>
          </cell>
        </row>
        <row r="476">
          <cell r="A476" t="str">
            <v>1571030806010021</v>
          </cell>
          <cell r="C476" t="str">
            <v>23130985577</v>
          </cell>
        </row>
        <row r="477">
          <cell r="A477" t="str">
            <v>3173070711890003</v>
          </cell>
          <cell r="C477" t="str">
            <v>25051200969</v>
          </cell>
        </row>
        <row r="478">
          <cell r="A478" t="str">
            <v>3519152009850002</v>
          </cell>
          <cell r="C478" t="str">
            <v>25023141531</v>
          </cell>
        </row>
        <row r="479">
          <cell r="A479" t="str">
            <v>1971010409000003</v>
          </cell>
          <cell r="C479" t="str">
            <v>25023141002</v>
          </cell>
        </row>
        <row r="480">
          <cell r="A480" t="str">
            <v>1171042904870001</v>
          </cell>
          <cell r="C480" t="str">
            <v>25051200563</v>
          </cell>
        </row>
        <row r="481">
          <cell r="A481" t="str">
            <v>1106071301980004</v>
          </cell>
          <cell r="C481" t="str">
            <v>25023141507</v>
          </cell>
        </row>
        <row r="482">
          <cell r="A482" t="str">
            <v>3201130603950011</v>
          </cell>
          <cell r="C482" t="str">
            <v>25051199567</v>
          </cell>
        </row>
        <row r="483">
          <cell r="A483" t="str">
            <v>1275011205980002</v>
          </cell>
          <cell r="C483" t="str">
            <v>25023141457</v>
          </cell>
        </row>
        <row r="484">
          <cell r="A484" t="str">
            <v>3171074110010005</v>
          </cell>
          <cell r="C484" t="str">
            <v>25051199500</v>
          </cell>
        </row>
        <row r="485">
          <cell r="A485" t="str">
            <v>3175032506960004</v>
          </cell>
        </row>
        <row r="486">
          <cell r="A486" t="str">
            <v>6371031509990005</v>
          </cell>
        </row>
        <row r="487">
          <cell r="A487" t="str">
            <v>3603222706890003</v>
          </cell>
        </row>
        <row r="488">
          <cell r="A488" t="str">
            <v>3273082703900004</v>
          </cell>
        </row>
        <row r="489">
          <cell r="A489" t="str">
            <v>3172042702920003</v>
          </cell>
        </row>
        <row r="490">
          <cell r="A490" t="str">
            <v>3327090602940013</v>
          </cell>
          <cell r="C490" t="str">
            <v>25023140905</v>
          </cell>
        </row>
        <row r="491">
          <cell r="A491" t="str">
            <v>3374043101000003</v>
          </cell>
          <cell r="C491" t="str">
            <v>25051199856</v>
          </cell>
        </row>
        <row r="492">
          <cell r="A492" t="str">
            <v>3577012804850002</v>
          </cell>
          <cell r="C492" t="str">
            <v>25023141481</v>
          </cell>
        </row>
        <row r="493">
          <cell r="A493" t="str">
            <v>3515032306880002</v>
          </cell>
        </row>
        <row r="494">
          <cell r="A494" t="str">
            <v>3471031210800001</v>
          </cell>
        </row>
        <row r="495">
          <cell r="A495" t="str">
            <v>6471055202980004</v>
          </cell>
          <cell r="C495" t="str">
            <v>25023141119</v>
          </cell>
        </row>
        <row r="496">
          <cell r="A496" t="str">
            <v>3510166207990001</v>
          </cell>
          <cell r="C496" t="str">
            <v>25060699839</v>
          </cell>
        </row>
        <row r="497">
          <cell r="A497" t="str">
            <v>3604011806791277</v>
          </cell>
          <cell r="C497" t="str">
            <v>25023140913</v>
          </cell>
        </row>
        <row r="498">
          <cell r="A498" t="str">
            <v>7271031307830003</v>
          </cell>
          <cell r="C498" t="str">
            <v>22130787298</v>
          </cell>
        </row>
        <row r="499">
          <cell r="A499" t="str">
            <v>3201371901970004</v>
          </cell>
          <cell r="C499" t="str">
            <v>25051200399</v>
          </cell>
        </row>
        <row r="500">
          <cell r="A500" t="str">
            <v>3311101407980002</v>
          </cell>
          <cell r="C500" t="str">
            <v>25051199997</v>
          </cell>
        </row>
        <row r="501">
          <cell r="A501" t="str">
            <v>3603032910860002</v>
          </cell>
        </row>
        <row r="502">
          <cell r="A502" t="str">
            <v>3302181211890001</v>
          </cell>
          <cell r="C502" t="str">
            <v>24017836834</v>
          </cell>
        </row>
        <row r="503">
          <cell r="A503" t="str">
            <v>3212282405890001</v>
          </cell>
        </row>
        <row r="504">
          <cell r="A504" t="str">
            <v>9171012807960004</v>
          </cell>
          <cell r="C504" t="str">
            <v>25023140293</v>
          </cell>
        </row>
        <row r="505">
          <cell r="A505" t="str">
            <v>3202331001940009</v>
          </cell>
        </row>
        <row r="506">
          <cell r="A506" t="str">
            <v>3211172909930005</v>
          </cell>
          <cell r="C506" t="str">
            <v>22061524330</v>
          </cell>
        </row>
        <row r="507">
          <cell r="A507" t="str">
            <v>3671081602990005</v>
          </cell>
          <cell r="C507" t="str">
            <v>25060699896</v>
          </cell>
        </row>
        <row r="508">
          <cell r="A508" t="str">
            <v>3312110903960001</v>
          </cell>
          <cell r="C508" t="str">
            <v>25051200654</v>
          </cell>
        </row>
        <row r="509">
          <cell r="A509" t="str">
            <v>1502050905020001</v>
          </cell>
          <cell r="C509" t="str">
            <v>24115993289</v>
          </cell>
        </row>
        <row r="510">
          <cell r="A510" t="str">
            <v>3402094808080004</v>
          </cell>
          <cell r="C510" t="str">
            <v>25023140160</v>
          </cell>
        </row>
        <row r="511">
          <cell r="A511" t="str">
            <v>3517111501920001</v>
          </cell>
        </row>
        <row r="512">
          <cell r="A512" t="str">
            <v>3215032812830001</v>
          </cell>
          <cell r="C512" t="str">
            <v>25051200647</v>
          </cell>
        </row>
        <row r="513">
          <cell r="A513" t="str">
            <v>6112051310010001</v>
          </cell>
          <cell r="C513" t="str">
            <v>25023141283</v>
          </cell>
        </row>
        <row r="514">
          <cell r="A514" t="str">
            <v>1809020604950001</v>
          </cell>
          <cell r="C514" t="str">
            <v>25023140970</v>
          </cell>
        </row>
        <row r="515">
          <cell r="A515" t="str">
            <v>3372051610840004</v>
          </cell>
          <cell r="C515" t="str">
            <v>25023140202</v>
          </cell>
        </row>
        <row r="516">
          <cell r="A516" t="str">
            <v>3278044101050003</v>
          </cell>
          <cell r="C516" t="str">
            <v>25038744675</v>
          </cell>
        </row>
        <row r="517">
          <cell r="A517" t="str">
            <v>3209221604960005</v>
          </cell>
          <cell r="C517" t="str">
            <v>25051199732</v>
          </cell>
        </row>
        <row r="518">
          <cell r="A518" t="str">
            <v>3301060104880005</v>
          </cell>
          <cell r="C518" t="str">
            <v>25023141424</v>
          </cell>
        </row>
        <row r="519">
          <cell r="A519" t="str">
            <v>7471071212940003</v>
          </cell>
          <cell r="C519" t="str">
            <v>24124858168</v>
          </cell>
        </row>
        <row r="520">
          <cell r="A520" t="str">
            <v>3671135104890005</v>
          </cell>
        </row>
        <row r="521">
          <cell r="A521" t="str">
            <v>3216022209850010</v>
          </cell>
        </row>
        <row r="522">
          <cell r="A522" t="str">
            <v>3603220311820001</v>
          </cell>
        </row>
        <row r="523">
          <cell r="A523" t="str">
            <v>1671051503890004</v>
          </cell>
          <cell r="C523" t="str">
            <v>25023141226</v>
          </cell>
        </row>
        <row r="524">
          <cell r="A524" t="str">
            <v>1371024608980007</v>
          </cell>
          <cell r="C524" t="str">
            <v>25051199351</v>
          </cell>
        </row>
        <row r="525">
          <cell r="A525" t="str">
            <v>3506041911980001</v>
          </cell>
          <cell r="C525" t="str">
            <v>24032440323</v>
          </cell>
        </row>
        <row r="526">
          <cell r="A526" t="str">
            <v>1971031111920001</v>
          </cell>
          <cell r="C526" t="str">
            <v>25051200514</v>
          </cell>
        </row>
        <row r="527">
          <cell r="A527" t="str">
            <v>3275051006990020</v>
          </cell>
          <cell r="C527" t="str">
            <v>25051199393</v>
          </cell>
        </row>
        <row r="528">
          <cell r="A528" t="str">
            <v>3403122007000001</v>
          </cell>
          <cell r="C528" t="str">
            <v>25038744584</v>
          </cell>
        </row>
        <row r="529">
          <cell r="A529" t="str">
            <v>5307072003810002</v>
          </cell>
          <cell r="C529" t="str">
            <v>24034968917</v>
          </cell>
        </row>
        <row r="530">
          <cell r="A530" t="str">
            <v>3403096303030004</v>
          </cell>
        </row>
        <row r="531">
          <cell r="A531" t="str">
            <v>3674062811990004</v>
          </cell>
          <cell r="C531" t="str">
            <v>25051200480</v>
          </cell>
        </row>
        <row r="532">
          <cell r="A532" t="str">
            <v>3276021610940014</v>
          </cell>
        </row>
        <row r="533">
          <cell r="A533" t="str">
            <v>1371111702930004</v>
          </cell>
          <cell r="C533" t="str">
            <v>25023141069</v>
          </cell>
        </row>
        <row r="534">
          <cell r="A534" t="str">
            <v>1371103001900005</v>
          </cell>
          <cell r="C534" t="str">
            <v>24045771359</v>
          </cell>
        </row>
        <row r="535">
          <cell r="A535" t="str">
            <v>3372043009940003</v>
          </cell>
          <cell r="C535" t="str">
            <v>25023141374</v>
          </cell>
        </row>
        <row r="536">
          <cell r="A536" t="str">
            <v>3173081601780004</v>
          </cell>
        </row>
        <row r="537">
          <cell r="A537" t="str">
            <v>1671064507870011</v>
          </cell>
        </row>
        <row r="538">
          <cell r="A538" t="str">
            <v>1671073101880010</v>
          </cell>
          <cell r="C538" t="str">
            <v>25023139931</v>
          </cell>
        </row>
        <row r="539">
          <cell r="A539" t="str">
            <v>3601295006970002</v>
          </cell>
          <cell r="C539" t="str">
            <v>25051199682</v>
          </cell>
        </row>
        <row r="540">
          <cell r="A540" t="str">
            <v>3524101211000003</v>
          </cell>
        </row>
        <row r="541">
          <cell r="A541" t="str">
            <v>6472035204040003</v>
          </cell>
          <cell r="C541" t="str">
            <v>25051199518</v>
          </cell>
        </row>
        <row r="542">
          <cell r="A542" t="str">
            <v>3310011807030001</v>
          </cell>
          <cell r="C542" t="str">
            <v>24062870696</v>
          </cell>
        </row>
        <row r="543">
          <cell r="A543" t="str">
            <v>3471131803040001</v>
          </cell>
          <cell r="C543" t="str">
            <v>25038744683</v>
          </cell>
        </row>
        <row r="544">
          <cell r="A544" t="str">
            <v>3172040704910003</v>
          </cell>
        </row>
        <row r="545">
          <cell r="A545" t="str">
            <v>1171070906040001</v>
          </cell>
          <cell r="C545" t="str">
            <v>25051200555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 Responses 1"/>
      <sheetName val="Data Asli"/>
      <sheetName val="Data Perbaikan"/>
      <sheetName val="Sheet7"/>
      <sheetName val="Sheet3"/>
      <sheetName val="Nama Pengurang April 2025"/>
      <sheetName val="Sheet2"/>
      <sheetName val="Sheet1"/>
      <sheetName val="Sheet4"/>
      <sheetName val="Form_Responses_1"/>
      <sheetName val="Data_Asli"/>
      <sheetName val="Data_Perbaikan"/>
      <sheetName val="Nama_Pengurang_April_2025"/>
    </sheetNames>
    <sheetDataSet>
      <sheetData sheetId="0" refreshError="1"/>
      <sheetData sheetId="1" refreshError="1"/>
      <sheetData sheetId="2">
        <row r="2">
          <cell r="B2" t="str">
            <v>adnansetyawan14@gmail.com</v>
          </cell>
        </row>
        <row r="247">
          <cell r="H247" t="str">
            <v>3171043108970001</v>
          </cell>
          <cell r="AI247" t="str">
            <v>Reynaldi Prasetyo</v>
          </cell>
          <cell r="AJ247" t="str">
            <v>BCA</v>
          </cell>
        </row>
        <row r="248">
          <cell r="H248" t="str">
            <v>3209391903950002</v>
          </cell>
          <cell r="AI248" t="str">
            <v>ASEP MUHAEMIN</v>
          </cell>
          <cell r="AJ248" t="str">
            <v>MANDIRI</v>
          </cell>
        </row>
        <row r="249">
          <cell r="H249" t="str">
            <v>3171080405940001</v>
          </cell>
          <cell r="AI249" t="str">
            <v>Ahmad fajar zamzami</v>
          </cell>
          <cell r="AJ249" t="str">
            <v>BCA</v>
          </cell>
        </row>
        <row r="250">
          <cell r="H250" t="str">
            <v>3175061101800023</v>
          </cell>
          <cell r="AI250" t="str">
            <v>Rino herdianto</v>
          </cell>
          <cell r="AJ250" t="str">
            <v>BCA</v>
          </cell>
        </row>
        <row r="251">
          <cell r="H251" t="str">
            <v>3208150401930003</v>
          </cell>
          <cell r="AI251" t="str">
            <v>Ading suparjo</v>
          </cell>
          <cell r="AJ251" t="str">
            <v>BCA</v>
          </cell>
        </row>
        <row r="252">
          <cell r="H252" t="str">
            <v>1505012707010001</v>
          </cell>
          <cell r="AI252" t="str">
            <v>JEFRI JULIANDA</v>
          </cell>
          <cell r="AJ252" t="str">
            <v>BCA</v>
          </cell>
        </row>
        <row r="253">
          <cell r="H253" t="str">
            <v>1101061111030002</v>
          </cell>
          <cell r="AI253" t="str">
            <v>Nuzul Ramadhan</v>
          </cell>
          <cell r="AJ253" t="str">
            <v>BSI</v>
          </cell>
        </row>
        <row r="254">
          <cell r="H254" t="str">
            <v>3275115704020013</v>
          </cell>
          <cell r="AI254" t="str">
            <v>RIZA MELIA PASARIBU</v>
          </cell>
          <cell r="AJ254" t="str">
            <v>BCA</v>
          </cell>
        </row>
        <row r="255">
          <cell r="H255" t="str">
            <v>3578095303020003</v>
          </cell>
          <cell r="AI255" t="str">
            <v>Eka Putri Durriyah</v>
          </cell>
          <cell r="AJ255" t="str">
            <v>BCA</v>
          </cell>
        </row>
        <row r="256">
          <cell r="H256" t="str">
            <v>3175032105990002</v>
          </cell>
          <cell r="AI256" t="str">
            <v>Ivan Wibisono</v>
          </cell>
          <cell r="AJ256" t="str">
            <v>BCA</v>
          </cell>
        </row>
        <row r="257">
          <cell r="H257" t="str">
            <v>3305261011970001</v>
          </cell>
          <cell r="AI257" t="str">
            <v>RIKO SETIAWAN</v>
          </cell>
          <cell r="AJ257" t="str">
            <v>BCA</v>
          </cell>
        </row>
        <row r="258">
          <cell r="H258" t="str">
            <v>3510166207990001</v>
          </cell>
          <cell r="AI258" t="str">
            <v>TRIA SAPUTRI</v>
          </cell>
          <cell r="AJ258" t="str">
            <v>BCA</v>
          </cell>
        </row>
        <row r="259">
          <cell r="H259" t="str">
            <v>5103025008820012</v>
          </cell>
          <cell r="AI259" t="str">
            <v>NILUH KETUT AQUARISNAMETRI</v>
          </cell>
          <cell r="AJ259" t="str">
            <v>BCA</v>
          </cell>
        </row>
        <row r="260">
          <cell r="H260" t="str">
            <v>3603232808010004</v>
          </cell>
          <cell r="AI260" t="str">
            <v>Nur Rizqi Alwandy</v>
          </cell>
          <cell r="AJ260" t="str">
            <v>BCA</v>
          </cell>
        </row>
        <row r="261">
          <cell r="H261" t="str">
            <v>3601090107950209</v>
          </cell>
          <cell r="AI261" t="str">
            <v>Hasan basri</v>
          </cell>
          <cell r="AJ261" t="str">
            <v>BCA</v>
          </cell>
        </row>
        <row r="262">
          <cell r="H262" t="str">
            <v>6473032212970003</v>
          </cell>
          <cell r="AI262" t="str">
            <v>Dzawil Fahmi Maulana</v>
          </cell>
          <cell r="AJ262" t="str">
            <v>BCA</v>
          </cell>
        </row>
        <row r="263">
          <cell r="H263" t="str">
            <v>3172045103940003</v>
          </cell>
          <cell r="AI263" t="str">
            <v>Fitria Hariaty</v>
          </cell>
          <cell r="AJ263" t="str">
            <v>BCA</v>
          </cell>
        </row>
        <row r="264">
          <cell r="H264" t="str">
            <v>1371037101930003</v>
          </cell>
          <cell r="AI264" t="str">
            <v>Fauzia hasanah zulfadlil</v>
          </cell>
          <cell r="AJ264" t="str">
            <v>BCA</v>
          </cell>
        </row>
        <row r="265">
          <cell r="H265" t="str">
            <v>3671081602990005</v>
          </cell>
          <cell r="AI265" t="str">
            <v>Usman firlana sujarwo</v>
          </cell>
          <cell r="AJ265" t="str">
            <v>BCA</v>
          </cell>
        </row>
        <row r="266">
          <cell r="H266" t="str">
            <v>6471030204830003</v>
          </cell>
          <cell r="AI266" t="str">
            <v>MARIO IMMANUEL P</v>
          </cell>
          <cell r="AJ266" t="str">
            <v>MANDIRI</v>
          </cell>
        </row>
        <row r="267">
          <cell r="H267" t="str">
            <v>3215265408910005</v>
          </cell>
          <cell r="AI267" t="str">
            <v>NINAWATI</v>
          </cell>
          <cell r="AJ267" t="str">
            <v>BCA</v>
          </cell>
        </row>
        <row r="268">
          <cell r="H268" t="str">
            <v>3175030203960006</v>
          </cell>
          <cell r="AI268" t="str">
            <v>Mardhika Tri Wibowo</v>
          </cell>
          <cell r="AJ268" t="str">
            <v>MANDIRI</v>
          </cell>
        </row>
        <row r="269">
          <cell r="H269" t="str">
            <v>3175076202971002</v>
          </cell>
          <cell r="AI269" t="str">
            <v>Hafilah Pebri Yanti</v>
          </cell>
          <cell r="AJ269" t="str">
            <v>BRI</v>
          </cell>
        </row>
        <row r="270">
          <cell r="H270" t="str">
            <v>3311090901020001</v>
          </cell>
          <cell r="AI270" t="str">
            <v>Yoko Mariahi</v>
          </cell>
          <cell r="AJ270" t="str">
            <v>BCA</v>
          </cell>
        </row>
        <row r="271">
          <cell r="H271" t="str">
            <v>3175064210931004</v>
          </cell>
          <cell r="AI271" t="str">
            <v>Haryati</v>
          </cell>
          <cell r="AJ271" t="str">
            <v>BRI</v>
          </cell>
        </row>
        <row r="272">
          <cell r="H272" t="str">
            <v>3215260208820001</v>
          </cell>
          <cell r="AI272" t="str">
            <v>Asep Awaludin</v>
          </cell>
          <cell r="AJ272" t="str">
            <v>MANDIRI</v>
          </cell>
        </row>
        <row r="273">
          <cell r="H273" t="str">
            <v>3215032812830001</v>
          </cell>
          <cell r="AI273" t="str">
            <v>WAHYU</v>
          </cell>
          <cell r="AJ273" t="str">
            <v>BRI</v>
          </cell>
        </row>
        <row r="274">
          <cell r="H274" t="str">
            <v>3312110903960001</v>
          </cell>
          <cell r="AI274" t="str">
            <v>VAVA YOGA PRATAMA</v>
          </cell>
          <cell r="AJ274" t="str">
            <v>BRI</v>
          </cell>
        </row>
        <row r="275">
          <cell r="H275" t="str">
            <v>3215030906920003</v>
          </cell>
          <cell r="AI275" t="str">
            <v>DENI RUKMANA</v>
          </cell>
          <cell r="AJ275" t="str">
            <v>MANDIRI</v>
          </cell>
        </row>
        <row r="276">
          <cell r="H276" t="str">
            <v>3215032212900001</v>
          </cell>
          <cell r="AI276" t="str">
            <v>SAMSUDIN</v>
          </cell>
          <cell r="AJ276" t="str">
            <v>BRI</v>
          </cell>
        </row>
        <row r="277">
          <cell r="H277" t="str">
            <v>3215274701900001</v>
          </cell>
          <cell r="AI277" t="str">
            <v>Siti rokayah</v>
          </cell>
          <cell r="AJ277" t="str">
            <v>MANDIRI</v>
          </cell>
        </row>
        <row r="278">
          <cell r="H278" t="str">
            <v>7271031307830003</v>
          </cell>
          <cell r="AI278" t="str">
            <v>UCI</v>
          </cell>
          <cell r="AJ278" t="str">
            <v>MANDIRI</v>
          </cell>
        </row>
        <row r="279">
          <cell r="H279" t="str">
            <v>3215030704900001</v>
          </cell>
          <cell r="AI279" t="str">
            <v>Eko Nurohim</v>
          </cell>
          <cell r="AJ279" t="str">
            <v>MANDIRI</v>
          </cell>
        </row>
        <row r="280">
          <cell r="H280" t="str">
            <v>3215030402840003</v>
          </cell>
          <cell r="AI280" t="str">
            <v>ASEP BUDIMAN</v>
          </cell>
          <cell r="AJ280" t="str">
            <v>MANDIRI</v>
          </cell>
        </row>
        <row r="281">
          <cell r="H281" t="str">
            <v>3215170912780001</v>
          </cell>
          <cell r="AI281" t="str">
            <v>Hidayatulloh</v>
          </cell>
          <cell r="AJ281" t="str">
            <v>MANDIRI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>
        <row r="2">
          <cell r="B2" t="str">
            <v>adnansetyawan14@gmail.com</v>
          </cell>
        </row>
      </sheetData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KODE SUKU USAHA</v>
          </cell>
          <cell r="H1" t="str">
            <v>NAMA LENGKAP</v>
          </cell>
          <cell r="I1" t="str">
            <v>JABATAN/POSISI</v>
          </cell>
          <cell r="AM1" t="str">
            <v>NAMA PEMILIK (Nasabah)</v>
          </cell>
          <cell r="AN1" t="str">
            <v>NAMA BANK</v>
          </cell>
          <cell r="AO1" t="str">
            <v>NO REKENING BANK (Wajib Valid)</v>
          </cell>
          <cell r="CN1" t="str">
            <v>TANGGAL PERTAMA BERGABUNG DI GRAMEDIA</v>
          </cell>
        </row>
        <row r="2">
          <cell r="H2" t="str">
            <v>ADNAN SETYAWAN</v>
          </cell>
          <cell r="I2" t="str">
            <v>General Service Attendant</v>
          </cell>
          <cell r="AM2" t="str">
            <v xml:space="preserve">ADNAN SETYAWAN </v>
          </cell>
          <cell r="AN2" t="str">
            <v>BCA</v>
          </cell>
          <cell r="AO2">
            <v>8681041788</v>
          </cell>
        </row>
        <row r="3">
          <cell r="H3" t="str">
            <v>sunandar</v>
          </cell>
          <cell r="I3" t="str">
            <v>Office Boy</v>
          </cell>
          <cell r="AM3" t="str">
            <v>sunandar</v>
          </cell>
          <cell r="AN3" t="str">
            <v>BCA</v>
          </cell>
          <cell r="AO3">
            <v>8880224728</v>
          </cell>
        </row>
        <row r="4">
          <cell r="H4" t="str">
            <v>M.Husni.Ramadhan</v>
          </cell>
          <cell r="I4" t="str">
            <v>Cleaning Services (Anggota)</v>
          </cell>
          <cell r="AM4" t="str">
            <v>Muhamad husni ramadhan</v>
          </cell>
          <cell r="AN4" t="str">
            <v>BCA</v>
          </cell>
          <cell r="AO4">
            <v>8015339647</v>
          </cell>
        </row>
        <row r="5">
          <cell r="H5" t="str">
            <v>SUHARI</v>
          </cell>
          <cell r="I5" t="str">
            <v>Cleaning Services (Anggota)</v>
          </cell>
          <cell r="AM5" t="str">
            <v>SUHARI</v>
          </cell>
          <cell r="AN5" t="str">
            <v>BCA</v>
          </cell>
          <cell r="AO5">
            <v>332883559</v>
          </cell>
        </row>
        <row r="6">
          <cell r="H6" t="str">
            <v>Rifki Subagya</v>
          </cell>
          <cell r="I6" t="str">
            <v>General Service Attendant</v>
          </cell>
          <cell r="AM6" t="str">
            <v>Rifki Subagya</v>
          </cell>
          <cell r="AN6" t="str">
            <v>BCA</v>
          </cell>
          <cell r="AO6">
            <v>3420234511</v>
          </cell>
        </row>
        <row r="7">
          <cell r="H7" t="str">
            <v>Tri Laras Sati</v>
          </cell>
          <cell r="I7" t="str">
            <v>Security Guard (Anggota)</v>
          </cell>
          <cell r="AM7" t="str">
            <v xml:space="preserve">Tri Laras Sati </v>
          </cell>
          <cell r="AN7" t="str">
            <v>BCA</v>
          </cell>
          <cell r="AO7">
            <v>1912937806</v>
          </cell>
        </row>
        <row r="8">
          <cell r="H8" t="str">
            <v>Sugiyono</v>
          </cell>
          <cell r="I8" t="str">
            <v>Security (Danru)</v>
          </cell>
          <cell r="AM8" t="str">
            <v xml:space="preserve">Sugiyono </v>
          </cell>
          <cell r="AN8" t="str">
            <v>MANDIRI</v>
          </cell>
          <cell r="AO8">
            <v>1420015983082</v>
          </cell>
        </row>
        <row r="9">
          <cell r="H9" t="str">
            <v>HARUN AL RASYID</v>
          </cell>
          <cell r="I9" t="str">
            <v>Security Guard (Anggota)</v>
          </cell>
          <cell r="AM9" t="str">
            <v>HARUN AL RASYID</v>
          </cell>
          <cell r="AN9" t="str">
            <v>MANDIRI</v>
          </cell>
          <cell r="AO9">
            <v>9000036979798</v>
          </cell>
        </row>
        <row r="10">
          <cell r="H10" t="str">
            <v>INDRA TAOPIK HIDAYAT</v>
          </cell>
          <cell r="I10" t="str">
            <v>Security Guard (Anggota)</v>
          </cell>
          <cell r="AM10" t="str">
            <v>INDRA TAOPIK HIDAYAT</v>
          </cell>
          <cell r="AN10" t="str">
            <v>BRI</v>
          </cell>
          <cell r="AO10">
            <v>202501065068502</v>
          </cell>
        </row>
        <row r="11">
          <cell r="H11" t="str">
            <v>INDRA TAOPIK HIDAYAT</v>
          </cell>
          <cell r="I11" t="str">
            <v>Security Guard (Anggota)</v>
          </cell>
          <cell r="AM11" t="str">
            <v>INDRA TAOPIK HIDAYAT</v>
          </cell>
          <cell r="AN11" t="str">
            <v>BRI</v>
          </cell>
          <cell r="AO11" t="str">
            <v>2025 0106 5068 502</v>
          </cell>
        </row>
        <row r="12">
          <cell r="H12" t="str">
            <v>Hasan Bahri</v>
          </cell>
          <cell r="I12" t="str">
            <v>Security Guard (Anggota)</v>
          </cell>
          <cell r="AM12" t="str">
            <v>Hasan Bahri</v>
          </cell>
          <cell r="AN12" t="str">
            <v>MANDIRI</v>
          </cell>
          <cell r="AO12" t="str">
            <v>135-00-1707876-5</v>
          </cell>
        </row>
        <row r="13">
          <cell r="H13" t="str">
            <v>Muhammad lutfi riyadi</v>
          </cell>
          <cell r="I13" t="str">
            <v>Cleaning Services (Anggota)</v>
          </cell>
          <cell r="AM13" t="str">
            <v>Muhammad lutfi riyadi</v>
          </cell>
          <cell r="AN13" t="str">
            <v>BCA</v>
          </cell>
          <cell r="AO13">
            <v>241669466</v>
          </cell>
        </row>
        <row r="14">
          <cell r="H14" t="str">
            <v>JOKO SUTRISNO</v>
          </cell>
          <cell r="I14" t="str">
            <v>Security Guard (Anggota)</v>
          </cell>
          <cell r="AM14" t="str">
            <v>JOKO SUTRISNO</v>
          </cell>
          <cell r="AN14" t="str">
            <v>MANDIRI</v>
          </cell>
          <cell r="AO14">
            <v>1420015985509</v>
          </cell>
        </row>
        <row r="15">
          <cell r="H15" t="str">
            <v>Feri fedriawan</v>
          </cell>
          <cell r="I15" t="str">
            <v>Cleaning Services (Anggota)</v>
          </cell>
          <cell r="AM15" t="str">
            <v>Feri fedriawan</v>
          </cell>
          <cell r="AN15" t="str">
            <v>BRI</v>
          </cell>
          <cell r="AO15">
            <v>322301016957539</v>
          </cell>
        </row>
        <row r="16">
          <cell r="H16" t="str">
            <v>MUHAMAD ANDY KRISTOYO</v>
          </cell>
          <cell r="I16" t="str">
            <v>Security Guard (Anggota)</v>
          </cell>
          <cell r="AM16" t="str">
            <v>Muhamad Andy Kristoyo</v>
          </cell>
          <cell r="AN16" t="str">
            <v>MANDIRI</v>
          </cell>
          <cell r="AO16" t="str">
            <v>13500 1737 555 9</v>
          </cell>
        </row>
        <row r="17">
          <cell r="H17" t="str">
            <v>Untung Famuji</v>
          </cell>
          <cell r="I17" t="str">
            <v>Security Guard (Anggota)</v>
          </cell>
          <cell r="AM17" t="str">
            <v xml:space="preserve">Untung Famuji </v>
          </cell>
          <cell r="AN17" t="str">
            <v>MANDIRI</v>
          </cell>
          <cell r="AO17">
            <v>1670005067136</v>
          </cell>
        </row>
        <row r="18">
          <cell r="H18" t="str">
            <v>AHMAD ABDUL AZIZ</v>
          </cell>
          <cell r="I18" t="str">
            <v>Security Guard (Anggota)</v>
          </cell>
          <cell r="AM18" t="str">
            <v>Ahmad abdul aziz</v>
          </cell>
          <cell r="AN18" t="str">
            <v>MANDIRI</v>
          </cell>
          <cell r="AO18">
            <v>1390019112360</v>
          </cell>
        </row>
        <row r="19">
          <cell r="H19" t="str">
            <v>ADISETIAWAN</v>
          </cell>
          <cell r="I19" t="str">
            <v>Security Guard (Anggota)</v>
          </cell>
          <cell r="AM19" t="str">
            <v>Adi setiawan</v>
          </cell>
          <cell r="AN19" t="str">
            <v>MANDIRI</v>
          </cell>
          <cell r="AO19">
            <v>1350020396121</v>
          </cell>
        </row>
        <row r="20">
          <cell r="H20" t="str">
            <v>AKBAR AFANDI</v>
          </cell>
          <cell r="I20" t="str">
            <v>Cleaning Services (Anggota)</v>
          </cell>
          <cell r="AM20" t="str">
            <v xml:space="preserve">AKBAR AFANDI </v>
          </cell>
          <cell r="AN20" t="str">
            <v>BCA</v>
          </cell>
          <cell r="AO20">
            <v>241670511</v>
          </cell>
        </row>
        <row r="21">
          <cell r="H21" t="str">
            <v>ALI MASYKUR</v>
          </cell>
          <cell r="I21" t="str">
            <v>General Service Attendant</v>
          </cell>
          <cell r="AM21" t="str">
            <v>ALI MASYKUR</v>
          </cell>
          <cell r="AN21" t="str">
            <v>BCA</v>
          </cell>
          <cell r="AO21">
            <v>3251619172</v>
          </cell>
        </row>
        <row r="22">
          <cell r="H22" t="str">
            <v>AGUS TRIONO</v>
          </cell>
          <cell r="I22" t="str">
            <v>Cleaning Services (Anggota)</v>
          </cell>
          <cell r="AM22" t="str">
            <v xml:space="preserve">AGUS TRIONO </v>
          </cell>
          <cell r="AN22" t="str">
            <v>MANDIRI</v>
          </cell>
          <cell r="AO22">
            <v>1100015015537</v>
          </cell>
        </row>
        <row r="23">
          <cell r="H23" t="str">
            <v>SYEH MAULANA NARULLAH PUTRA</v>
          </cell>
          <cell r="I23" t="str">
            <v>Security Guard (Anggota)</v>
          </cell>
          <cell r="AM23" t="str">
            <v xml:space="preserve">SYEH MAULANA NARULLAH PUTRA </v>
          </cell>
          <cell r="AN23" t="str">
            <v>BCA</v>
          </cell>
          <cell r="AO23">
            <v>1192701010</v>
          </cell>
        </row>
        <row r="24">
          <cell r="H24" t="str">
            <v>Latiful Aziz</v>
          </cell>
          <cell r="I24" t="str">
            <v>Cleaning Services (Anggota)</v>
          </cell>
          <cell r="AM24" t="str">
            <v>LATIFUL AZIZ</v>
          </cell>
          <cell r="AN24" t="str">
            <v>BRI</v>
          </cell>
          <cell r="AO24">
            <v>638301011748534</v>
          </cell>
        </row>
        <row r="25">
          <cell r="H25" t="str">
            <v>Wadhuha</v>
          </cell>
          <cell r="I25" t="str">
            <v>Cleaning Services (Anggota)</v>
          </cell>
          <cell r="AM25" t="str">
            <v>Wadhuha</v>
          </cell>
          <cell r="AN25" t="str">
            <v>BRI</v>
          </cell>
          <cell r="AO25" t="str">
            <v>0684 0101 6793 506</v>
          </cell>
        </row>
        <row r="26">
          <cell r="H26" t="str">
            <v>PURWANTO</v>
          </cell>
          <cell r="I26" t="str">
            <v>Cleaning Services (Anggota)</v>
          </cell>
          <cell r="AM26" t="str">
            <v xml:space="preserve">PURWANTO </v>
          </cell>
          <cell r="AN26" t="str">
            <v>BRI</v>
          </cell>
          <cell r="AO26">
            <v>68401016779502</v>
          </cell>
        </row>
        <row r="27">
          <cell r="H27" t="str">
            <v>Feri zulianto</v>
          </cell>
          <cell r="I27" t="str">
            <v>Cleaning Services (Anggota)</v>
          </cell>
          <cell r="AM27" t="str">
            <v>Fery zulianto</v>
          </cell>
          <cell r="AN27" t="str">
            <v>BRI</v>
          </cell>
          <cell r="AO27">
            <v>41201099332502</v>
          </cell>
        </row>
        <row r="28">
          <cell r="H28" t="str">
            <v>Miftah khairulloh</v>
          </cell>
          <cell r="I28" t="str">
            <v>Cleaning Services (Anggota)</v>
          </cell>
          <cell r="AM28" t="str">
            <v xml:space="preserve">Miftah khairulloh </v>
          </cell>
          <cell r="AN28" t="str">
            <v>BCA</v>
          </cell>
          <cell r="AO28">
            <v>1600029718</v>
          </cell>
        </row>
        <row r="29">
          <cell r="H29" t="str">
            <v>Usep Arisman</v>
          </cell>
          <cell r="I29" t="str">
            <v>Cleaning Services (Anggota)</v>
          </cell>
          <cell r="AM29" t="str">
            <v>Usep arisman</v>
          </cell>
          <cell r="AN29" t="str">
            <v>BRI</v>
          </cell>
          <cell r="AO29">
            <v>322301016967534</v>
          </cell>
        </row>
        <row r="30">
          <cell r="H30" t="str">
            <v>INDRA JAYA</v>
          </cell>
          <cell r="I30" t="str">
            <v>Cleaning Services (Anggota)</v>
          </cell>
          <cell r="AM30" t="str">
            <v>INDRA JAYA</v>
          </cell>
          <cell r="AN30" t="str">
            <v>BRI</v>
          </cell>
          <cell r="AO30">
            <v>322301016950537</v>
          </cell>
        </row>
        <row r="31">
          <cell r="H31" t="str">
            <v>HARTONO</v>
          </cell>
          <cell r="I31" t="str">
            <v>Cleaning Services (Anggota)</v>
          </cell>
          <cell r="AM31" t="str">
            <v>HARTONO</v>
          </cell>
          <cell r="AN31" t="str">
            <v>BCA</v>
          </cell>
          <cell r="AO31">
            <v>600701444</v>
          </cell>
        </row>
        <row r="32">
          <cell r="H32" t="str">
            <v>selpi hendra</v>
          </cell>
          <cell r="I32" t="str">
            <v>Cleaning Services (Anggota)</v>
          </cell>
          <cell r="AM32" t="str">
            <v>selpi hendra</v>
          </cell>
          <cell r="AN32" t="str">
            <v>BCA</v>
          </cell>
          <cell r="AO32">
            <v>6040989593</v>
          </cell>
        </row>
        <row r="33">
          <cell r="H33" t="str">
            <v>TOTOK PRASETYA</v>
          </cell>
          <cell r="I33" t="str">
            <v>Cleaning Services (Anggota)</v>
          </cell>
          <cell r="AM33" t="str">
            <v>TOTOK PRASETYA</v>
          </cell>
          <cell r="AN33" t="str">
            <v>BCA</v>
          </cell>
          <cell r="AO33">
            <v>640722673</v>
          </cell>
        </row>
        <row r="34">
          <cell r="H34" t="str">
            <v>AHMAT ROJAK IQBAL HAKIKI</v>
          </cell>
          <cell r="I34" t="str">
            <v>Security Guard (Anggota)</v>
          </cell>
          <cell r="AM34" t="str">
            <v>AHMAT ROJAK IQBAL HAKIKI</v>
          </cell>
          <cell r="AN34" t="str">
            <v>BCA</v>
          </cell>
          <cell r="AO34">
            <v>2000762159</v>
          </cell>
        </row>
        <row r="35">
          <cell r="H35" t="str">
            <v>Ahmad jajuni</v>
          </cell>
          <cell r="I35" t="str">
            <v>Security Guard (Anggota)</v>
          </cell>
          <cell r="AM35" t="str">
            <v>Ahmad jajuni</v>
          </cell>
          <cell r="AN35" t="str">
            <v>BCA</v>
          </cell>
          <cell r="AO35">
            <v>1720255991</v>
          </cell>
        </row>
        <row r="36">
          <cell r="H36" t="str">
            <v>Ade Kurniawan</v>
          </cell>
          <cell r="I36" t="str">
            <v>Security (Danru)</v>
          </cell>
          <cell r="AM36" t="str">
            <v xml:space="preserve">Ade Kurniawan </v>
          </cell>
          <cell r="AN36" t="str">
            <v>MANDIRI</v>
          </cell>
          <cell r="AO36">
            <v>1640006415774</v>
          </cell>
        </row>
        <row r="37">
          <cell r="H37" t="str">
            <v>SAMSUL BAHRI</v>
          </cell>
          <cell r="I37" t="str">
            <v>Security Guard (Anggota)</v>
          </cell>
          <cell r="AM37" t="str">
            <v>SAMSUL BAHRI</v>
          </cell>
          <cell r="AN37" t="str">
            <v>BCA</v>
          </cell>
          <cell r="AO37">
            <v>1720253697</v>
          </cell>
        </row>
        <row r="38">
          <cell r="H38" t="str">
            <v>Sidiq zaelani</v>
          </cell>
          <cell r="I38" t="str">
            <v>Security Guard (Anggota)</v>
          </cell>
          <cell r="AM38" t="str">
            <v xml:space="preserve">SIDIQ ZAELANI </v>
          </cell>
          <cell r="AN38" t="str">
            <v>BCA</v>
          </cell>
          <cell r="AO38">
            <v>3431227370</v>
          </cell>
        </row>
        <row r="39">
          <cell r="H39" t="str">
            <v>Kusnadi</v>
          </cell>
          <cell r="I39" t="str">
            <v>Cleaning Services (Anggota)</v>
          </cell>
          <cell r="AM39" t="str">
            <v>Kusnadi</v>
          </cell>
          <cell r="AN39" t="str">
            <v>BCA</v>
          </cell>
          <cell r="AO39">
            <v>5211461927</v>
          </cell>
        </row>
        <row r="40">
          <cell r="H40" t="str">
            <v>FERIYATMAN</v>
          </cell>
          <cell r="I40" t="str">
            <v>Security Guard (Anggota)</v>
          </cell>
          <cell r="AM40" t="str">
            <v>Feriyatman</v>
          </cell>
          <cell r="AN40" t="str">
            <v>BCA</v>
          </cell>
          <cell r="AO40">
            <v>3770951568</v>
          </cell>
        </row>
        <row r="41">
          <cell r="H41" t="str">
            <v>Bahtiar adhiyaksa</v>
          </cell>
          <cell r="I41" t="str">
            <v>Security Guard (Anggota)</v>
          </cell>
          <cell r="AM41" t="str">
            <v xml:space="preserve">BAHTIAR ADHIYAKSA </v>
          </cell>
          <cell r="AN41" t="str">
            <v>MANDIRI</v>
          </cell>
          <cell r="AO41">
            <v>1350018410926</v>
          </cell>
        </row>
        <row r="42">
          <cell r="H42" t="str">
            <v>ROYAN HADI MAULANA</v>
          </cell>
          <cell r="I42" t="str">
            <v>Cleaning Services (Anggota)</v>
          </cell>
          <cell r="AM42" t="str">
            <v>ROYAN HADI MAULANA</v>
          </cell>
          <cell r="AN42" t="str">
            <v>MANDIRI</v>
          </cell>
          <cell r="AO42">
            <v>1490014538336</v>
          </cell>
        </row>
        <row r="43">
          <cell r="H43" t="str">
            <v>DWI FAUZUL AKBAR</v>
          </cell>
          <cell r="I43" t="str">
            <v>Security Guard (Anggota)</v>
          </cell>
          <cell r="AM43" t="str">
            <v xml:space="preserve">DWI FAUZUL AKBAR </v>
          </cell>
          <cell r="AN43" t="str">
            <v>BCA</v>
          </cell>
          <cell r="AO43">
            <v>1720257030</v>
          </cell>
        </row>
        <row r="44">
          <cell r="H44" t="str">
            <v>IRFAN TEAPON</v>
          </cell>
          <cell r="I44" t="str">
            <v>Security Guard (Anggota)</v>
          </cell>
          <cell r="AM44" t="str">
            <v>Irfan Teapon</v>
          </cell>
          <cell r="AN44" t="str">
            <v>MANDIRI</v>
          </cell>
          <cell r="AO44">
            <v>1860004010969</v>
          </cell>
        </row>
        <row r="45">
          <cell r="H45" t="str">
            <v>NURHADI</v>
          </cell>
          <cell r="I45" t="str">
            <v>Cleaning Services (Anggota)</v>
          </cell>
          <cell r="AM45" t="str">
            <v>NURHADI</v>
          </cell>
          <cell r="AN45" t="str">
            <v>BRI</v>
          </cell>
          <cell r="AO45">
            <v>725901009854539</v>
          </cell>
        </row>
        <row r="46">
          <cell r="H46" t="str">
            <v>Rasyid Tri Rahardjo</v>
          </cell>
          <cell r="I46" t="str">
            <v>Security Guard (Anggota)</v>
          </cell>
          <cell r="AM46" t="str">
            <v>Rasyid Tri Rahardjo</v>
          </cell>
          <cell r="AN46" t="str">
            <v>BCA</v>
          </cell>
          <cell r="AO46">
            <v>5876075021</v>
          </cell>
        </row>
        <row r="47">
          <cell r="H47" t="str">
            <v>Endy Safrudin</v>
          </cell>
          <cell r="I47" t="str">
            <v>Cleaning Services (Anggota)</v>
          </cell>
          <cell r="AM47" t="str">
            <v xml:space="preserve">Endy Safrudin </v>
          </cell>
          <cell r="AN47" t="str">
            <v>BRI</v>
          </cell>
          <cell r="AO47">
            <v>41601015390500</v>
          </cell>
        </row>
        <row r="48">
          <cell r="H48" t="str">
            <v>Asnawi</v>
          </cell>
          <cell r="I48" t="str">
            <v>Security Guard (Anggota)</v>
          </cell>
          <cell r="AM48" t="str">
            <v>Asnawi</v>
          </cell>
          <cell r="AN48" t="str">
            <v>BCA</v>
          </cell>
          <cell r="AO48">
            <v>7485197016</v>
          </cell>
        </row>
        <row r="49">
          <cell r="H49" t="str">
            <v>JANUAR DWI HENDRATNO</v>
          </cell>
          <cell r="I49" t="str">
            <v>Security Guard (Anggota)</v>
          </cell>
          <cell r="AM49" t="str">
            <v>JANUARI DWI HENDRATNO</v>
          </cell>
          <cell r="AN49" t="str">
            <v>MANDIRI</v>
          </cell>
          <cell r="AO49">
            <v>1800012095107</v>
          </cell>
        </row>
        <row r="50">
          <cell r="H50" t="str">
            <v>Muhammad Reza Rizkiawan</v>
          </cell>
          <cell r="I50" t="str">
            <v>General Service Attendant</v>
          </cell>
          <cell r="AM50" t="str">
            <v>Muhammad Reza Rizkiawan</v>
          </cell>
          <cell r="AN50" t="str">
            <v>BCA</v>
          </cell>
          <cell r="AO50">
            <v>3310620873</v>
          </cell>
        </row>
        <row r="51">
          <cell r="H51" t="str">
            <v>Moh Nur Huda</v>
          </cell>
          <cell r="I51" t="str">
            <v>Cleaning Services (Anggota)</v>
          </cell>
          <cell r="AM51" t="str">
            <v>Moh Nur Huda</v>
          </cell>
          <cell r="AN51" t="str">
            <v>BRI</v>
          </cell>
          <cell r="AO51">
            <v>639001016660538</v>
          </cell>
        </row>
        <row r="52">
          <cell r="H52" t="str">
            <v>Eko Andriyanto</v>
          </cell>
          <cell r="I52" t="str">
            <v>Cleaning Services (Anggota)</v>
          </cell>
          <cell r="AM52" t="str">
            <v>Eko andriyanto</v>
          </cell>
          <cell r="AN52" t="str">
            <v>BRI</v>
          </cell>
          <cell r="AO52" t="str">
            <v xml:space="preserve">6013 014204638145
</v>
          </cell>
        </row>
        <row r="53">
          <cell r="H53" t="str">
            <v>Aditya Syah Putra</v>
          </cell>
          <cell r="I53" t="str">
            <v>Cleaning Services (Anggota)</v>
          </cell>
          <cell r="AM53" t="str">
            <v>Aditya Syah Putra</v>
          </cell>
          <cell r="AN53" t="str">
            <v>BRI</v>
          </cell>
          <cell r="AO53">
            <v>322301016959531</v>
          </cell>
        </row>
        <row r="54">
          <cell r="H54" t="str">
            <v>HARTONO</v>
          </cell>
          <cell r="I54" t="str">
            <v>Cleaning Services (Anggota)</v>
          </cell>
          <cell r="AM54" t="str">
            <v>HARTONO</v>
          </cell>
          <cell r="AN54" t="str">
            <v>BCA</v>
          </cell>
          <cell r="AO54">
            <v>600701444</v>
          </cell>
        </row>
        <row r="55">
          <cell r="H55" t="str">
            <v>SEPTIAN RAHMAT FADLI</v>
          </cell>
          <cell r="I55" t="str">
            <v>Cleaning Services (Anggota)</v>
          </cell>
          <cell r="AM55" t="str">
            <v>SEPTIAN RAHMAT FADLI</v>
          </cell>
          <cell r="AN55" t="str">
            <v>BRI</v>
          </cell>
          <cell r="AO55">
            <v>68401052022507</v>
          </cell>
        </row>
        <row r="56">
          <cell r="H56" t="str">
            <v>YOSSY AINUR ROFIQ</v>
          </cell>
          <cell r="I56" t="str">
            <v>Cleaning Services (Anggota)</v>
          </cell>
          <cell r="AM56" t="str">
            <v xml:space="preserve">YOSSY AINUR ROFIQ </v>
          </cell>
          <cell r="AN56" t="str">
            <v>BRI</v>
          </cell>
          <cell r="AO56">
            <v>68401063791505</v>
          </cell>
        </row>
        <row r="57">
          <cell r="H57" t="str">
            <v>YOSSY AINUR ROFIQ</v>
          </cell>
          <cell r="I57" t="str">
            <v>Cleaning Services (Anggota)</v>
          </cell>
          <cell r="AM57" t="str">
            <v xml:space="preserve">YOSSY AINUR ROFIQ </v>
          </cell>
          <cell r="AN57" t="str">
            <v>BRI</v>
          </cell>
          <cell r="AO57">
            <v>68401063791505</v>
          </cell>
        </row>
        <row r="58">
          <cell r="H58" t="str">
            <v>Dyah Ayu Puspitasari</v>
          </cell>
          <cell r="I58" t="str">
            <v>Administrator</v>
          </cell>
          <cell r="AM58" t="str">
            <v>Dyah Ayu Puspitasari</v>
          </cell>
          <cell r="AN58" t="str">
            <v>BCA</v>
          </cell>
          <cell r="AO58">
            <v>1260717967</v>
          </cell>
        </row>
        <row r="59">
          <cell r="H59" t="str">
            <v>Andri gunawan</v>
          </cell>
          <cell r="I59" t="str">
            <v>Cleaning Services (Anggota)</v>
          </cell>
          <cell r="AM59" t="str">
            <v>Andri gunawan</v>
          </cell>
          <cell r="AN59" t="str">
            <v>BRI</v>
          </cell>
          <cell r="AO59">
            <v>480401023006534</v>
          </cell>
        </row>
        <row r="60">
          <cell r="H60" t="str">
            <v>Wanda Nisrina Putri</v>
          </cell>
          <cell r="I60" t="str">
            <v>Sales Promotion Attendat</v>
          </cell>
          <cell r="AM60" t="str">
            <v>Wanda Nisrina Putri</v>
          </cell>
          <cell r="AN60" t="str">
            <v>BCA</v>
          </cell>
          <cell r="AO60">
            <v>2090957506</v>
          </cell>
        </row>
        <row r="61">
          <cell r="H61" t="str">
            <v>AULIA RAHMA QONITA</v>
          </cell>
          <cell r="I61" t="str">
            <v>FO dan Marketing</v>
          </cell>
          <cell r="AM61" t="str">
            <v>AULIA RAHMA QONITA</v>
          </cell>
          <cell r="AN61" t="str">
            <v>BCA</v>
          </cell>
          <cell r="AO61">
            <v>5681637312</v>
          </cell>
        </row>
        <row r="62">
          <cell r="H62" t="str">
            <v>RISKI MAULANA</v>
          </cell>
          <cell r="I62" t="str">
            <v>General Service Attendant</v>
          </cell>
          <cell r="AM62" t="str">
            <v>RISKI MAULANA</v>
          </cell>
          <cell r="AN62" t="str">
            <v>BCA</v>
          </cell>
          <cell r="AO62">
            <v>7257012695</v>
          </cell>
        </row>
        <row r="63">
          <cell r="H63" t="str">
            <v>FAZRIYANOR</v>
          </cell>
          <cell r="I63" t="str">
            <v>Cleaning Services (Anggota)</v>
          </cell>
          <cell r="AM63" t="str">
            <v>FAZRIYANOR</v>
          </cell>
          <cell r="AN63" t="str">
            <v>BCA</v>
          </cell>
          <cell r="AO63">
            <v>512655384</v>
          </cell>
        </row>
        <row r="64">
          <cell r="H64" t="str">
            <v>JAGGAT SOPAN SOPIAN</v>
          </cell>
          <cell r="I64" t="str">
            <v>Cleaning Services (Anggota)</v>
          </cell>
          <cell r="AM64" t="str">
            <v>JAGGAT SOPAN SOPIAN</v>
          </cell>
          <cell r="AN64" t="str">
            <v>BRI</v>
          </cell>
          <cell r="AO64">
            <v>357001018365531</v>
          </cell>
        </row>
        <row r="65">
          <cell r="H65" t="str">
            <v>Amir Hamzah</v>
          </cell>
          <cell r="I65" t="str">
            <v>General Service Attendant</v>
          </cell>
          <cell r="AM65" t="str">
            <v>Amir hamzah</v>
          </cell>
          <cell r="AN65" t="str">
            <v>BCA</v>
          </cell>
          <cell r="AO65">
            <v>561660076</v>
          </cell>
        </row>
        <row r="66">
          <cell r="H66" t="str">
            <v>HERMAN SYAHRONI</v>
          </cell>
          <cell r="I66" t="str">
            <v>Cleaning Services (Karu)</v>
          </cell>
          <cell r="AM66" t="str">
            <v>HERMAN SYAHRONI</v>
          </cell>
          <cell r="AN66" t="str">
            <v>BRI</v>
          </cell>
          <cell r="AO66">
            <v>357001018553532</v>
          </cell>
        </row>
        <row r="67">
          <cell r="H67" t="str">
            <v>M ABD WAHID</v>
          </cell>
          <cell r="I67" t="str">
            <v>General Service Attendant</v>
          </cell>
          <cell r="AM67" t="str">
            <v>M ABD WAHID</v>
          </cell>
          <cell r="AN67" t="str">
            <v>BCA</v>
          </cell>
          <cell r="AO67">
            <v>512356468</v>
          </cell>
        </row>
        <row r="68">
          <cell r="H68" t="str">
            <v>HERMAN SYAHRONI</v>
          </cell>
          <cell r="I68" t="str">
            <v>Cleaning Services ( Karu)</v>
          </cell>
          <cell r="AM68" t="str">
            <v>HERMAN SYAHRONI</v>
          </cell>
          <cell r="AN68" t="str">
            <v>BRI</v>
          </cell>
          <cell r="AO68">
            <v>357001018553532</v>
          </cell>
        </row>
        <row r="69">
          <cell r="H69" t="str">
            <v>MOCHAMAD NUR AIDIN</v>
          </cell>
          <cell r="I69" t="str">
            <v>Cleaning Services (Anggota)</v>
          </cell>
          <cell r="AM69" t="str">
            <v>Mochamad Nur Aidin</v>
          </cell>
          <cell r="AN69" t="str">
            <v>BRI</v>
          </cell>
          <cell r="AO69">
            <v>68401038957500</v>
          </cell>
        </row>
        <row r="70">
          <cell r="H70" t="str">
            <v>Ade Kurniawan</v>
          </cell>
          <cell r="I70" t="str">
            <v>Security (Danru)</v>
          </cell>
          <cell r="AM70" t="str">
            <v xml:space="preserve">Ade Kurniawan </v>
          </cell>
          <cell r="AN70" t="str">
            <v>MANDIRI</v>
          </cell>
          <cell r="AO70">
            <v>1640006415774</v>
          </cell>
        </row>
        <row r="71">
          <cell r="H71" t="str">
            <v>FERIYATMAN</v>
          </cell>
          <cell r="I71" t="str">
            <v>Security Guard (Anggota)</v>
          </cell>
          <cell r="AM71" t="str">
            <v>Feriyatman</v>
          </cell>
          <cell r="AN71" t="str">
            <v>BCA</v>
          </cell>
          <cell r="AO71">
            <v>3770951568</v>
          </cell>
        </row>
        <row r="72">
          <cell r="H72" t="str">
            <v>MURDINI</v>
          </cell>
          <cell r="I72" t="str">
            <v>Cleaning Services (Anggota)</v>
          </cell>
          <cell r="AM72" t="str">
            <v>MURDINI</v>
          </cell>
          <cell r="AN72" t="str">
            <v>BCA</v>
          </cell>
          <cell r="AO72">
            <v>7218048959</v>
          </cell>
        </row>
        <row r="73">
          <cell r="H73" t="str">
            <v>Ahmad jajuni</v>
          </cell>
          <cell r="I73" t="str">
            <v>Security Guard (Anggota)</v>
          </cell>
          <cell r="AM73" t="str">
            <v>Ahmad jajuni</v>
          </cell>
          <cell r="AN73" t="str">
            <v>BCA</v>
          </cell>
          <cell r="AO73">
            <v>1720255991</v>
          </cell>
        </row>
        <row r="74">
          <cell r="H74" t="str">
            <v>Sidiq Zaelani</v>
          </cell>
          <cell r="I74" t="str">
            <v>Security Guard (Anggota)</v>
          </cell>
          <cell r="AM74" t="str">
            <v xml:space="preserve">Sidiq Zaelani </v>
          </cell>
          <cell r="AN74" t="str">
            <v>BCA</v>
          </cell>
          <cell r="AO74">
            <v>3431227370</v>
          </cell>
        </row>
        <row r="75">
          <cell r="H75" t="str">
            <v>Rasyid Tri Rahardjo</v>
          </cell>
          <cell r="I75" t="str">
            <v>Security Guard (Anggota)</v>
          </cell>
          <cell r="AM75" t="str">
            <v>RASYID TRI RAHARDJO</v>
          </cell>
          <cell r="AN75" t="str">
            <v>BCA</v>
          </cell>
          <cell r="AO75">
            <v>5876075021</v>
          </cell>
        </row>
        <row r="76">
          <cell r="H76" t="str">
            <v>ADRI ADRIAN</v>
          </cell>
          <cell r="I76" t="str">
            <v>Office Boy</v>
          </cell>
          <cell r="AM76" t="str">
            <v>ADRI ADRIAN</v>
          </cell>
          <cell r="AN76" t="str">
            <v>BRI</v>
          </cell>
          <cell r="AO76">
            <v>5201212115501</v>
          </cell>
        </row>
        <row r="77">
          <cell r="H77" t="str">
            <v>ADRI ADRIAN</v>
          </cell>
          <cell r="I77" t="str">
            <v>Office Boy</v>
          </cell>
          <cell r="AM77" t="str">
            <v xml:space="preserve">ADRI ADRIAN </v>
          </cell>
          <cell r="AN77" t="str">
            <v>BRI</v>
          </cell>
          <cell r="AO77" t="str">
            <v>0052-01-212115-50-1</v>
          </cell>
        </row>
        <row r="78">
          <cell r="H78" t="str">
            <v>Ramli</v>
          </cell>
          <cell r="I78" t="str">
            <v>Cleaning Services (Anggota)</v>
          </cell>
          <cell r="AM78" t="str">
            <v xml:space="preserve">RAMLI </v>
          </cell>
          <cell r="AN78" t="str">
            <v>BRI</v>
          </cell>
          <cell r="AO78">
            <v>470301015655533</v>
          </cell>
        </row>
        <row r="79">
          <cell r="H79" t="str">
            <v>SAMSUL BAHRI</v>
          </cell>
          <cell r="I79" t="str">
            <v>Security Guard (Anggota)</v>
          </cell>
          <cell r="AM79" t="str">
            <v>SAMSUL BAHRI</v>
          </cell>
          <cell r="AN79" t="str">
            <v>BCA</v>
          </cell>
          <cell r="AO79">
            <v>1720253697</v>
          </cell>
        </row>
        <row r="80">
          <cell r="H80" t="str">
            <v>GILANG RAMADHAN PRATAMA</v>
          </cell>
          <cell r="I80" t="str">
            <v>Cleaning Services (Anggota)</v>
          </cell>
          <cell r="AM80" t="str">
            <v xml:space="preserve">GILANG RAMADHAN PRATAMA </v>
          </cell>
          <cell r="AN80" t="str">
            <v>MANDIRI</v>
          </cell>
          <cell r="AO80">
            <v>1100019293866</v>
          </cell>
        </row>
        <row r="81">
          <cell r="H81" t="str">
            <v>Asnawi</v>
          </cell>
          <cell r="I81" t="str">
            <v>Security Guard (Anggota)</v>
          </cell>
          <cell r="AM81" t="str">
            <v>Asnawi</v>
          </cell>
          <cell r="AN81" t="str">
            <v>BCA</v>
          </cell>
          <cell r="AO81">
            <v>7485197061</v>
          </cell>
        </row>
        <row r="82">
          <cell r="H82" t="str">
            <v>HARSONO</v>
          </cell>
          <cell r="I82" t="str">
            <v>Cleaning Services (Anggota)</v>
          </cell>
          <cell r="AM82" t="str">
            <v>Harsono</v>
          </cell>
          <cell r="AN82" t="str">
            <v>BCA</v>
          </cell>
          <cell r="AO82">
            <v>3740776397</v>
          </cell>
        </row>
        <row r="83">
          <cell r="H83" t="str">
            <v>Ahmad hapizoh</v>
          </cell>
          <cell r="I83" t="str">
            <v>Cleaning Services (Anggota)</v>
          </cell>
          <cell r="AM83" t="str">
            <v>HaFiZOH BNI :1918801435</v>
          </cell>
          <cell r="AN83" t="str">
            <v>BNI</v>
          </cell>
          <cell r="AO83">
            <v>1918801435</v>
          </cell>
        </row>
        <row r="84">
          <cell r="H84" t="str">
            <v>IKHWAN. S</v>
          </cell>
          <cell r="I84" t="str">
            <v>Cleaning Services (Anggota)</v>
          </cell>
          <cell r="AM84" t="str">
            <v>Ikhwan,s</v>
          </cell>
          <cell r="AN84" t="str">
            <v>BRI</v>
          </cell>
          <cell r="AO84">
            <v>498801011858537</v>
          </cell>
        </row>
        <row r="85">
          <cell r="H85" t="str">
            <v>Ferry Setiawan</v>
          </cell>
          <cell r="I85" t="str">
            <v>Cleaning Services (Anggota)</v>
          </cell>
          <cell r="AM85" t="str">
            <v>Ferry setiawan</v>
          </cell>
          <cell r="AN85" t="str">
            <v>BCA</v>
          </cell>
          <cell r="AO85">
            <v>2670044346</v>
          </cell>
        </row>
        <row r="86">
          <cell r="H86" t="str">
            <v>Yolando dhimas prabowo</v>
          </cell>
          <cell r="I86" t="str">
            <v>Warehouse Attendant</v>
          </cell>
          <cell r="AM86" t="str">
            <v>Yolando dhimas prabowo</v>
          </cell>
          <cell r="AN86" t="str">
            <v>BCA</v>
          </cell>
          <cell r="AO86">
            <v>5810573815</v>
          </cell>
        </row>
        <row r="87">
          <cell r="H87" t="str">
            <v>ANGGA PUJIYANTO</v>
          </cell>
          <cell r="I87" t="str">
            <v>Security Guard (Anggota)</v>
          </cell>
          <cell r="AM87" t="str">
            <v xml:space="preserve">ANGGA PUJIYANTO </v>
          </cell>
          <cell r="AN87" t="str">
            <v>MANDIRI</v>
          </cell>
          <cell r="AO87">
            <v>1370013966367</v>
          </cell>
        </row>
        <row r="88">
          <cell r="H88" t="str">
            <v>Azzikri</v>
          </cell>
          <cell r="I88" t="str">
            <v>Cleaning Services (Anggota)</v>
          </cell>
          <cell r="AM88" t="str">
            <v>Azzikri</v>
          </cell>
          <cell r="AN88" t="str">
            <v>BCA</v>
          </cell>
          <cell r="AO88">
            <v>343505709</v>
          </cell>
        </row>
        <row r="89">
          <cell r="H89" t="str">
            <v>Giofani</v>
          </cell>
          <cell r="I89" t="str">
            <v>Cleaning Services (Anggota)</v>
          </cell>
          <cell r="AM89" t="str">
            <v>GIOFANI</v>
          </cell>
          <cell r="AN89" t="str">
            <v>BCA</v>
          </cell>
          <cell r="AO89">
            <v>2201190101</v>
          </cell>
        </row>
        <row r="90">
          <cell r="H90" t="str">
            <v>YUDA ARDINATA</v>
          </cell>
          <cell r="I90" t="str">
            <v>General Service Attendant</v>
          </cell>
          <cell r="AM90" t="str">
            <v>YUDA ARDINATA</v>
          </cell>
          <cell r="AN90" t="str">
            <v>BCA</v>
          </cell>
          <cell r="AO90">
            <v>6760482500</v>
          </cell>
        </row>
        <row r="91">
          <cell r="H91" t="str">
            <v>MOHAMAD SYAMSUL JAIS</v>
          </cell>
          <cell r="I91" t="str">
            <v>Security Guard (Anggota)</v>
          </cell>
          <cell r="AM91" t="str">
            <v>Mohamad syamsul jais</v>
          </cell>
          <cell r="AN91" t="str">
            <v>BCA</v>
          </cell>
          <cell r="AO91">
            <v>7642003880</v>
          </cell>
        </row>
        <row r="92">
          <cell r="H92" t="str">
            <v>Muhamad Prasetyo</v>
          </cell>
          <cell r="I92" t="str">
            <v>General Service Attendant</v>
          </cell>
          <cell r="AM92" t="str">
            <v>Muhamad Prasetyo</v>
          </cell>
          <cell r="AN92" t="str">
            <v>BCA</v>
          </cell>
          <cell r="AO92">
            <v>670740340</v>
          </cell>
        </row>
        <row r="93">
          <cell r="H93" t="str">
            <v>Hermawan</v>
          </cell>
          <cell r="I93" t="str">
            <v>Security Guard (Anggota)</v>
          </cell>
          <cell r="AM93" t="str">
            <v>Hermawan</v>
          </cell>
          <cell r="AN93" t="str">
            <v>MANDIRI</v>
          </cell>
          <cell r="AO93">
            <v>9000016369762</v>
          </cell>
        </row>
        <row r="94">
          <cell r="H94" t="str">
            <v>SEFENDRI</v>
          </cell>
          <cell r="I94" t="str">
            <v>Cleaning Services (Anggota)</v>
          </cell>
          <cell r="AM94" t="str">
            <v xml:space="preserve">SEFENDRI </v>
          </cell>
          <cell r="AN94" t="str">
            <v>BRI</v>
          </cell>
          <cell r="AO94" t="str">
            <v>3223 0101 6953 535</v>
          </cell>
        </row>
        <row r="95">
          <cell r="H95" t="str">
            <v>KHUBAIB MAULANA THORIQUDDINULLAH</v>
          </cell>
          <cell r="I95" t="str">
            <v>Cleaning Services (Anggota)</v>
          </cell>
          <cell r="AM95" t="str">
            <v>KHUBAIB MAULANA THORIQUDDINULLAH</v>
          </cell>
          <cell r="AN95" t="str">
            <v>BRI</v>
          </cell>
          <cell r="AO95">
            <v>68401038375504</v>
          </cell>
        </row>
        <row r="96">
          <cell r="H96" t="str">
            <v>JONNI SIAHAAN</v>
          </cell>
          <cell r="I96" t="str">
            <v>Cleaning Services (Anggota)</v>
          </cell>
          <cell r="AM96" t="str">
            <v xml:space="preserve">JONNI SIAHAAN </v>
          </cell>
          <cell r="AN96" t="str">
            <v>MANDIRI</v>
          </cell>
          <cell r="AO96">
            <v>1180010397445</v>
          </cell>
        </row>
        <row r="97">
          <cell r="H97" t="str">
            <v>MUHAMAD ANDY KRISTOYO</v>
          </cell>
          <cell r="I97" t="str">
            <v>Security Guard (Anggota)</v>
          </cell>
          <cell r="AM97" t="str">
            <v>Muhamad Andy Kristoyo</v>
          </cell>
          <cell r="AN97" t="str">
            <v>MANDIRI</v>
          </cell>
          <cell r="AO97" t="str">
            <v>13500 1737 555 9</v>
          </cell>
        </row>
        <row r="98">
          <cell r="H98" t="str">
            <v>Teja Abdila Majid</v>
          </cell>
          <cell r="I98" t="str">
            <v>General Service Attendant, General Service Supervisor</v>
          </cell>
          <cell r="AM98" t="str">
            <v xml:space="preserve">Teja Abdila Majid </v>
          </cell>
          <cell r="AN98" t="str">
            <v>BCA</v>
          </cell>
          <cell r="AO98">
            <v>4620728795</v>
          </cell>
        </row>
        <row r="99">
          <cell r="H99" t="str">
            <v>SEPRIANUS PANDU</v>
          </cell>
          <cell r="I99" t="str">
            <v>Security Guard (Anggota)</v>
          </cell>
          <cell r="AM99" t="str">
            <v>SEPRIANUS PANDU</v>
          </cell>
          <cell r="AN99" t="str">
            <v>BRI</v>
          </cell>
          <cell r="AO99" t="str">
            <v>4675-01-023390-53-4</v>
          </cell>
        </row>
        <row r="100">
          <cell r="H100" t="str">
            <v>IRON LUSSY</v>
          </cell>
          <cell r="I100" t="str">
            <v>Security Guard (Anggota)</v>
          </cell>
          <cell r="AM100" t="str">
            <v>Iron lussy</v>
          </cell>
          <cell r="AN100" t="str">
            <v>BRI</v>
          </cell>
          <cell r="AO100" t="str">
            <v>3490-01-070657-53-2</v>
          </cell>
        </row>
        <row r="101">
          <cell r="H101" t="str">
            <v>ADISETIAWAN</v>
          </cell>
          <cell r="I101" t="str">
            <v>Security Guard (Anggota)</v>
          </cell>
          <cell r="AM101" t="str">
            <v>ADISETIAWAN</v>
          </cell>
          <cell r="AN101" t="str">
            <v>MANDIRI</v>
          </cell>
          <cell r="AO101">
            <v>1350020396121</v>
          </cell>
        </row>
        <row r="102">
          <cell r="H102" t="str">
            <v>Bahtiar adhiyaksa</v>
          </cell>
          <cell r="I102" t="str">
            <v>Security Guard (Anggota)</v>
          </cell>
          <cell r="AM102" t="str">
            <v xml:space="preserve">Bahtiar adhiyaksa </v>
          </cell>
          <cell r="AN102" t="str">
            <v>MANDIRI</v>
          </cell>
          <cell r="AO102">
            <v>1350018410926</v>
          </cell>
        </row>
        <row r="103">
          <cell r="H103" t="str">
            <v>SAEPULOH</v>
          </cell>
          <cell r="I103" t="str">
            <v>Cleaning Services (Anggota)</v>
          </cell>
          <cell r="AM103" t="str">
            <v xml:space="preserve">SAEPULOH </v>
          </cell>
          <cell r="AN103" t="str">
            <v>BRI</v>
          </cell>
          <cell r="AO103" t="str">
            <v>1748 0100 0173 539</v>
          </cell>
        </row>
        <row r="104">
          <cell r="H104" t="str">
            <v>Rudi kastoro</v>
          </cell>
          <cell r="I104" t="str">
            <v>Cleaning Services (Anggota)</v>
          </cell>
          <cell r="AM104" t="str">
            <v>Rudi kastoro</v>
          </cell>
          <cell r="AN104" t="str">
            <v>MANDIRI</v>
          </cell>
          <cell r="AO104">
            <v>1180010396983</v>
          </cell>
        </row>
        <row r="105">
          <cell r="H105" t="str">
            <v>Taufik Hidayat</v>
          </cell>
          <cell r="I105" t="str">
            <v>Cleaning Services (Anggota)</v>
          </cell>
          <cell r="AM105" t="str">
            <v>TAUFIK HIDAYAT</v>
          </cell>
          <cell r="AN105" t="str">
            <v>BRI</v>
          </cell>
          <cell r="AO105">
            <v>50901054780507</v>
          </cell>
        </row>
        <row r="106">
          <cell r="H106" t="str">
            <v>Hery Santoso</v>
          </cell>
          <cell r="I106" t="str">
            <v>General Service Attendant</v>
          </cell>
          <cell r="AM106" t="str">
            <v>Hery Santoso</v>
          </cell>
          <cell r="AN106" t="str">
            <v>BCA</v>
          </cell>
          <cell r="AO106">
            <v>3530657450</v>
          </cell>
        </row>
        <row r="107">
          <cell r="H107" t="str">
            <v>Rusdi Setiawan</v>
          </cell>
          <cell r="I107" t="str">
            <v>Security Guard (Anggota)</v>
          </cell>
          <cell r="AM107" t="str">
            <v>Rusdi Setiawan</v>
          </cell>
          <cell r="AN107" t="str">
            <v>MANDIRI</v>
          </cell>
          <cell r="AO107">
            <v>1370012704645</v>
          </cell>
        </row>
        <row r="108">
          <cell r="H108" t="str">
            <v>Ahmad Syaifudin</v>
          </cell>
          <cell r="I108" t="str">
            <v>Cleaning Services (Anggota)</v>
          </cell>
          <cell r="AM108" t="str">
            <v xml:space="preserve">Ahmad Syaifudin </v>
          </cell>
          <cell r="AN108" t="str">
            <v>BCA</v>
          </cell>
          <cell r="AO108">
            <v>8360031056</v>
          </cell>
        </row>
        <row r="109">
          <cell r="H109" t="str">
            <v>Ilham Gusti Akbar</v>
          </cell>
          <cell r="I109" t="str">
            <v>General Service Attendant</v>
          </cell>
          <cell r="AM109" t="str">
            <v>Ilham Gusti Akbar</v>
          </cell>
          <cell r="AN109" t="str">
            <v>BCA</v>
          </cell>
          <cell r="AO109">
            <v>8360439373</v>
          </cell>
        </row>
        <row r="110">
          <cell r="H110" t="str">
            <v>RICKY OCTAV RIWU</v>
          </cell>
          <cell r="I110" t="str">
            <v>Security Guard (Anggota), Security (Danru)</v>
          </cell>
          <cell r="AM110" t="str">
            <v>RICKY OCTAV RIWU</v>
          </cell>
          <cell r="AN110" t="str">
            <v>BRI</v>
          </cell>
          <cell r="AO110" t="str">
            <v xml:space="preserve">Dengan rekening bank (4670 0102  6247 536) </v>
          </cell>
        </row>
        <row r="111">
          <cell r="H111" t="str">
            <v>Edi Priyanto</v>
          </cell>
          <cell r="I111" t="str">
            <v>Security Guard (Anggota)</v>
          </cell>
          <cell r="AM111" t="str">
            <v>Edi Priyanto</v>
          </cell>
          <cell r="AN111" t="str">
            <v>MANDIRI</v>
          </cell>
          <cell r="AO111">
            <v>1370004396566</v>
          </cell>
        </row>
        <row r="112">
          <cell r="H112" t="str">
            <v>Nur Auliani Zakaria</v>
          </cell>
          <cell r="I112" t="str">
            <v>Cleaning Services (Anggota)</v>
          </cell>
          <cell r="AM112" t="str">
            <v xml:space="preserve">Nur Auliani Zakaria </v>
          </cell>
          <cell r="AN112" t="str">
            <v>BRI</v>
          </cell>
          <cell r="AO112" t="str">
            <v>4480 0101 9946 536</v>
          </cell>
        </row>
        <row r="113">
          <cell r="H113" t="str">
            <v>Dyah Ayu Puspitasari</v>
          </cell>
          <cell r="I113" t="str">
            <v>Administrator</v>
          </cell>
          <cell r="AM113" t="str">
            <v>Dyah Ayu Puspitasari</v>
          </cell>
          <cell r="AN113" t="str">
            <v>BCA</v>
          </cell>
          <cell r="AO113">
            <v>1260717967</v>
          </cell>
        </row>
        <row r="114">
          <cell r="H114" t="str">
            <v>IQBAL FIRMANSYAH</v>
          </cell>
          <cell r="I114" t="str">
            <v>Warehouse Attendant</v>
          </cell>
          <cell r="AM114" t="str">
            <v xml:space="preserve">IQBAL FIRMANSYAH </v>
          </cell>
          <cell r="AN114" t="str">
            <v>BRI</v>
          </cell>
          <cell r="AO114">
            <v>389601042205537</v>
          </cell>
        </row>
        <row r="115">
          <cell r="H115" t="str">
            <v>AULIA RAHMA QONITA</v>
          </cell>
          <cell r="I115" t="str">
            <v>FO dan Marketing</v>
          </cell>
          <cell r="AM115" t="str">
            <v>AULIA RAHMA QONITA</v>
          </cell>
          <cell r="AN115" t="str">
            <v>BCA</v>
          </cell>
          <cell r="AO115">
            <v>5681637312</v>
          </cell>
        </row>
        <row r="116">
          <cell r="H116" t="str">
            <v>Febri Aswandi</v>
          </cell>
          <cell r="I116" t="str">
            <v>Cleaning Services (Anggota)</v>
          </cell>
          <cell r="AM116" t="str">
            <v>FEBRI ASWANDI</v>
          </cell>
          <cell r="AN116" t="str">
            <v>MANDIRI</v>
          </cell>
          <cell r="AO116">
            <v>1180009974030</v>
          </cell>
        </row>
        <row r="117">
          <cell r="H117" t="str">
            <v>Sugeng Riyanto</v>
          </cell>
          <cell r="I117" t="str">
            <v>Cleaning Services (Anggota)</v>
          </cell>
          <cell r="AM117" t="str">
            <v xml:space="preserve">Sugeng Riyanto </v>
          </cell>
          <cell r="AN117" t="str">
            <v>MANDIRI</v>
          </cell>
          <cell r="AO117">
            <v>1180010422334</v>
          </cell>
        </row>
        <row r="118">
          <cell r="H118" t="str">
            <v>HERDIANSYAH</v>
          </cell>
          <cell r="I118" t="str">
            <v>Cleaning Services (Anggota)</v>
          </cell>
          <cell r="AM118" t="str">
            <v>HERDIANSYAH</v>
          </cell>
          <cell r="AN118" t="str">
            <v>MANDIRI</v>
          </cell>
          <cell r="AO118">
            <v>1050019687403</v>
          </cell>
        </row>
        <row r="119">
          <cell r="H119" t="str">
            <v>Rizal Ardiansyah</v>
          </cell>
          <cell r="I119" t="str">
            <v>Cleaning Services (Anggota)</v>
          </cell>
          <cell r="AM119" t="str">
            <v>Rizal Ardiansyah</v>
          </cell>
          <cell r="AN119" t="str">
            <v>BCA</v>
          </cell>
          <cell r="AO119">
            <v>7815565746</v>
          </cell>
        </row>
        <row r="120">
          <cell r="H120" t="str">
            <v>Dedy Ardiansyah</v>
          </cell>
          <cell r="I120" t="str">
            <v>Cleaning Services (Anggota)</v>
          </cell>
          <cell r="AM120" t="str">
            <v xml:space="preserve">Dedy Ardiansyah </v>
          </cell>
          <cell r="AN120" t="str">
            <v>BRI</v>
          </cell>
          <cell r="AO120">
            <v>457001032566530</v>
          </cell>
        </row>
        <row r="121">
          <cell r="H121" t="str">
            <v>Ridho Ustaddin Zalasa</v>
          </cell>
          <cell r="I121" t="str">
            <v>Warehouse Attendant</v>
          </cell>
          <cell r="AM121" t="str">
            <v>Ridho Ustaddin Zalasa</v>
          </cell>
          <cell r="AN121" t="str">
            <v>BCA</v>
          </cell>
          <cell r="AO121">
            <v>7317020447</v>
          </cell>
        </row>
        <row r="122">
          <cell r="H122" t="str">
            <v>Dimas Alif Widayanto</v>
          </cell>
          <cell r="I122" t="str">
            <v>Cleaning Services (Anggota)</v>
          </cell>
          <cell r="AM122" t="str">
            <v>Dimas Alif Widayanto</v>
          </cell>
          <cell r="AN122" t="str">
            <v>MANDIRI</v>
          </cell>
          <cell r="AO122">
            <v>1180010397007</v>
          </cell>
        </row>
        <row r="123">
          <cell r="H123" t="str">
            <v>ARIS PURWANTO</v>
          </cell>
          <cell r="I123" t="str">
            <v>Cleaning Services (Anggota), Cleaning Sevices (Leader)</v>
          </cell>
          <cell r="AM123" t="str">
            <v>ARIS PURWANTO</v>
          </cell>
          <cell r="AN123" t="str">
            <v>BCA</v>
          </cell>
          <cell r="AO123">
            <v>152404164</v>
          </cell>
        </row>
        <row r="124">
          <cell r="H124" t="str">
            <v>SUNNAH ANNAFIYAH</v>
          </cell>
          <cell r="I124" t="str">
            <v>General Service Attendant</v>
          </cell>
          <cell r="AM124" t="str">
            <v xml:space="preserve">SUNNAH ANNAFIYAH </v>
          </cell>
          <cell r="AN124" t="str">
            <v>BCA</v>
          </cell>
          <cell r="AO124">
            <v>8075210686</v>
          </cell>
        </row>
        <row r="125">
          <cell r="H125" t="str">
            <v>Sukidi</v>
          </cell>
          <cell r="I125" t="str">
            <v>Cleaning Services (Anggota)</v>
          </cell>
          <cell r="AM125" t="str">
            <v>Sukidi</v>
          </cell>
          <cell r="AN125" t="str">
            <v>BCA</v>
          </cell>
          <cell r="AO125">
            <v>7735307843</v>
          </cell>
        </row>
        <row r="126">
          <cell r="H126" t="str">
            <v>UKHIK ALANTARICSYAH</v>
          </cell>
          <cell r="I126" t="str">
            <v>Cleaning Services (Anggota)</v>
          </cell>
          <cell r="AM126" t="str">
            <v>UKHIK ALANTARICSYAH</v>
          </cell>
          <cell r="AN126" t="str">
            <v>BCA</v>
          </cell>
          <cell r="AO126">
            <v>154155216</v>
          </cell>
        </row>
        <row r="127">
          <cell r="H127" t="str">
            <v>Wanda Nisrina Putri</v>
          </cell>
          <cell r="I127" t="str">
            <v>Sales Promotion Attendant</v>
          </cell>
          <cell r="AM127" t="str">
            <v>Wanda Nisrina Putri</v>
          </cell>
          <cell r="AN127" t="str">
            <v>BCA</v>
          </cell>
          <cell r="AO127">
            <v>2090957506</v>
          </cell>
        </row>
        <row r="128">
          <cell r="H128" t="str">
            <v>Galang wiji saputra</v>
          </cell>
          <cell r="I128" t="str">
            <v>Cleaning Services (Anggota)</v>
          </cell>
          <cell r="AM128" t="str">
            <v xml:space="preserve">Galang Wiji Saputra </v>
          </cell>
          <cell r="AN128" t="str">
            <v>BRI</v>
          </cell>
          <cell r="AO128" t="str">
            <v>45710100 5253 500</v>
          </cell>
        </row>
        <row r="129">
          <cell r="H129" t="str">
            <v>UKHIK ALANTARICSYAH</v>
          </cell>
          <cell r="I129" t="str">
            <v>Cleaning Services (Anggota)</v>
          </cell>
          <cell r="AM129" t="str">
            <v>UKHIK ALANTARICSYAH</v>
          </cell>
          <cell r="AN129" t="str">
            <v>BCA</v>
          </cell>
          <cell r="AO129">
            <v>154155216</v>
          </cell>
        </row>
        <row r="130">
          <cell r="H130" t="str">
            <v>Suprihatin</v>
          </cell>
          <cell r="I130" t="str">
            <v>Cleaning Services (Anggota)</v>
          </cell>
          <cell r="AM130" t="str">
            <v>Suprihatin</v>
          </cell>
          <cell r="AN130" t="str">
            <v>BCA</v>
          </cell>
          <cell r="AO130">
            <v>374033197</v>
          </cell>
        </row>
        <row r="131">
          <cell r="H131" t="str">
            <v>Kamaludin</v>
          </cell>
          <cell r="I131" t="str">
            <v>Cleaning Services (Anggota)</v>
          </cell>
          <cell r="AM131">
            <v>1130011634387</v>
          </cell>
          <cell r="AN131" t="str">
            <v>MANDIRI</v>
          </cell>
          <cell r="AO131">
            <v>1130011634387</v>
          </cell>
        </row>
        <row r="132">
          <cell r="H132" t="str">
            <v>ZIDAN ZAMORA ZAMORANO</v>
          </cell>
          <cell r="I132" t="str">
            <v>SPA Mobile</v>
          </cell>
          <cell r="AM132" t="str">
            <v>ZIDAN ZAMORA ZAMORANO</v>
          </cell>
          <cell r="AN132" t="str">
            <v>BCA</v>
          </cell>
          <cell r="AO132">
            <v>4452377865</v>
          </cell>
        </row>
        <row r="133">
          <cell r="H133" t="str">
            <v>Aris Munawar</v>
          </cell>
          <cell r="I133" t="str">
            <v>Cleaning Services (Anggota)</v>
          </cell>
          <cell r="AM133" t="str">
            <v>Aris Munawar</v>
          </cell>
          <cell r="AN133" t="str">
            <v>BCA</v>
          </cell>
          <cell r="AO133">
            <v>374150100</v>
          </cell>
        </row>
        <row r="134">
          <cell r="H134" t="str">
            <v>USEP SYAEFUL BAKHTIAR</v>
          </cell>
          <cell r="I134" t="str">
            <v>Cleaning Services (Anggota)</v>
          </cell>
          <cell r="AM134" t="str">
            <v>USEP SYAEFUL BAKHTIAR</v>
          </cell>
          <cell r="AN134" t="str">
            <v>BCA</v>
          </cell>
          <cell r="AO134">
            <v>5665114454</v>
          </cell>
        </row>
        <row r="135">
          <cell r="H135" t="str">
            <v>Sumadi</v>
          </cell>
          <cell r="I135" t="str">
            <v>Cleaning Services (Anggota)</v>
          </cell>
          <cell r="AM135" t="str">
            <v xml:space="preserve">Sumadi </v>
          </cell>
          <cell r="AN135" t="str">
            <v>BCA</v>
          </cell>
          <cell r="AO135">
            <v>373756617</v>
          </cell>
        </row>
        <row r="136">
          <cell r="H136" t="str">
            <v>Yuni oktaviani</v>
          </cell>
          <cell r="I136" t="str">
            <v>Office Boy</v>
          </cell>
          <cell r="AM136" t="str">
            <v xml:space="preserve">Yuni oktaviani </v>
          </cell>
          <cell r="AN136" t="str">
            <v>BRI</v>
          </cell>
          <cell r="AO136">
            <v>322301016960532</v>
          </cell>
        </row>
        <row r="137">
          <cell r="H137" t="str">
            <v>ZAKI FALAH MAHADIKA</v>
          </cell>
          <cell r="I137" t="str">
            <v>Security Guard (Anggota)</v>
          </cell>
          <cell r="AM137" t="str">
            <v>ZAKI FALAH MAHADIKA</v>
          </cell>
          <cell r="AN137" t="str">
            <v>MANDIRI</v>
          </cell>
          <cell r="AO137">
            <v>1380021546101</v>
          </cell>
        </row>
        <row r="138">
          <cell r="H138" t="str">
            <v>SAEPULOH</v>
          </cell>
          <cell r="I138" t="str">
            <v>Cleaning Services (Anggota)</v>
          </cell>
          <cell r="AM138" t="str">
            <v xml:space="preserve">SAEPULOH </v>
          </cell>
          <cell r="AN138" t="str">
            <v>BRI</v>
          </cell>
          <cell r="AO138">
            <v>174801000173539</v>
          </cell>
        </row>
        <row r="139">
          <cell r="H139" t="str">
            <v>RUSLI SELLA</v>
          </cell>
          <cell r="I139" t="str">
            <v>Cleaning Services (Anggota)</v>
          </cell>
          <cell r="AM139" t="str">
            <v>RUSLI SELLA</v>
          </cell>
          <cell r="AN139" t="str">
            <v>MANDIRI</v>
          </cell>
          <cell r="AO139">
            <v>1570009729808</v>
          </cell>
        </row>
        <row r="140">
          <cell r="H140" t="str">
            <v>Yudha swara dayan</v>
          </cell>
          <cell r="I140" t="str">
            <v>Cleaning Services (Anggota)</v>
          </cell>
          <cell r="AM140" t="str">
            <v>Yudha swara dayan</v>
          </cell>
          <cell r="AN140" t="str">
            <v>BCA</v>
          </cell>
          <cell r="AO140">
            <v>1663371138</v>
          </cell>
        </row>
        <row r="141">
          <cell r="H141" t="str">
            <v>Upid</v>
          </cell>
          <cell r="I141" t="str">
            <v>Cleaning Services (Anggota)</v>
          </cell>
          <cell r="AM141" t="str">
            <v>Upid</v>
          </cell>
          <cell r="AN141" t="str">
            <v>BRI</v>
          </cell>
          <cell r="AO141">
            <v>322301016956533</v>
          </cell>
        </row>
        <row r="142">
          <cell r="H142" t="str">
            <v>ANNISA RACHMAN</v>
          </cell>
          <cell r="I142" t="str">
            <v>Security (Danru)</v>
          </cell>
          <cell r="AM142" t="str">
            <v>ANNISA RACHMAN</v>
          </cell>
          <cell r="AN142" t="str">
            <v>BCA</v>
          </cell>
          <cell r="AO142">
            <v>374545872</v>
          </cell>
        </row>
        <row r="143">
          <cell r="H143" t="str">
            <v>SAEPULOH</v>
          </cell>
          <cell r="I143" t="str">
            <v>Cleaning Services (Anggota)</v>
          </cell>
          <cell r="AM143" t="str">
            <v xml:space="preserve">SAEPULOH </v>
          </cell>
          <cell r="AN143" t="str">
            <v>BRI</v>
          </cell>
          <cell r="AO143">
            <v>174801000173539</v>
          </cell>
        </row>
        <row r="144">
          <cell r="H144" t="str">
            <v>Anton Rahmat</v>
          </cell>
          <cell r="I144" t="str">
            <v>Cleaning Services (Anggota)</v>
          </cell>
          <cell r="AM144" t="str">
            <v>Anton Rahmat</v>
          </cell>
          <cell r="AN144" t="str">
            <v>BCA</v>
          </cell>
          <cell r="AO144">
            <v>6800387327</v>
          </cell>
        </row>
        <row r="145">
          <cell r="H145" t="str">
            <v>Masduki</v>
          </cell>
          <cell r="I145" t="str">
            <v>Cleaning Services (Anggota)</v>
          </cell>
          <cell r="AM145" t="str">
            <v xml:space="preserve">Masduki </v>
          </cell>
          <cell r="AN145" t="str">
            <v>MANDIRI</v>
          </cell>
          <cell r="AO145" t="str">
            <v>118-00-1042228-4</v>
          </cell>
        </row>
        <row r="146">
          <cell r="H146" t="str">
            <v>Rizky ihcsan baihaqhi</v>
          </cell>
          <cell r="I146" t="str">
            <v>General Service Attendant</v>
          </cell>
          <cell r="AM146" t="str">
            <v xml:space="preserve">Rizky ihcsan baihaqhi </v>
          </cell>
          <cell r="AN146" t="str">
            <v>BCA</v>
          </cell>
          <cell r="AO146">
            <v>223163651</v>
          </cell>
        </row>
        <row r="147">
          <cell r="H147" t="str">
            <v>Muhibuddin</v>
          </cell>
          <cell r="I147" t="str">
            <v>Office Boy</v>
          </cell>
          <cell r="AM147" t="str">
            <v>Muhibuddin</v>
          </cell>
          <cell r="AN147" t="str">
            <v>BRI</v>
          </cell>
          <cell r="AO147">
            <v>68401028239506</v>
          </cell>
        </row>
        <row r="148">
          <cell r="H148" t="str">
            <v>Fadli fadlu rahman</v>
          </cell>
          <cell r="I148" t="str">
            <v>Cleaning Services (Anggota)</v>
          </cell>
          <cell r="AM148" t="str">
            <v>Fadli fadlu rahman</v>
          </cell>
          <cell r="AN148" t="str">
            <v>MANDIRI</v>
          </cell>
          <cell r="AO148">
            <v>1100019994489</v>
          </cell>
        </row>
        <row r="149">
          <cell r="H149" t="str">
            <v>Jumadiono</v>
          </cell>
          <cell r="I149" t="str">
            <v>Cleaning Services (Anggota)</v>
          </cell>
          <cell r="AM149" t="str">
            <v>Jumadiono</v>
          </cell>
          <cell r="AN149" t="str">
            <v>BCA</v>
          </cell>
          <cell r="AO149">
            <v>373755971</v>
          </cell>
        </row>
        <row r="150">
          <cell r="H150" t="str">
            <v>sa'adi tri leksono</v>
          </cell>
          <cell r="I150" t="str">
            <v>Cleaning Services (Anggota)</v>
          </cell>
          <cell r="AM150" t="str">
            <v>Sa'adi tri leksono</v>
          </cell>
          <cell r="AN150" t="str">
            <v>BCA</v>
          </cell>
          <cell r="AO150">
            <v>1530490391</v>
          </cell>
        </row>
        <row r="151">
          <cell r="H151" t="str">
            <v>Rafly Faturrahman</v>
          </cell>
          <cell r="I151" t="str">
            <v>Cleaning Services (Anggota)</v>
          </cell>
          <cell r="AM151" t="str">
            <v>Rafly Faturrahman</v>
          </cell>
          <cell r="AN151" t="str">
            <v>MANDIRI</v>
          </cell>
          <cell r="AO151">
            <v>1490014978573</v>
          </cell>
        </row>
        <row r="152">
          <cell r="H152" t="str">
            <v>AHMAD MAULANA</v>
          </cell>
          <cell r="I152" t="str">
            <v>Cleaning Services (Anggota)</v>
          </cell>
          <cell r="AM152" t="str">
            <v>AHMAD MAULANA</v>
          </cell>
          <cell r="AN152" t="str">
            <v>MANDIRI</v>
          </cell>
          <cell r="AO152">
            <v>1290012746893</v>
          </cell>
        </row>
        <row r="153">
          <cell r="H153" t="str">
            <v>ENDRIANTO PURWA LEGAWA</v>
          </cell>
          <cell r="I153" t="str">
            <v>General Service Attendant</v>
          </cell>
          <cell r="AM153" t="str">
            <v>ENDRIANTO PURWA LEGAWA</v>
          </cell>
          <cell r="AN153" t="str">
            <v>BCA</v>
          </cell>
          <cell r="AO153">
            <v>8177049390</v>
          </cell>
        </row>
        <row r="154">
          <cell r="H154" t="str">
            <v>SUPRIYANTO</v>
          </cell>
          <cell r="I154" t="str">
            <v>Cleaning Services (Anggota)</v>
          </cell>
          <cell r="AM154" t="str">
            <v>SUPRIYANTO</v>
          </cell>
          <cell r="AN154" t="str">
            <v>MANDIRI</v>
          </cell>
          <cell r="AO154">
            <v>1290012746786</v>
          </cell>
        </row>
        <row r="155">
          <cell r="H155" t="str">
            <v>DWI HIDAYAT</v>
          </cell>
          <cell r="I155" t="str">
            <v>Security Guard (Anggota)</v>
          </cell>
          <cell r="AM155" t="str">
            <v>DWI HIDAYAT</v>
          </cell>
          <cell r="AN155" t="str">
            <v>MANDIRI</v>
          </cell>
          <cell r="AO155" t="str">
            <v>137-00-1370468-5</v>
          </cell>
        </row>
        <row r="156">
          <cell r="H156" t="str">
            <v>SYAIFUL ANWAR</v>
          </cell>
          <cell r="I156" t="str">
            <v>Cleaning Services (Anggota)</v>
          </cell>
          <cell r="AM156" t="str">
            <v>SYAIFUL ANWAR</v>
          </cell>
          <cell r="AN156" t="str">
            <v>BCA</v>
          </cell>
          <cell r="AO156">
            <v>5676026637</v>
          </cell>
        </row>
        <row r="157">
          <cell r="H157" t="str">
            <v>INDRA KESUMA</v>
          </cell>
          <cell r="I157" t="str">
            <v>Cleaning Services (Anggota)</v>
          </cell>
          <cell r="AM157" t="str">
            <v xml:space="preserve">INDRA KESUMA </v>
          </cell>
          <cell r="AN157" t="str">
            <v>MANDIRI</v>
          </cell>
          <cell r="AO157">
            <v>1050017708391</v>
          </cell>
        </row>
        <row r="158">
          <cell r="H158" t="str">
            <v>HARSYA PUTRA ATMAJA</v>
          </cell>
          <cell r="I158" t="str">
            <v>Security Guard (Anggota)</v>
          </cell>
          <cell r="AM158" t="str">
            <v>HARSYA PUTRA ATMAJA</v>
          </cell>
          <cell r="AN158" t="str">
            <v>MANDIRI</v>
          </cell>
          <cell r="AO158">
            <v>1370023782184</v>
          </cell>
        </row>
        <row r="159">
          <cell r="H159" t="str">
            <v>JONNI SIAHAAN</v>
          </cell>
          <cell r="I159" t="str">
            <v>Cleaning Services (Anggota)</v>
          </cell>
          <cell r="AM159" t="str">
            <v>JONNI SIAHAAN</v>
          </cell>
          <cell r="AN159" t="str">
            <v>MANDIRI</v>
          </cell>
          <cell r="AO159">
            <v>1180010397445</v>
          </cell>
        </row>
        <row r="160">
          <cell r="H160" t="str">
            <v>Anhardika melza pratama</v>
          </cell>
          <cell r="I160" t="str">
            <v>Security Guard (Anggota)</v>
          </cell>
          <cell r="AM160" t="str">
            <v>Anhardika melza pratama</v>
          </cell>
          <cell r="AN160" t="str">
            <v>MANDIRI</v>
          </cell>
          <cell r="AO160">
            <v>1370023140474</v>
          </cell>
        </row>
        <row r="161">
          <cell r="H161" t="str">
            <v>Akhmad makhfud</v>
          </cell>
          <cell r="I161" t="str">
            <v>Cleaning Services (Anggota)</v>
          </cell>
          <cell r="AM161" t="str">
            <v xml:space="preserve">Akhmad makhfud </v>
          </cell>
          <cell r="AN161" t="str">
            <v>BRI</v>
          </cell>
          <cell r="AO161">
            <v>708301002510507</v>
          </cell>
        </row>
        <row r="162">
          <cell r="H162" t="str">
            <v>ACHMAD MIFTACHUL HUDA</v>
          </cell>
          <cell r="I162" t="str">
            <v>Cleaning Services (Anggota)</v>
          </cell>
          <cell r="AM162" t="str">
            <v xml:space="preserve">ACHMAD MIFTACHUL HUDA </v>
          </cell>
          <cell r="AN162" t="str">
            <v>BRI</v>
          </cell>
          <cell r="AO162" t="str">
            <v>0684 0103 5717 503</v>
          </cell>
        </row>
        <row r="163">
          <cell r="H163" t="str">
            <v>Akhmad makhfud</v>
          </cell>
          <cell r="I163" t="str">
            <v>Cleaning Services (Anggota)</v>
          </cell>
          <cell r="AM163" t="str">
            <v xml:space="preserve">Akhmad makhfud </v>
          </cell>
          <cell r="AN163" t="str">
            <v>BRI</v>
          </cell>
          <cell r="AO163">
            <v>708301002510507</v>
          </cell>
        </row>
        <row r="164">
          <cell r="H164" t="str">
            <v>OPAN SOPIAN</v>
          </cell>
          <cell r="I164" t="str">
            <v>Cleaning Services (Anggota)</v>
          </cell>
          <cell r="AM164" t="str">
            <v>OPAN SOPIAN</v>
          </cell>
          <cell r="AN164" t="str">
            <v>BCA</v>
          </cell>
          <cell r="AO164">
            <v>852364449</v>
          </cell>
        </row>
        <row r="165">
          <cell r="H165" t="str">
            <v>YOGA YOGI</v>
          </cell>
          <cell r="I165" t="str">
            <v>Cleaning Services (Anggota)</v>
          </cell>
          <cell r="AM165" t="str">
            <v>YOGA YOGI</v>
          </cell>
          <cell r="AN165" t="str">
            <v>MANDIRI</v>
          </cell>
          <cell r="AO165">
            <v>1180010000833</v>
          </cell>
        </row>
        <row r="166">
          <cell r="H166" t="str">
            <v>Anis choirunnisa</v>
          </cell>
          <cell r="I166" t="str">
            <v>Cleaning Services (Anggota)</v>
          </cell>
          <cell r="AM166" t="str">
            <v xml:space="preserve">Anis choirunnisa </v>
          </cell>
          <cell r="AN166" t="str">
            <v>BRI</v>
          </cell>
          <cell r="AO166">
            <v>479401039683535</v>
          </cell>
        </row>
        <row r="167">
          <cell r="H167" t="str">
            <v>MUHAMAD REZA KURNIAWAN</v>
          </cell>
          <cell r="I167" t="str">
            <v>Cleaning Services (Anggota)</v>
          </cell>
          <cell r="AM167" t="str">
            <v>MUHAMAD REZA KURNIAWAN</v>
          </cell>
          <cell r="AN167" t="str">
            <v>BCA</v>
          </cell>
          <cell r="AO167">
            <v>8535332718</v>
          </cell>
        </row>
        <row r="168">
          <cell r="H168" t="str">
            <v>Anis choirunnisa</v>
          </cell>
          <cell r="I168" t="str">
            <v>Cleaning Services (Anggota)</v>
          </cell>
          <cell r="AM168" t="str">
            <v xml:space="preserve">Anis choirunnisa </v>
          </cell>
          <cell r="AN168" t="str">
            <v>BRI</v>
          </cell>
          <cell r="AO168">
            <v>479401039683535</v>
          </cell>
        </row>
        <row r="169">
          <cell r="H169" t="str">
            <v>TEDI CAHYADI</v>
          </cell>
          <cell r="I169" t="str">
            <v>Cleaning Services (Anggota)</v>
          </cell>
          <cell r="AM169" t="str">
            <v>TEDI CAHYADI</v>
          </cell>
          <cell r="AN169" t="str">
            <v>BCA</v>
          </cell>
          <cell r="AO169">
            <v>852355431</v>
          </cell>
        </row>
        <row r="170">
          <cell r="H170" t="str">
            <v>WINDAH</v>
          </cell>
          <cell r="I170" t="str">
            <v>Cleaning Services (Anggota)</v>
          </cell>
          <cell r="AM170" t="str">
            <v>WINDAH</v>
          </cell>
          <cell r="AN170" t="str">
            <v>BRI</v>
          </cell>
          <cell r="AO170" t="str">
            <v>0684-01-021599-50-7</v>
          </cell>
        </row>
        <row r="171">
          <cell r="H171" t="str">
            <v>STEFANO GUNAWAN</v>
          </cell>
          <cell r="I171" t="str">
            <v>Cleaning Services (Anggota)</v>
          </cell>
          <cell r="AM171" t="str">
            <v>STEFANO GUNAWAN</v>
          </cell>
          <cell r="AN171" t="str">
            <v>BCA</v>
          </cell>
          <cell r="AO171">
            <v>850007071</v>
          </cell>
        </row>
        <row r="172">
          <cell r="H172" t="str">
            <v>MOH JAFAR</v>
          </cell>
          <cell r="I172" t="str">
            <v>Cleaning Services (Anggota)</v>
          </cell>
          <cell r="AM172" t="str">
            <v>MOH.JAFAR</v>
          </cell>
          <cell r="AN172" t="str">
            <v>BCA</v>
          </cell>
          <cell r="AO172">
            <v>8291449450</v>
          </cell>
        </row>
        <row r="173">
          <cell r="H173" t="str">
            <v>RAMA SAPUTRA</v>
          </cell>
          <cell r="I173" t="str">
            <v>Cleaning Services (Anggota)</v>
          </cell>
          <cell r="AM173" t="str">
            <v>RAMA SAPUTRA</v>
          </cell>
          <cell r="AN173" t="str">
            <v>MANDIRI</v>
          </cell>
          <cell r="AO173">
            <v>1690004569379</v>
          </cell>
        </row>
        <row r="174">
          <cell r="H174" t="str">
            <v>Agus Waluyo</v>
          </cell>
          <cell r="I174" t="str">
            <v>Cleaning Services (Anggota)</v>
          </cell>
          <cell r="AM174" t="str">
            <v xml:space="preserve">Agus Waluyo </v>
          </cell>
          <cell r="AN174" t="str">
            <v>BRI</v>
          </cell>
          <cell r="AO174" t="str">
            <v>7254-01-005539-53-5</v>
          </cell>
        </row>
        <row r="175">
          <cell r="H175" t="str">
            <v>AHMAD SULAIMAN ISLAMUDIN</v>
          </cell>
          <cell r="I175" t="str">
            <v>General Service Attendant</v>
          </cell>
          <cell r="AM175" t="str">
            <v>AHMAD SULAIMAN ISLAMUDIN</v>
          </cell>
          <cell r="AN175" t="str">
            <v>BCA</v>
          </cell>
          <cell r="AO175">
            <v>2570743395</v>
          </cell>
        </row>
        <row r="176">
          <cell r="H176" t="str">
            <v>Fuad ali riyanto</v>
          </cell>
          <cell r="I176" t="str">
            <v>Cleaning Services (Anggota)</v>
          </cell>
          <cell r="AM176" t="str">
            <v>Fuad Ali Riyanto</v>
          </cell>
          <cell r="AN176" t="str">
            <v>BRI</v>
          </cell>
          <cell r="AO176">
            <v>68401021638505</v>
          </cell>
        </row>
        <row r="177">
          <cell r="H177" t="str">
            <v>Agus Waluyo</v>
          </cell>
          <cell r="I177" t="str">
            <v>Cleaning Services (Anggota)</v>
          </cell>
          <cell r="AM177" t="str">
            <v xml:space="preserve">Agus Waluyo </v>
          </cell>
          <cell r="AN177" t="str">
            <v>BRI</v>
          </cell>
          <cell r="AO177" t="str">
            <v>7254-01-005539-53-5</v>
          </cell>
        </row>
        <row r="178">
          <cell r="H178" t="str">
            <v>MOCH NGARISAN</v>
          </cell>
          <cell r="I178" t="str">
            <v>Cleaning Services (Anggota)</v>
          </cell>
          <cell r="AM178" t="str">
            <v>MOCH NGARISAN</v>
          </cell>
          <cell r="AN178" t="str">
            <v>BRI</v>
          </cell>
          <cell r="AO178">
            <v>68401008885539</v>
          </cell>
        </row>
        <row r="179">
          <cell r="H179" t="str">
            <v>Rofik Hidayatulloh</v>
          </cell>
          <cell r="I179" t="str">
            <v>Cleaning Services (Anggota)</v>
          </cell>
          <cell r="AM179" t="str">
            <v>Rofik Hidayatulloh</v>
          </cell>
          <cell r="AN179" t="str">
            <v>BRI</v>
          </cell>
          <cell r="AO179">
            <v>50901011050537</v>
          </cell>
        </row>
        <row r="180">
          <cell r="H180" t="str">
            <v>Dimas Kholil Shomada Arsa</v>
          </cell>
          <cell r="I180" t="str">
            <v>General Service Attendant</v>
          </cell>
          <cell r="AM180" t="str">
            <v xml:space="preserve">Dimas Kholil Shomada Arsa </v>
          </cell>
          <cell r="AN180" t="str">
            <v>BCA</v>
          </cell>
          <cell r="AO180">
            <v>4731528203</v>
          </cell>
        </row>
        <row r="181">
          <cell r="H181" t="str">
            <v>Ivan Fadilah Rifayanto</v>
          </cell>
          <cell r="I181" t="str">
            <v>General Service Attendant</v>
          </cell>
          <cell r="AM181" t="str">
            <v xml:space="preserve">Ivan Fadilah Rifayanto </v>
          </cell>
          <cell r="AN181" t="str">
            <v>BCA</v>
          </cell>
          <cell r="AO181">
            <v>948527521</v>
          </cell>
        </row>
        <row r="182">
          <cell r="H182" t="str">
            <v>ADIYO</v>
          </cell>
          <cell r="I182" t="str">
            <v>Cleaning Services (Anggota)</v>
          </cell>
          <cell r="AM182" t="str">
            <v>ADIYO</v>
          </cell>
          <cell r="AN182" t="str">
            <v>BRI</v>
          </cell>
          <cell r="AO182">
            <v>68401028235502</v>
          </cell>
        </row>
        <row r="183">
          <cell r="H183" t="str">
            <v>Agung hermanto</v>
          </cell>
          <cell r="I183" t="str">
            <v>Cleaning Services (Anggota)</v>
          </cell>
          <cell r="AM183" t="str">
            <v xml:space="preserve">Agung hermanto </v>
          </cell>
          <cell r="AN183" t="str">
            <v>BRI</v>
          </cell>
          <cell r="AO183">
            <v>68401028222509</v>
          </cell>
        </row>
        <row r="184">
          <cell r="H184" t="str">
            <v>AMJAH</v>
          </cell>
          <cell r="I184" t="str">
            <v>Cleaning Services (Anggota)</v>
          </cell>
          <cell r="AM184" t="str">
            <v>Amjah</v>
          </cell>
          <cell r="AN184" t="str">
            <v>BRI</v>
          </cell>
          <cell r="AO184">
            <v>50901011051533</v>
          </cell>
        </row>
        <row r="185">
          <cell r="H185" t="str">
            <v>Pujang Jamaludin Khoir</v>
          </cell>
          <cell r="I185" t="str">
            <v>Security Guard (Anggota)</v>
          </cell>
          <cell r="AM185" t="str">
            <v>Pujang Jamaludin Khoir</v>
          </cell>
          <cell r="AN185" t="str">
            <v>MANDIRI</v>
          </cell>
          <cell r="AO185">
            <v>1370020021024</v>
          </cell>
        </row>
        <row r="186">
          <cell r="H186" t="str">
            <v>FAHRUL RODJI</v>
          </cell>
          <cell r="I186" t="str">
            <v>Administrator</v>
          </cell>
          <cell r="AM186" t="str">
            <v>Fahrul Roji</v>
          </cell>
          <cell r="AN186" t="str">
            <v>BCA</v>
          </cell>
          <cell r="AO186">
            <v>5750588338</v>
          </cell>
        </row>
        <row r="187">
          <cell r="H187" t="str">
            <v>Fahmi Wahyudi Ginting</v>
          </cell>
          <cell r="I187" t="str">
            <v>Cleaning Services (Anggota)</v>
          </cell>
          <cell r="AM187" t="str">
            <v>Fahmi wahyudi ginting</v>
          </cell>
          <cell r="AN187" t="str">
            <v>MANDIRI</v>
          </cell>
          <cell r="AO187">
            <v>1180012502596</v>
          </cell>
        </row>
        <row r="188">
          <cell r="H188" t="str">
            <v>Dwi Raharjo</v>
          </cell>
          <cell r="I188" t="str">
            <v>Cleaning Services (Anggota)</v>
          </cell>
          <cell r="AM188" t="str">
            <v>Dwi Raharjo</v>
          </cell>
          <cell r="AN188" t="str">
            <v>BCA</v>
          </cell>
          <cell r="AO188">
            <v>373756234</v>
          </cell>
        </row>
        <row r="189">
          <cell r="H189" t="str">
            <v>Zil mutaqin</v>
          </cell>
          <cell r="I189" t="str">
            <v>Warehouse Attendant</v>
          </cell>
          <cell r="AM189" t="str">
            <v xml:space="preserve">Zil mutaqin </v>
          </cell>
          <cell r="AN189" t="str">
            <v>BCA</v>
          </cell>
          <cell r="AO189">
            <v>120325191</v>
          </cell>
        </row>
        <row r="190">
          <cell r="H190" t="str">
            <v>Sulaiman</v>
          </cell>
          <cell r="I190" t="str">
            <v>Warehouse Attendant</v>
          </cell>
          <cell r="AM190" t="str">
            <v xml:space="preserve">Sulaiman </v>
          </cell>
          <cell r="AN190" t="str">
            <v>BCA</v>
          </cell>
          <cell r="AO190">
            <v>6910431259</v>
          </cell>
        </row>
        <row r="191">
          <cell r="H191" t="str">
            <v>Renaldo Julio maramis</v>
          </cell>
          <cell r="I191" t="str">
            <v>Picker marketplace</v>
          </cell>
          <cell r="AM191" t="str">
            <v>Renaldo Julio maramis</v>
          </cell>
          <cell r="AN191" t="str">
            <v>BCA</v>
          </cell>
          <cell r="AO191">
            <v>3420489667</v>
          </cell>
        </row>
        <row r="192">
          <cell r="H192" t="str">
            <v>ALDY MAULANA</v>
          </cell>
          <cell r="I192" t="str">
            <v>Warehouse Attendant</v>
          </cell>
          <cell r="AM192" t="str">
            <v>ALDY MAULANA</v>
          </cell>
          <cell r="AN192" t="str">
            <v>BCA</v>
          </cell>
          <cell r="AO192">
            <v>1280382121</v>
          </cell>
        </row>
        <row r="193">
          <cell r="H193" t="str">
            <v>CANDRA A, SETIA</v>
          </cell>
          <cell r="I193" t="str">
            <v>PICKER</v>
          </cell>
          <cell r="AM193" t="str">
            <v>CANDRA A, SETIA</v>
          </cell>
          <cell r="AN193" t="str">
            <v>BCA</v>
          </cell>
          <cell r="AO193">
            <v>6910381111</v>
          </cell>
        </row>
        <row r="194">
          <cell r="H194" t="str">
            <v>EGA GOEMAJA YUDISTIA</v>
          </cell>
          <cell r="I194" t="str">
            <v>Packer</v>
          </cell>
          <cell r="AM194" t="str">
            <v>Ega goemaja yudistia</v>
          </cell>
          <cell r="AN194" t="str">
            <v>BCA</v>
          </cell>
          <cell r="AO194">
            <v>3420489284</v>
          </cell>
        </row>
        <row r="195">
          <cell r="H195" t="str">
            <v>Syajarotun Toyyibah</v>
          </cell>
          <cell r="I195" t="str">
            <v>Marketing</v>
          </cell>
          <cell r="AM195" t="str">
            <v>Syajarotun Toyyibah</v>
          </cell>
          <cell r="AN195" t="str">
            <v>BCA</v>
          </cell>
          <cell r="AO195">
            <v>3690158956</v>
          </cell>
        </row>
        <row r="196">
          <cell r="H196" t="str">
            <v>H fauzan</v>
          </cell>
          <cell r="I196" t="str">
            <v>Packer</v>
          </cell>
          <cell r="AM196" t="str">
            <v xml:space="preserve">H Fauzan </v>
          </cell>
          <cell r="AN196" t="str">
            <v>MANDIRI</v>
          </cell>
          <cell r="AO196" t="str">
            <v>900-00-2498970-0</v>
          </cell>
        </row>
        <row r="197">
          <cell r="H197" t="str">
            <v>ALDY MAULANA</v>
          </cell>
          <cell r="I197" t="str">
            <v>Warehouse Attendant</v>
          </cell>
          <cell r="AM197" t="str">
            <v>ALDY MAULANA</v>
          </cell>
          <cell r="AN197" t="str">
            <v>BCA</v>
          </cell>
          <cell r="AO197">
            <v>1280382121</v>
          </cell>
        </row>
        <row r="198">
          <cell r="H198" t="str">
            <v>prabowopangestu</v>
          </cell>
          <cell r="I198" t="str">
            <v>Cleaning Services (Anggota)</v>
          </cell>
          <cell r="AM198" t="str">
            <v>prabowopangestu</v>
          </cell>
          <cell r="AN198" t="str">
            <v>MANDIRI</v>
          </cell>
          <cell r="AO198">
            <v>1100019740619</v>
          </cell>
        </row>
        <row r="199">
          <cell r="H199" t="str">
            <v>TRI KOYO</v>
          </cell>
          <cell r="I199" t="str">
            <v>Cleaning Services (Anggota)</v>
          </cell>
          <cell r="AM199" t="str">
            <v>TRI KOYO</v>
          </cell>
          <cell r="AN199" t="str">
            <v>BCA</v>
          </cell>
          <cell r="AO199" t="str">
            <v>0373 756242</v>
          </cell>
        </row>
        <row r="200">
          <cell r="H200" t="str">
            <v>Teguh Ardiansyah</v>
          </cell>
          <cell r="I200" t="str">
            <v>Picker</v>
          </cell>
          <cell r="AM200" t="str">
            <v>Teguh Ardiansyah</v>
          </cell>
          <cell r="AN200" t="str">
            <v>BCA</v>
          </cell>
          <cell r="AO200">
            <v>6240656424</v>
          </cell>
        </row>
        <row r="201">
          <cell r="H201" t="str">
            <v>ABI YAZID ALBUSTHOMI</v>
          </cell>
          <cell r="I201" t="str">
            <v>Packer</v>
          </cell>
          <cell r="AM201" t="str">
            <v>ABI YAZID ALBUSTHOMI</v>
          </cell>
          <cell r="AN201" t="str">
            <v>BCA</v>
          </cell>
          <cell r="AO201">
            <v>8710223115</v>
          </cell>
        </row>
        <row r="202">
          <cell r="H202" t="str">
            <v>Dwinda Zahrani</v>
          </cell>
          <cell r="I202" t="str">
            <v>Admin Fullfilment</v>
          </cell>
          <cell r="AM202" t="str">
            <v>Dwinda Zahrani</v>
          </cell>
          <cell r="AN202" t="str">
            <v>BCA</v>
          </cell>
          <cell r="AO202">
            <v>5750610333</v>
          </cell>
        </row>
        <row r="203">
          <cell r="H203" t="str">
            <v>Anggah Suwito</v>
          </cell>
          <cell r="I203" t="str">
            <v>Admin Shipment (Pengiriman)</v>
          </cell>
          <cell r="AM203" t="str">
            <v>ANGGAH SUWITO</v>
          </cell>
          <cell r="AN203" t="str">
            <v>BCA</v>
          </cell>
          <cell r="AO203">
            <v>920025668</v>
          </cell>
        </row>
        <row r="204">
          <cell r="H204" t="str">
            <v>AL ASFANI</v>
          </cell>
          <cell r="I204" t="str">
            <v>Picker</v>
          </cell>
          <cell r="AM204" t="str">
            <v>AL ASFANI</v>
          </cell>
          <cell r="AN204" t="str">
            <v>BCA</v>
          </cell>
          <cell r="AO204">
            <v>6300179515</v>
          </cell>
        </row>
        <row r="205">
          <cell r="H205" t="str">
            <v>RAHMAT HIDAYAT</v>
          </cell>
          <cell r="I205" t="str">
            <v>Picker (Gramedia digital/online)</v>
          </cell>
          <cell r="AM205" t="str">
            <v>RAHMAT HIDAYAT</v>
          </cell>
          <cell r="AN205" t="str">
            <v>MANDIRI</v>
          </cell>
          <cell r="AO205">
            <v>1250013682117</v>
          </cell>
        </row>
        <row r="206">
          <cell r="H206" t="str">
            <v>Rozi suhendra</v>
          </cell>
          <cell r="I206" t="str">
            <v>Storage</v>
          </cell>
          <cell r="AM206" t="str">
            <v>Rozi suhendra</v>
          </cell>
          <cell r="AN206" t="str">
            <v>MANDIRI</v>
          </cell>
          <cell r="AO206">
            <v>9000009216830</v>
          </cell>
        </row>
        <row r="207">
          <cell r="H207" t="str">
            <v>Fakhri Najib Arani Permana</v>
          </cell>
          <cell r="I207" t="str">
            <v>Marketing</v>
          </cell>
          <cell r="AM207" t="str">
            <v>Fakhri Najib</v>
          </cell>
          <cell r="AN207" t="str">
            <v>BCA</v>
          </cell>
          <cell r="AO207">
            <v>8810434296</v>
          </cell>
        </row>
        <row r="208">
          <cell r="H208" t="str">
            <v>Alda unzani utari ningsih</v>
          </cell>
          <cell r="I208" t="str">
            <v>Cleaning Services (Anggota)</v>
          </cell>
          <cell r="AM208" t="str">
            <v>Alda unzani utari ningsih</v>
          </cell>
          <cell r="AN208" t="str">
            <v>BCA</v>
          </cell>
          <cell r="AO208">
            <v>7825428208</v>
          </cell>
        </row>
        <row r="209">
          <cell r="H209" t="str">
            <v>LUTFI HAKIM</v>
          </cell>
          <cell r="I209" t="str">
            <v>Administrator</v>
          </cell>
          <cell r="AM209" t="str">
            <v>LUTFI HAKIM</v>
          </cell>
          <cell r="AN209" t="str">
            <v>BCA</v>
          </cell>
          <cell r="AO209">
            <v>120302311</v>
          </cell>
        </row>
        <row r="210">
          <cell r="H210" t="str">
            <v>muhamad irfan s</v>
          </cell>
          <cell r="I210" t="str">
            <v>packer</v>
          </cell>
          <cell r="AM210" t="str">
            <v>muhamad irfan s</v>
          </cell>
          <cell r="AN210" t="str">
            <v>MANDIRI</v>
          </cell>
          <cell r="AO210">
            <v>1250014242507</v>
          </cell>
        </row>
        <row r="211">
          <cell r="H211" t="str">
            <v>RIO ALFIANSYAH</v>
          </cell>
          <cell r="I211" t="str">
            <v>General Service Attendant</v>
          </cell>
          <cell r="AM211" t="str">
            <v>RIO ALFIANSYAH</v>
          </cell>
          <cell r="AN211" t="str">
            <v>BCA</v>
          </cell>
          <cell r="AO211">
            <v>4210181593</v>
          </cell>
        </row>
        <row r="212">
          <cell r="H212" t="str">
            <v>Zidane putra ramadhan</v>
          </cell>
          <cell r="I212" t="str">
            <v>Cleaning Services (Anggota)</v>
          </cell>
          <cell r="AM212" t="str">
            <v>Zidane putra ramadhan</v>
          </cell>
          <cell r="AN212" t="str">
            <v>MANDIRI</v>
          </cell>
          <cell r="AO212">
            <v>1490018668907</v>
          </cell>
        </row>
        <row r="213">
          <cell r="H213" t="str">
            <v>Rizki afrizal</v>
          </cell>
          <cell r="I213" t="str">
            <v>Storage.com matraman</v>
          </cell>
          <cell r="AM213" t="str">
            <v>Rizki afrizal</v>
          </cell>
          <cell r="AN213" t="str">
            <v>BCA</v>
          </cell>
          <cell r="AO213">
            <v>8710195307</v>
          </cell>
        </row>
        <row r="214">
          <cell r="H214" t="str">
            <v>Ali Nurdin</v>
          </cell>
          <cell r="I214" t="str">
            <v>Security Guard (Anggota)</v>
          </cell>
          <cell r="AM214" t="str">
            <v>Ali Nurdin, S. M</v>
          </cell>
          <cell r="AN214" t="str">
            <v>BCA</v>
          </cell>
          <cell r="AO214">
            <v>7976250973</v>
          </cell>
        </row>
        <row r="215">
          <cell r="H215" t="str">
            <v>AZRIEL BERIS FUJA ALAM</v>
          </cell>
          <cell r="I215" t="str">
            <v>STORAGE</v>
          </cell>
          <cell r="AM215" t="str">
            <v>AZRIEL BERIS FUJA ALAM</v>
          </cell>
          <cell r="AN215" t="str">
            <v>BCA</v>
          </cell>
          <cell r="AO215">
            <v>6871905115</v>
          </cell>
        </row>
        <row r="216">
          <cell r="H216" t="str">
            <v>ARIS PERMANA</v>
          </cell>
          <cell r="I216" t="str">
            <v>ADMIN STORAGE</v>
          </cell>
          <cell r="AM216" t="str">
            <v>ARIS PERMANA</v>
          </cell>
          <cell r="AN216" t="str">
            <v>BCA</v>
          </cell>
          <cell r="AO216">
            <v>5855110447</v>
          </cell>
        </row>
        <row r="217">
          <cell r="H217" t="str">
            <v>ARDHI WIRANATA</v>
          </cell>
          <cell r="I217" t="str">
            <v>General Service Attendant</v>
          </cell>
          <cell r="AM217" t="str">
            <v xml:space="preserve">Ardhi Wiranata </v>
          </cell>
          <cell r="AN217" t="str">
            <v>BCA DIGITAL</v>
          </cell>
          <cell r="AO217">
            <v>8435496144</v>
          </cell>
        </row>
        <row r="218">
          <cell r="H218" t="str">
            <v>Hafidh Zalainus Sahrul Ausath</v>
          </cell>
          <cell r="I218" t="str">
            <v>General Service Attendant</v>
          </cell>
          <cell r="AM218" t="str">
            <v>Hafidh Zalainus Sahrul A</v>
          </cell>
          <cell r="AN218" t="str">
            <v>BCA</v>
          </cell>
          <cell r="AO218">
            <v>8010455961</v>
          </cell>
        </row>
        <row r="219">
          <cell r="H219" t="str">
            <v>Purwanto</v>
          </cell>
          <cell r="I219" t="str">
            <v>Warehouse Attendant</v>
          </cell>
          <cell r="AM219" t="str">
            <v>Purwanto</v>
          </cell>
          <cell r="AN219" t="str">
            <v>MANDIRI</v>
          </cell>
          <cell r="AO219">
            <v>9000009216806</v>
          </cell>
        </row>
        <row r="220">
          <cell r="H220" t="str">
            <v>Yohan Bahar Partogi</v>
          </cell>
          <cell r="I220" t="str">
            <v>Storage</v>
          </cell>
          <cell r="AM220" t="str">
            <v>Yohan Bahar Partogi</v>
          </cell>
          <cell r="AN220" t="str">
            <v>BCA</v>
          </cell>
          <cell r="AO220">
            <v>8651001579</v>
          </cell>
        </row>
        <row r="221">
          <cell r="H221" t="str">
            <v>M FARID ZAINAL ABIDIN</v>
          </cell>
          <cell r="I221" t="str">
            <v>Security Guard (Anggota)</v>
          </cell>
          <cell r="AM221" t="str">
            <v>M FARID ZAINAL ABIDIN</v>
          </cell>
          <cell r="AN221" t="str">
            <v>MANDIRI</v>
          </cell>
          <cell r="AO221">
            <v>1740009876178</v>
          </cell>
        </row>
        <row r="222">
          <cell r="H222" t="str">
            <v>M. Soleh</v>
          </cell>
          <cell r="I222" t="str">
            <v>General Service Attendant</v>
          </cell>
          <cell r="AM222" t="str">
            <v>M.Soleh</v>
          </cell>
          <cell r="AN222" t="str">
            <v>MANDIRI</v>
          </cell>
          <cell r="AO222">
            <v>1120011736571</v>
          </cell>
        </row>
        <row r="223">
          <cell r="H223" t="str">
            <v>Aprizal Tantowi</v>
          </cell>
          <cell r="I223" t="str">
            <v>Office Boy</v>
          </cell>
          <cell r="AM223" t="str">
            <v>Aprizal Tantowi</v>
          </cell>
          <cell r="AN223" t="str">
            <v>MANDIRI</v>
          </cell>
          <cell r="AO223">
            <v>1130016297354</v>
          </cell>
        </row>
        <row r="224">
          <cell r="H224" t="str">
            <v>ALFAZHRI HAMID</v>
          </cell>
          <cell r="I224" t="str">
            <v>Cleaning Services (Anggota)</v>
          </cell>
          <cell r="AM224" t="str">
            <v>ALFAZRI HAMID</v>
          </cell>
          <cell r="AN224" t="str">
            <v>MANDIRI</v>
          </cell>
          <cell r="AO224" t="str">
            <v>ALFAZRI HAMID
Bank Mandiri
1120022224633</v>
          </cell>
        </row>
        <row r="225">
          <cell r="H225" t="str">
            <v>Akhmad Aryadi</v>
          </cell>
          <cell r="I225" t="str">
            <v>General Service Attendant</v>
          </cell>
          <cell r="AM225" t="str">
            <v>Akhmad aryadi</v>
          </cell>
          <cell r="AN225" t="str">
            <v>BCA</v>
          </cell>
          <cell r="AO225">
            <v>213383440</v>
          </cell>
        </row>
        <row r="226">
          <cell r="H226" t="str">
            <v>Yuli Sartika</v>
          </cell>
          <cell r="I226" t="str">
            <v>Cleaning Services (Anggota)</v>
          </cell>
          <cell r="AM226" t="str">
            <v>Yuli Sartika</v>
          </cell>
          <cell r="AN226" t="str">
            <v>MANDIRI</v>
          </cell>
          <cell r="AO226">
            <v>9000029678209</v>
          </cell>
        </row>
        <row r="227">
          <cell r="H227" t="str">
            <v>Muhamad Gondzo Aditya</v>
          </cell>
          <cell r="I227" t="str">
            <v>Office Boy</v>
          </cell>
          <cell r="AM227" t="str">
            <v xml:space="preserve">Muhamad Gondzo Aditya </v>
          </cell>
          <cell r="AN227" t="str">
            <v>BNI</v>
          </cell>
          <cell r="AO227">
            <v>1269908021</v>
          </cell>
        </row>
        <row r="228">
          <cell r="H228" t="str">
            <v>NANANG</v>
          </cell>
          <cell r="I228" t="str">
            <v>Office Boy</v>
          </cell>
          <cell r="AM228" t="str">
            <v>NANANG</v>
          </cell>
          <cell r="AN228" t="str">
            <v>MANDIRI</v>
          </cell>
          <cell r="AO228" t="str">
            <v>702474236100 (CIMB NIAGA)</v>
          </cell>
        </row>
        <row r="229">
          <cell r="H229" t="str">
            <v>Jumadi</v>
          </cell>
          <cell r="I229" t="str">
            <v>Office Boy</v>
          </cell>
          <cell r="AM229" t="str">
            <v>Jumadi</v>
          </cell>
          <cell r="AN229" t="str">
            <v>BRI</v>
          </cell>
          <cell r="AO229" t="str">
            <v>2100672767 (BANK Jtrus)</v>
          </cell>
        </row>
        <row r="230">
          <cell r="H230" t="str">
            <v>Rifkih Saputra</v>
          </cell>
          <cell r="I230" t="str">
            <v>Cleaning Services (Anggota)</v>
          </cell>
          <cell r="AM230" t="str">
            <v xml:space="preserve">RIFKIH SAPUTRA </v>
          </cell>
          <cell r="AN230" t="str">
            <v>MANDIRI</v>
          </cell>
          <cell r="AO230">
            <v>1340027508760</v>
          </cell>
        </row>
        <row r="231">
          <cell r="H231" t="str">
            <v>Wartono</v>
          </cell>
          <cell r="I231" t="str">
            <v>Cleaning Services (Anggota)</v>
          </cell>
          <cell r="AM231" t="str">
            <v>Wartono</v>
          </cell>
          <cell r="AN231" t="str">
            <v>BRI</v>
          </cell>
          <cell r="AO231">
            <v>413301023344533</v>
          </cell>
        </row>
        <row r="232">
          <cell r="H232" t="str">
            <v>ASEP MUHAEMIN</v>
          </cell>
          <cell r="I232" t="str">
            <v>Security Guard (Anggota)</v>
          </cell>
          <cell r="AM232" t="str">
            <v>ASEP MUHAEMIN</v>
          </cell>
          <cell r="AN232" t="str">
            <v>MANDIRI</v>
          </cell>
          <cell r="AO232">
            <v>1340026255454</v>
          </cell>
        </row>
        <row r="233">
          <cell r="H233" t="str">
            <v>Mohamad zubaidi</v>
          </cell>
          <cell r="I233" t="str">
            <v>Office Boy</v>
          </cell>
          <cell r="AM233" t="str">
            <v>Mohamad zubaidi</v>
          </cell>
          <cell r="AN233" t="str">
            <v>BCA</v>
          </cell>
          <cell r="AO233">
            <v>5520784812</v>
          </cell>
        </row>
        <row r="234">
          <cell r="H234" t="str">
            <v>Muhamad suherman</v>
          </cell>
          <cell r="I234" t="str">
            <v>Office Boy</v>
          </cell>
          <cell r="AM234" t="str">
            <v>Muhamad suherman</v>
          </cell>
          <cell r="AN234" t="str">
            <v>MANDIRI</v>
          </cell>
          <cell r="AO234">
            <v>1660005262480</v>
          </cell>
        </row>
        <row r="235">
          <cell r="H235" t="str">
            <v>SUTANTO MUHARJO</v>
          </cell>
          <cell r="I235" t="str">
            <v>Office Boy</v>
          </cell>
          <cell r="AM235" t="str">
            <v xml:space="preserve">SUTANTO MUHARJO </v>
          </cell>
          <cell r="AN235" t="str">
            <v>BCA</v>
          </cell>
          <cell r="AO235">
            <v>2291587765</v>
          </cell>
        </row>
        <row r="236">
          <cell r="H236" t="str">
            <v>ERIZAL</v>
          </cell>
          <cell r="I236" t="str">
            <v>Office Boy</v>
          </cell>
          <cell r="AM236" t="str">
            <v>ERIZAL</v>
          </cell>
          <cell r="AN236" t="str">
            <v>BRI</v>
          </cell>
          <cell r="AO236">
            <v>120201000282536</v>
          </cell>
        </row>
        <row r="237">
          <cell r="H237" t="str">
            <v>Zahra Ussy Wardhani</v>
          </cell>
          <cell r="I237" t="str">
            <v>Spg Mobile</v>
          </cell>
          <cell r="AM237" t="str">
            <v>Zahra Ussy Wardhani</v>
          </cell>
          <cell r="AN237" t="str">
            <v>BCA</v>
          </cell>
          <cell r="AO237">
            <v>8355305305</v>
          </cell>
        </row>
        <row r="238">
          <cell r="H238" t="str">
            <v>Erizal</v>
          </cell>
          <cell r="I238" t="str">
            <v>Office Boy</v>
          </cell>
          <cell r="AM238" t="str">
            <v>ERIZAL</v>
          </cell>
          <cell r="AN238" t="str">
            <v>BRI</v>
          </cell>
          <cell r="AO238">
            <v>20201000282536</v>
          </cell>
        </row>
        <row r="239">
          <cell r="H239" t="str">
            <v>Muhammad Irfan Herdiyanto</v>
          </cell>
          <cell r="I239" t="str">
            <v>General Service Attendant</v>
          </cell>
          <cell r="AM239" t="str">
            <v>Muhammad Irfan Herdiyanto</v>
          </cell>
          <cell r="AN239" t="str">
            <v>BCA DIGITAL</v>
          </cell>
          <cell r="AO239">
            <v>3783382076</v>
          </cell>
        </row>
        <row r="240">
          <cell r="H240" t="str">
            <v>Danu</v>
          </cell>
          <cell r="I240" t="str">
            <v>Cleaning Services (Anggota)</v>
          </cell>
          <cell r="AM240" t="str">
            <v>Danu</v>
          </cell>
          <cell r="AN240" t="str">
            <v>BCA</v>
          </cell>
          <cell r="AO240">
            <v>581962079</v>
          </cell>
        </row>
        <row r="241">
          <cell r="H241" t="str">
            <v>Ade kurniallah</v>
          </cell>
          <cell r="I241" t="str">
            <v>Checker</v>
          </cell>
          <cell r="AM241" t="str">
            <v xml:space="preserve">Ade kurniallah </v>
          </cell>
          <cell r="AN241" t="str">
            <v>BCA</v>
          </cell>
          <cell r="AO241">
            <v>6240659598</v>
          </cell>
        </row>
        <row r="242">
          <cell r="H242" t="str">
            <v>Maulana Yusuf</v>
          </cell>
          <cell r="I242" t="str">
            <v>Checker</v>
          </cell>
          <cell r="AM242" t="str">
            <v>Maulana Yusuf</v>
          </cell>
          <cell r="AN242" t="str">
            <v>BCA</v>
          </cell>
          <cell r="AO242">
            <v>2290662764</v>
          </cell>
        </row>
        <row r="243">
          <cell r="H243" t="str">
            <v>Ardi sutrisno wibowo</v>
          </cell>
          <cell r="I243" t="str">
            <v>Gtc</v>
          </cell>
          <cell r="AM243" t="str">
            <v>Ardi sutrisno wibowo</v>
          </cell>
          <cell r="AN243" t="str">
            <v>MANDIRI</v>
          </cell>
          <cell r="AO243">
            <v>1250007861834</v>
          </cell>
        </row>
        <row r="244">
          <cell r="H244" t="str">
            <v>MUHAMAD YUSUF</v>
          </cell>
          <cell r="I244" t="str">
            <v>GTC</v>
          </cell>
          <cell r="AM244" t="str">
            <v>MUHAMAD YUSUF</v>
          </cell>
          <cell r="AN244" t="str">
            <v>BCA</v>
          </cell>
          <cell r="AO244">
            <v>5212354040</v>
          </cell>
        </row>
        <row r="245">
          <cell r="H245" t="str">
            <v>Fajar muhtar</v>
          </cell>
          <cell r="I245" t="str">
            <v>Gtc</v>
          </cell>
          <cell r="AM245" t="str">
            <v>Fajar muhtar</v>
          </cell>
          <cell r="AN245" t="str">
            <v>BCA</v>
          </cell>
          <cell r="AO245">
            <v>3970076513</v>
          </cell>
        </row>
        <row r="246">
          <cell r="H246" t="str">
            <v>Ahmad Toha</v>
          </cell>
          <cell r="I246" t="str">
            <v>Gtc</v>
          </cell>
          <cell r="AM246" t="str">
            <v>Ahmad Toha</v>
          </cell>
          <cell r="AN246" t="str">
            <v>BCA</v>
          </cell>
          <cell r="AO246">
            <v>3041165543</v>
          </cell>
        </row>
        <row r="247">
          <cell r="H247" t="str">
            <v>MUHAMAD SAFI IH</v>
          </cell>
          <cell r="I247" t="str">
            <v>Checker</v>
          </cell>
          <cell r="AM247" t="str">
            <v>MUHAMAD SAFI IH</v>
          </cell>
          <cell r="AN247" t="str">
            <v>MANDIRI</v>
          </cell>
          <cell r="AO247">
            <v>1670003626875</v>
          </cell>
        </row>
        <row r="248">
          <cell r="H248" t="str">
            <v>Abdullah Nashirudin Kamil</v>
          </cell>
          <cell r="I248" t="str">
            <v>GTC</v>
          </cell>
          <cell r="AM248" t="str">
            <v>Abdullah Nashirudin Kamil</v>
          </cell>
          <cell r="AN248" t="str">
            <v>BCA</v>
          </cell>
          <cell r="AO248">
            <v>8710337200</v>
          </cell>
        </row>
        <row r="249">
          <cell r="H249" t="str">
            <v>ELIH</v>
          </cell>
          <cell r="I249" t="str">
            <v>Checker</v>
          </cell>
          <cell r="AM249" t="str">
            <v>INTAN DWI LESTARI</v>
          </cell>
          <cell r="AN249" t="str">
            <v>BCA</v>
          </cell>
          <cell r="AO249">
            <v>6871242205</v>
          </cell>
        </row>
        <row r="250">
          <cell r="H250" t="str">
            <v>SUPRIYADI</v>
          </cell>
          <cell r="I250" t="str">
            <v>GTC</v>
          </cell>
          <cell r="AM250" t="str">
            <v xml:space="preserve">SUPRIYADI </v>
          </cell>
          <cell r="AN250" t="str">
            <v>BCA</v>
          </cell>
          <cell r="AO250">
            <v>6241713536</v>
          </cell>
        </row>
        <row r="251">
          <cell r="H251" t="str">
            <v>MUADZIN</v>
          </cell>
          <cell r="I251" t="str">
            <v>Checker</v>
          </cell>
          <cell r="AM251" t="str">
            <v>MUADZIN</v>
          </cell>
          <cell r="AN251" t="str">
            <v>BCA</v>
          </cell>
          <cell r="AO251">
            <v>2270155785</v>
          </cell>
        </row>
        <row r="252">
          <cell r="H252" t="str">
            <v>Junaidi</v>
          </cell>
          <cell r="I252" t="str">
            <v>Lainya</v>
          </cell>
          <cell r="AM252" t="str">
            <v>Junaidi</v>
          </cell>
          <cell r="AN252" t="str">
            <v>BCA</v>
          </cell>
          <cell r="AO252">
            <v>8710195383</v>
          </cell>
        </row>
        <row r="253">
          <cell r="H253" t="str">
            <v>Rohman</v>
          </cell>
          <cell r="I253" t="str">
            <v>Office Boy</v>
          </cell>
          <cell r="AM253" t="str">
            <v>Rohman</v>
          </cell>
          <cell r="AN253" t="str">
            <v>BCA</v>
          </cell>
          <cell r="AO253">
            <v>5260931140</v>
          </cell>
        </row>
        <row r="254">
          <cell r="H254" t="str">
            <v>ENGKOS KOSASIH</v>
          </cell>
          <cell r="I254" t="str">
            <v>Gtc</v>
          </cell>
          <cell r="AM254" t="str">
            <v>ENGKOS KOSASIH</v>
          </cell>
          <cell r="AN254" t="str">
            <v>BCA</v>
          </cell>
          <cell r="AO254">
            <v>2303201416</v>
          </cell>
        </row>
        <row r="255">
          <cell r="H255" t="str">
            <v>STEVANUS TJAHJADI</v>
          </cell>
          <cell r="I255" t="str">
            <v>GTC</v>
          </cell>
          <cell r="AM255" t="str">
            <v>STEVANUS TJAHJADI</v>
          </cell>
          <cell r="AN255" t="str">
            <v>BCA</v>
          </cell>
          <cell r="AO255">
            <v>6900291823</v>
          </cell>
        </row>
        <row r="256">
          <cell r="H256" t="str">
            <v>EGi AGISTA ADHARI</v>
          </cell>
          <cell r="I256" t="str">
            <v>gtc</v>
          </cell>
          <cell r="AM256" t="str">
            <v xml:space="preserve">EGI AGISTA ADHARI
</v>
          </cell>
          <cell r="AN256" t="str">
            <v>MANDIRI</v>
          </cell>
          <cell r="AO256">
            <v>1030011967755</v>
          </cell>
        </row>
        <row r="257">
          <cell r="H257" t="str">
            <v>Yahdi kumullah</v>
          </cell>
          <cell r="I257" t="str">
            <v>Gtc</v>
          </cell>
          <cell r="AM257" t="str">
            <v xml:space="preserve">Yahdi kumullah </v>
          </cell>
          <cell r="AN257" t="str">
            <v>BCA</v>
          </cell>
          <cell r="AO257">
            <v>6900908839</v>
          </cell>
        </row>
        <row r="258">
          <cell r="H258" t="str">
            <v>Achmad Sofian hadi</v>
          </cell>
          <cell r="I258" t="str">
            <v>Checker</v>
          </cell>
          <cell r="AM258" t="str">
            <v>Maimunah</v>
          </cell>
          <cell r="AN258" t="str">
            <v>MANDIRI</v>
          </cell>
          <cell r="AO258">
            <v>1020010716857</v>
          </cell>
        </row>
        <row r="259">
          <cell r="H259" t="str">
            <v>Alif Rafi Putra Buanata</v>
          </cell>
          <cell r="I259" t="str">
            <v>GTC</v>
          </cell>
          <cell r="AM259" t="str">
            <v>Alif Rafi Putra Buanata</v>
          </cell>
          <cell r="AN259" t="str">
            <v>BCA</v>
          </cell>
          <cell r="AO259">
            <v>6044482546</v>
          </cell>
        </row>
        <row r="260">
          <cell r="H260" t="str">
            <v>Andri kartiko</v>
          </cell>
          <cell r="I260" t="str">
            <v>Cleaning Services (Anggota)</v>
          </cell>
          <cell r="AM260" t="str">
            <v>Andri kartiko</v>
          </cell>
          <cell r="AN260" t="str">
            <v>BRI</v>
          </cell>
          <cell r="AO260">
            <v>11501028755539</v>
          </cell>
        </row>
        <row r="261">
          <cell r="H261" t="str">
            <v>Fahriyan Syah</v>
          </cell>
          <cell r="I261" t="str">
            <v>GTC</v>
          </cell>
          <cell r="AM261" t="str">
            <v>Hazizah</v>
          </cell>
          <cell r="AN261" t="str">
            <v>BRI</v>
          </cell>
          <cell r="AO261">
            <v>79901063262531</v>
          </cell>
        </row>
        <row r="262">
          <cell r="H262" t="str">
            <v>Afrijul Ghauts</v>
          </cell>
          <cell r="I262" t="str">
            <v>GTC</v>
          </cell>
          <cell r="AM262" t="str">
            <v>Afrijul Ghauts</v>
          </cell>
          <cell r="AN262" t="str">
            <v>BCA</v>
          </cell>
          <cell r="AO262">
            <v>8710254339</v>
          </cell>
        </row>
        <row r="263">
          <cell r="H263" t="str">
            <v>Arnoldus Boly Peran</v>
          </cell>
          <cell r="I263" t="str">
            <v>Front Officer</v>
          </cell>
          <cell r="AM263" t="str">
            <v>Arnoldus Boly Peran</v>
          </cell>
          <cell r="AN263" t="str">
            <v>BCA</v>
          </cell>
          <cell r="AO263">
            <v>5005429746</v>
          </cell>
        </row>
        <row r="264">
          <cell r="H264" t="str">
            <v>SAMUEL BHIMA SALIARTA</v>
          </cell>
          <cell r="I264" t="str">
            <v>GTC</v>
          </cell>
          <cell r="AM264" t="str">
            <v xml:space="preserve">SAMUEL BHIMA SALIARTA </v>
          </cell>
          <cell r="AN264" t="str">
            <v>BCA</v>
          </cell>
          <cell r="AO264">
            <v>7402347336</v>
          </cell>
        </row>
        <row r="265">
          <cell r="H265" t="str">
            <v>YASMIN ZAHRA</v>
          </cell>
          <cell r="I265" t="str">
            <v>Cleaning Services (Anggota)</v>
          </cell>
          <cell r="AM265" t="str">
            <v>YASMIN ZAHRA</v>
          </cell>
          <cell r="AN265" t="str">
            <v>BRI</v>
          </cell>
          <cell r="AO265">
            <v>220801003404502</v>
          </cell>
        </row>
        <row r="266">
          <cell r="H266" t="str">
            <v>SUCI SUSILOWATI</v>
          </cell>
          <cell r="I266" t="str">
            <v>Administrator</v>
          </cell>
          <cell r="AM266" t="str">
            <v>SUCI SUSILOWATI</v>
          </cell>
          <cell r="AN266" t="str">
            <v>BCA</v>
          </cell>
          <cell r="AO266">
            <v>3420425898</v>
          </cell>
        </row>
        <row r="267">
          <cell r="H267" t="str">
            <v>HIKMATUNNISA</v>
          </cell>
          <cell r="I267" t="str">
            <v>Administrator</v>
          </cell>
          <cell r="AM267" t="str">
            <v>HIKMATUNNISA</v>
          </cell>
          <cell r="AN267" t="str">
            <v>BCA</v>
          </cell>
          <cell r="AO267">
            <v>8710010651</v>
          </cell>
        </row>
        <row r="268">
          <cell r="H268" t="str">
            <v>SYAPRUDDIN</v>
          </cell>
          <cell r="I268" t="str">
            <v>Administrator</v>
          </cell>
          <cell r="AM268" t="str">
            <v>SYAPRUDDIN</v>
          </cell>
          <cell r="AN268" t="str">
            <v>BCA</v>
          </cell>
          <cell r="AO268">
            <v>7600069262</v>
          </cell>
        </row>
        <row r="269">
          <cell r="H269" t="str">
            <v>ENGGI TOMIZAN</v>
          </cell>
          <cell r="I269" t="str">
            <v>General Service Attendant</v>
          </cell>
          <cell r="AM269" t="str">
            <v>Enggi Tomizan</v>
          </cell>
          <cell r="AN269" t="str">
            <v>MANDIRI</v>
          </cell>
          <cell r="AO269">
            <v>1790005057364</v>
          </cell>
        </row>
        <row r="270">
          <cell r="H270" t="str">
            <v>WIKE APRIANI</v>
          </cell>
          <cell r="I270" t="str">
            <v>Administrator</v>
          </cell>
          <cell r="AM270" t="str">
            <v>WIKE APRIANI</v>
          </cell>
          <cell r="AN270" t="str">
            <v>BCA</v>
          </cell>
          <cell r="AO270">
            <v>7655103198</v>
          </cell>
        </row>
        <row r="271">
          <cell r="H271" t="str">
            <v>M DZIKRI MAULANA</v>
          </cell>
          <cell r="I271" t="str">
            <v>Security Guard (Anggota)</v>
          </cell>
          <cell r="AM271" t="str">
            <v>M DZIKRI MAULANA</v>
          </cell>
          <cell r="AN271" t="str">
            <v>BCA</v>
          </cell>
          <cell r="AO271">
            <v>2480215683</v>
          </cell>
        </row>
        <row r="272">
          <cell r="H272" t="str">
            <v>ALDI MAULANA</v>
          </cell>
          <cell r="I272" t="str">
            <v>Cleaning Services (Anggota)</v>
          </cell>
          <cell r="AM272" t="str">
            <v>ALDI MAULANA</v>
          </cell>
          <cell r="AN272" t="str">
            <v>BCA</v>
          </cell>
          <cell r="AO272">
            <v>8692502620</v>
          </cell>
        </row>
        <row r="273">
          <cell r="H273" t="str">
            <v>I'I ISTI IQOMAH</v>
          </cell>
          <cell r="I273" t="str">
            <v>DATA ENTRY CLERK</v>
          </cell>
          <cell r="AM273" t="str">
            <v>I'I ISTI IQOMAH</v>
          </cell>
          <cell r="AN273" t="str">
            <v>BCA</v>
          </cell>
          <cell r="AO273">
            <v>3420403631</v>
          </cell>
        </row>
        <row r="274">
          <cell r="H274" t="str">
            <v>FITRIA RAHMAH</v>
          </cell>
          <cell r="I274" t="str">
            <v>Finance</v>
          </cell>
          <cell r="AM274" t="str">
            <v xml:space="preserve">FITRIA RAHMAH </v>
          </cell>
          <cell r="AN274" t="str">
            <v>BCA</v>
          </cell>
          <cell r="AO274">
            <v>5406016346</v>
          </cell>
        </row>
        <row r="275">
          <cell r="H275" t="str">
            <v>SUCI SUSILOWATI</v>
          </cell>
          <cell r="I275" t="str">
            <v>Administrator</v>
          </cell>
          <cell r="AM275" t="str">
            <v>SUCI SUSILOWATI</v>
          </cell>
          <cell r="AN275" t="str">
            <v>BCA</v>
          </cell>
          <cell r="AO275">
            <v>3420425898</v>
          </cell>
        </row>
        <row r="276">
          <cell r="H276" t="str">
            <v>SYAPRUDDIN</v>
          </cell>
          <cell r="I276" t="str">
            <v>Administrator</v>
          </cell>
          <cell r="AM276" t="str">
            <v>SYAPRUDDIN</v>
          </cell>
          <cell r="AN276" t="str">
            <v>BCA</v>
          </cell>
          <cell r="AO276">
            <v>7600069262</v>
          </cell>
        </row>
        <row r="277">
          <cell r="H277" t="str">
            <v>WIKE APRIANI</v>
          </cell>
          <cell r="I277" t="str">
            <v>Administrator</v>
          </cell>
          <cell r="AM277" t="str">
            <v>WIKE APRIANI</v>
          </cell>
          <cell r="AN277" t="str">
            <v>BCA</v>
          </cell>
          <cell r="AO277">
            <v>7655103198</v>
          </cell>
        </row>
        <row r="278">
          <cell r="H278" t="str">
            <v>Dimas Astrapraja</v>
          </cell>
          <cell r="I278" t="str">
            <v>Marketing</v>
          </cell>
          <cell r="AM278" t="str">
            <v>Dimas Astrapraja</v>
          </cell>
          <cell r="AN278" t="str">
            <v>BCA</v>
          </cell>
          <cell r="AO278">
            <v>6821077688</v>
          </cell>
        </row>
        <row r="279">
          <cell r="H279" t="str">
            <v>HIKMATUNNISA</v>
          </cell>
          <cell r="I279" t="str">
            <v>Administrator</v>
          </cell>
          <cell r="AM279" t="str">
            <v>HIKMATUNNISA</v>
          </cell>
          <cell r="AN279" t="str">
            <v>BCA</v>
          </cell>
          <cell r="AO279">
            <v>8710010651</v>
          </cell>
        </row>
        <row r="280">
          <cell r="H280" t="str">
            <v>Rolan Prandiko</v>
          </cell>
          <cell r="I280" t="str">
            <v>Security Guard (Anggota)</v>
          </cell>
          <cell r="AM280" t="str">
            <v>Rolan prandiko</v>
          </cell>
          <cell r="AN280" t="str">
            <v>BSI</v>
          </cell>
          <cell r="AO280">
            <v>7257680511</v>
          </cell>
        </row>
        <row r="281">
          <cell r="H281" t="str">
            <v>MUHAMMAD ILHAM M.Y.</v>
          </cell>
          <cell r="I281" t="str">
            <v>Cleaning Services (Anggota)</v>
          </cell>
          <cell r="AM281" t="str">
            <v>Muhammad Ilham MY</v>
          </cell>
          <cell r="AN281" t="str">
            <v>BCA</v>
          </cell>
          <cell r="AO281">
            <v>322658620</v>
          </cell>
        </row>
        <row r="282">
          <cell r="H282" t="str">
            <v>Alfi Diana Permatasari</v>
          </cell>
          <cell r="I282" t="str">
            <v>SPG Homebrand Stay</v>
          </cell>
          <cell r="AM282" t="str">
            <v xml:space="preserve">Alfi Diana Permatasari </v>
          </cell>
          <cell r="AN282" t="str">
            <v>BRI</v>
          </cell>
          <cell r="AO282" t="str">
            <v>0206-01-198682-50-0</v>
          </cell>
        </row>
        <row r="283">
          <cell r="H283" t="str">
            <v>WENSISLAUS FANTURA</v>
          </cell>
          <cell r="I283" t="str">
            <v>Security Guard (Anggota)</v>
          </cell>
          <cell r="AM283" t="str">
            <v>WENSISLAUS FANTURA</v>
          </cell>
          <cell r="AN283" t="str">
            <v>MANDIRI</v>
          </cell>
          <cell r="AO283">
            <v>1450015519891</v>
          </cell>
        </row>
        <row r="284">
          <cell r="H284" t="str">
            <v>RAHMATAN</v>
          </cell>
          <cell r="I284" t="str">
            <v>Security Guard (Anggota)</v>
          </cell>
          <cell r="AM284" t="str">
            <v>RAHMATAN</v>
          </cell>
          <cell r="AN284" t="str">
            <v>BCA</v>
          </cell>
          <cell r="AO284">
            <v>581967780</v>
          </cell>
        </row>
        <row r="285">
          <cell r="H285" t="str">
            <v>Mahendra Yudha Manggala</v>
          </cell>
          <cell r="I285" t="str">
            <v>Warehouse Attendant</v>
          </cell>
          <cell r="AM285" t="str">
            <v>MAHENDRA YUDHA MANGGALA</v>
          </cell>
          <cell r="AN285" t="str">
            <v>BCA</v>
          </cell>
          <cell r="AO285">
            <v>375342607</v>
          </cell>
          <cell r="CN285">
            <v>45727</v>
          </cell>
        </row>
        <row r="286">
          <cell r="H286" t="str">
            <v>achmat saiful arif</v>
          </cell>
          <cell r="I286" t="str">
            <v>Cleaning Services (Anggota)</v>
          </cell>
          <cell r="AM286" t="str">
            <v xml:space="preserve">Achmat Saiful Arif </v>
          </cell>
          <cell r="AN286" t="str">
            <v>BRI</v>
          </cell>
          <cell r="AO286">
            <v>316401015185535</v>
          </cell>
          <cell r="CN286">
            <v>45759</v>
          </cell>
        </row>
        <row r="287">
          <cell r="H287" t="str">
            <v>Echa Akbar Cahya</v>
          </cell>
          <cell r="I287" t="str">
            <v>Warehouse Attendant</v>
          </cell>
          <cell r="AM287" t="str">
            <v xml:space="preserve">Echa Akbar Cahya </v>
          </cell>
          <cell r="AN287" t="str">
            <v>BCA</v>
          </cell>
          <cell r="AO287">
            <v>375339141</v>
          </cell>
          <cell r="CN287">
            <v>45743</v>
          </cell>
        </row>
        <row r="288">
          <cell r="H288" t="str">
            <v>Ikhsan</v>
          </cell>
          <cell r="I288" t="str">
            <v>Cleaning Services (Anggota)</v>
          </cell>
          <cell r="AM288" t="str">
            <v xml:space="preserve">IKHSAN </v>
          </cell>
          <cell r="AN288" t="str">
            <v>BSI</v>
          </cell>
          <cell r="AO288">
            <v>7144505276</v>
          </cell>
          <cell r="CN288">
            <v>43054</v>
          </cell>
        </row>
        <row r="289">
          <cell r="H289" t="str">
            <v>Ridho Dimas Syahputra</v>
          </cell>
          <cell r="I289" t="str">
            <v>Cleaning Services (Anggota)</v>
          </cell>
          <cell r="AM289" t="str">
            <v xml:space="preserve">Ridho Dimas Syahputra </v>
          </cell>
          <cell r="AN289" t="str">
            <v>BCA</v>
          </cell>
          <cell r="AO289">
            <v>6175294418</v>
          </cell>
          <cell r="CN289">
            <v>45755</v>
          </cell>
        </row>
        <row r="290">
          <cell r="H290" t="str">
            <v>Zulfahmi</v>
          </cell>
          <cell r="I290" t="str">
            <v>Cleaning Services (Anggota)</v>
          </cell>
          <cell r="AM290" t="str">
            <v xml:space="preserve">Zulfahmi </v>
          </cell>
          <cell r="AN290" t="str">
            <v>BSI</v>
          </cell>
          <cell r="AO290">
            <v>7187500669</v>
          </cell>
          <cell r="CN290">
            <v>44568</v>
          </cell>
        </row>
        <row r="291">
          <cell r="H291" t="str">
            <v>Ujidarmawan</v>
          </cell>
          <cell r="I291" t="str">
            <v>Cleaning Services (Anggota)</v>
          </cell>
          <cell r="AM291" t="str">
            <v xml:space="preserve">Ujidarmawan </v>
          </cell>
          <cell r="AN291" t="str">
            <v>BCA</v>
          </cell>
          <cell r="AO291">
            <v>5015294164</v>
          </cell>
          <cell r="CN291">
            <v>45749</v>
          </cell>
        </row>
        <row r="292">
          <cell r="H292" t="str">
            <v>Aditya nur saleh</v>
          </cell>
          <cell r="I292" t="str">
            <v>Warehouse Attendant</v>
          </cell>
          <cell r="AM292" t="str">
            <v>Aditya nur saleh</v>
          </cell>
          <cell r="AN292" t="str">
            <v>BSI</v>
          </cell>
          <cell r="AO292">
            <v>7246840158</v>
          </cell>
          <cell r="CN292">
            <v>45757</v>
          </cell>
        </row>
        <row r="293">
          <cell r="H293" t="str">
            <v>SYAHRUL RAMADHAN</v>
          </cell>
          <cell r="I293" t="str">
            <v>Cleaning Services (Anggota)</v>
          </cell>
          <cell r="AM293" t="str">
            <v>SYAHRUL RAMADHAN</v>
          </cell>
          <cell r="AN293" t="str">
            <v>BSI</v>
          </cell>
          <cell r="AO293">
            <v>7142350771</v>
          </cell>
          <cell r="CN293">
            <v>43054</v>
          </cell>
        </row>
        <row r="294">
          <cell r="H294" t="str">
            <v>Handika Pramudia</v>
          </cell>
          <cell r="I294" t="str">
            <v>Sales Promotion Attendant</v>
          </cell>
          <cell r="AM294" t="str">
            <v>Handika Pramudia</v>
          </cell>
          <cell r="AN294" t="str">
            <v>BCA</v>
          </cell>
          <cell r="AO294">
            <v>2290254089</v>
          </cell>
          <cell r="CN294">
            <v>45761</v>
          </cell>
        </row>
        <row r="295">
          <cell r="H295" t="str">
            <v>ISMAWANDI</v>
          </cell>
          <cell r="I295" t="str">
            <v>Cleaning Services (Anggota)</v>
          </cell>
          <cell r="AM295" t="str">
            <v>ISMAWANDI</v>
          </cell>
          <cell r="AN295" t="str">
            <v>BSI</v>
          </cell>
          <cell r="AO295">
            <v>7144505737</v>
          </cell>
          <cell r="CN295">
            <v>43054</v>
          </cell>
        </row>
        <row r="296">
          <cell r="H296" t="str">
            <v>M.fauzan Al anshory</v>
          </cell>
          <cell r="I296" t="str">
            <v>Cleaning Services (Anggota)</v>
          </cell>
          <cell r="AM296" t="str">
            <v xml:space="preserve">M.fauzan Al anshory </v>
          </cell>
          <cell r="AN296" t="str">
            <v>BSI</v>
          </cell>
          <cell r="AO296">
            <v>7213223393</v>
          </cell>
          <cell r="CN296">
            <v>44866</v>
          </cell>
        </row>
        <row r="297">
          <cell r="H297" t="str">
            <v>Achmad Subhan</v>
          </cell>
          <cell r="I297" t="str">
            <v>Cleaning Services (Anggota)</v>
          </cell>
          <cell r="AM297" t="str">
            <v xml:space="preserve">Achmad Subhan </v>
          </cell>
          <cell r="AN297" t="str">
            <v>BSI</v>
          </cell>
          <cell r="AO297">
            <v>7265177087</v>
          </cell>
          <cell r="CN297">
            <v>45760</v>
          </cell>
        </row>
        <row r="298">
          <cell r="H298" t="str">
            <v>MUHAMAD AKBAR MAULANA</v>
          </cell>
          <cell r="I298" t="str">
            <v>Cleaning Services (Anggota)</v>
          </cell>
          <cell r="AM298" t="str">
            <v>MUHAMAD AKBAR MAULANA</v>
          </cell>
          <cell r="AN298" t="str">
            <v>BCA</v>
          </cell>
          <cell r="AO298">
            <v>5050182012</v>
          </cell>
          <cell r="CN298">
            <v>45760</v>
          </cell>
        </row>
        <row r="299">
          <cell r="H299" t="str">
            <v>RAHMAD HIDAYAT</v>
          </cell>
          <cell r="I299" t="str">
            <v>Cleaning Services (Anggota)</v>
          </cell>
          <cell r="AM299" t="str">
            <v>RAHMAD HIDAYAT</v>
          </cell>
          <cell r="AN299" t="str">
            <v>BCA</v>
          </cell>
          <cell r="AO299">
            <v>8565248754</v>
          </cell>
          <cell r="CN299">
            <v>45760</v>
          </cell>
        </row>
        <row r="300">
          <cell r="H300" t="str">
            <v>Slamet karjono</v>
          </cell>
          <cell r="I300" t="str">
            <v>GONDOLA</v>
          </cell>
          <cell r="AM300" t="str">
            <v xml:space="preserve">Slamet karjono </v>
          </cell>
          <cell r="AN300" t="str">
            <v>MANDIRI</v>
          </cell>
          <cell r="AO300">
            <v>1180013722102</v>
          </cell>
          <cell r="CN300">
            <v>45761</v>
          </cell>
        </row>
        <row r="301">
          <cell r="H301" t="str">
            <v>Slamet karjono</v>
          </cell>
          <cell r="I301" t="str">
            <v>GONDOLA</v>
          </cell>
          <cell r="AM301" t="str">
            <v xml:space="preserve">Slamet karjono </v>
          </cell>
          <cell r="AN301" t="str">
            <v>MANDIRI</v>
          </cell>
          <cell r="AO301">
            <v>1180013722102</v>
          </cell>
          <cell r="CN301">
            <v>45761</v>
          </cell>
        </row>
        <row r="302">
          <cell r="H302" t="str">
            <v>Muhamad Gondzo Aditya</v>
          </cell>
          <cell r="I302" t="str">
            <v>Office Boy</v>
          </cell>
          <cell r="AM302" t="str">
            <v xml:space="preserve">Muhamad Gondzo Aditya </v>
          </cell>
          <cell r="AN302" t="str">
            <v>BNI</v>
          </cell>
          <cell r="AO302">
            <v>1269908021</v>
          </cell>
          <cell r="CN302">
            <v>41365</v>
          </cell>
        </row>
        <row r="303">
          <cell r="H303" t="str">
            <v>Adi alamsyah</v>
          </cell>
          <cell r="I303" t="str">
            <v>Finance ( Collector )</v>
          </cell>
          <cell r="AM303" t="str">
            <v>Adi alamsyah</v>
          </cell>
          <cell r="AN303" t="str">
            <v>MANDIRI</v>
          </cell>
          <cell r="AO303">
            <v>1250013631189</v>
          </cell>
          <cell r="CN303">
            <v>45082</v>
          </cell>
        </row>
        <row r="304">
          <cell r="H304" t="str">
            <v>Ahmad hapizoh</v>
          </cell>
          <cell r="I304" t="str">
            <v>Cleaning Services (Anggota)</v>
          </cell>
          <cell r="AM304" t="str">
            <v>Hafizoh</v>
          </cell>
          <cell r="AN304" t="str">
            <v>BNI</v>
          </cell>
          <cell r="AO304">
            <v>1918801435</v>
          </cell>
          <cell r="CN304">
            <v>45713</v>
          </cell>
        </row>
        <row r="305">
          <cell r="H305" t="str">
            <v>Rico Tomans</v>
          </cell>
          <cell r="I305" t="str">
            <v>kordinator</v>
          </cell>
          <cell r="AM305" t="str">
            <v>rico tomans</v>
          </cell>
          <cell r="AN305" t="str">
            <v>BRI</v>
          </cell>
          <cell r="AO305">
            <v>1901051086509</v>
          </cell>
          <cell r="CN305">
            <v>45749</v>
          </cell>
        </row>
        <row r="306">
          <cell r="H306" t="str">
            <v>Jumadiono</v>
          </cell>
          <cell r="I306" t="str">
            <v>Cleaning Services (Anggota)</v>
          </cell>
          <cell r="AM306" t="str">
            <v>Jumadiono</v>
          </cell>
          <cell r="AN306" t="str">
            <v>BCA</v>
          </cell>
          <cell r="AO306">
            <v>373755971</v>
          </cell>
          <cell r="CN306">
            <v>40461</v>
          </cell>
        </row>
        <row r="307">
          <cell r="H307" t="str">
            <v>Aris munawar</v>
          </cell>
          <cell r="I307" t="str">
            <v>Cleaning Services (Anggota)</v>
          </cell>
          <cell r="AM307" t="str">
            <v>Aris munawar</v>
          </cell>
          <cell r="AN307" t="str">
            <v>BCA</v>
          </cell>
          <cell r="AO307">
            <v>374150100</v>
          </cell>
          <cell r="CN307">
            <v>45748</v>
          </cell>
        </row>
        <row r="308">
          <cell r="H308" t="str">
            <v>Rintho Darmawan</v>
          </cell>
          <cell r="I308" t="str">
            <v>Costumer Services</v>
          </cell>
          <cell r="AM308" t="str">
            <v>Rintho Darmawan</v>
          </cell>
          <cell r="AN308" t="str">
            <v>BCA</v>
          </cell>
          <cell r="AO308">
            <v>6281196224</v>
          </cell>
          <cell r="CN308">
            <v>43160</v>
          </cell>
        </row>
        <row r="309">
          <cell r="H309" t="str">
            <v>Afillahayu</v>
          </cell>
          <cell r="I309" t="str">
            <v>customer service</v>
          </cell>
          <cell r="AM309" t="str">
            <v>Afillahayu</v>
          </cell>
          <cell r="AN309" t="str">
            <v>BCA</v>
          </cell>
          <cell r="AO309">
            <v>3420234693</v>
          </cell>
          <cell r="CN309">
            <v>36234</v>
          </cell>
        </row>
        <row r="310">
          <cell r="H310" t="str">
            <v>Iwel sasela</v>
          </cell>
          <cell r="I310" t="str">
            <v>Costumer Services</v>
          </cell>
          <cell r="AM310" t="str">
            <v>Iwel sasela</v>
          </cell>
          <cell r="AN310" t="str">
            <v>BCA</v>
          </cell>
          <cell r="AO310">
            <v>4960261556</v>
          </cell>
          <cell r="CN310">
            <v>44075</v>
          </cell>
        </row>
        <row r="311">
          <cell r="H311" t="str">
            <v>Muhammad Bagas Adhikara</v>
          </cell>
          <cell r="I311" t="str">
            <v>Costumer Services</v>
          </cell>
          <cell r="AM311" t="str">
            <v>Muhammad Bagas Adhikara</v>
          </cell>
          <cell r="AN311" t="str">
            <v>BCA</v>
          </cell>
          <cell r="AO311">
            <v>7751072396</v>
          </cell>
          <cell r="CN311">
            <v>44829</v>
          </cell>
        </row>
        <row r="312">
          <cell r="H312" t="str">
            <v>Rizky Kurnia Sumantri</v>
          </cell>
          <cell r="I312" t="str">
            <v>Costumer Services</v>
          </cell>
          <cell r="AM312" t="str">
            <v>Rizky Kurnia Sumantri</v>
          </cell>
          <cell r="AN312" t="str">
            <v>BCA</v>
          </cell>
          <cell r="AO312">
            <v>1280254785</v>
          </cell>
          <cell r="CN312">
            <v>44994</v>
          </cell>
        </row>
        <row r="313">
          <cell r="H313" t="str">
            <v>Sopiyan sauri</v>
          </cell>
          <cell r="I313" t="str">
            <v>General Service Attendant</v>
          </cell>
          <cell r="AM313" t="str">
            <v>Sopiyan sauri</v>
          </cell>
          <cell r="AN313" t="str">
            <v>BCA</v>
          </cell>
          <cell r="AO313">
            <v>2370273017</v>
          </cell>
          <cell r="CN313">
            <v>45509</v>
          </cell>
        </row>
        <row r="314">
          <cell r="H314" t="str">
            <v>AHMAD FAISAL</v>
          </cell>
          <cell r="I314" t="str">
            <v>General Service Attendant</v>
          </cell>
          <cell r="AM314" t="str">
            <v>AHMAD FAISAL</v>
          </cell>
          <cell r="AN314" t="str">
            <v>BCA</v>
          </cell>
          <cell r="AO314">
            <v>8720354722</v>
          </cell>
          <cell r="CN314">
            <v>45017</v>
          </cell>
        </row>
        <row r="315">
          <cell r="H315" t="str">
            <v>Ahmad Ghozali</v>
          </cell>
          <cell r="I315" t="str">
            <v>General Service Attendant</v>
          </cell>
          <cell r="AM315" t="str">
            <v>Ahmad Ghozali</v>
          </cell>
          <cell r="AN315" t="str">
            <v>BCA</v>
          </cell>
          <cell r="AO315">
            <v>2450940570</v>
          </cell>
          <cell r="CN315">
            <v>44859</v>
          </cell>
        </row>
        <row r="316">
          <cell r="H316" t="str">
            <v>Ahmad Hidayat</v>
          </cell>
          <cell r="I316" t="str">
            <v>Security Guard (Anggota)</v>
          </cell>
          <cell r="AM316" t="str">
            <v>Ahmad Hidayat</v>
          </cell>
          <cell r="AN316" t="str">
            <v>BRI</v>
          </cell>
          <cell r="AO316">
            <v>135901005088530</v>
          </cell>
          <cell r="CN316">
            <v>45749</v>
          </cell>
        </row>
        <row r="317">
          <cell r="H317" t="str">
            <v>Gunawan</v>
          </cell>
          <cell r="I317" t="str">
            <v>General Service Attendant</v>
          </cell>
          <cell r="AM317" t="str">
            <v>Gunawan</v>
          </cell>
          <cell r="AN317" t="str">
            <v>BCA</v>
          </cell>
          <cell r="AO317">
            <v>3741095902</v>
          </cell>
          <cell r="CN317">
            <v>44389</v>
          </cell>
        </row>
        <row r="318">
          <cell r="H318" t="str">
            <v>rikwan</v>
          </cell>
          <cell r="I318" t="str">
            <v>Cleaning Services (Anggota)</v>
          </cell>
          <cell r="AM318" t="str">
            <v>rikwan</v>
          </cell>
          <cell r="AN318" t="str">
            <v>BCA</v>
          </cell>
          <cell r="AO318">
            <v>8855638807</v>
          </cell>
          <cell r="CN318">
            <v>45107</v>
          </cell>
        </row>
        <row r="319">
          <cell r="H319" t="str">
            <v>SIGIT</v>
          </cell>
          <cell r="I319" t="str">
            <v>General Service Attendant</v>
          </cell>
          <cell r="AM319" t="str">
            <v>Sigit</v>
          </cell>
          <cell r="AN319" t="str">
            <v>BRI</v>
          </cell>
          <cell r="AO319">
            <v>413501024594537</v>
          </cell>
          <cell r="CN319">
            <v>45092</v>
          </cell>
        </row>
        <row r="320">
          <cell r="H320" t="str">
            <v>Diana Sinta</v>
          </cell>
          <cell r="I320" t="str">
            <v>Cleaning Services (Anggota)</v>
          </cell>
          <cell r="AM320" t="str">
            <v>Diana Sinta</v>
          </cell>
          <cell r="AN320" t="str">
            <v>BRI</v>
          </cell>
          <cell r="AO320">
            <v>80201078411534</v>
          </cell>
          <cell r="CN320">
            <v>45261</v>
          </cell>
        </row>
        <row r="321">
          <cell r="H321" t="str">
            <v>MAHADI</v>
          </cell>
          <cell r="I321" t="str">
            <v>General Service Attendant</v>
          </cell>
          <cell r="AM321" t="str">
            <v>Mahadi</v>
          </cell>
          <cell r="AN321" t="str">
            <v>BCA</v>
          </cell>
          <cell r="AO321">
            <v>3741186487</v>
          </cell>
          <cell r="CN321">
            <v>45748</v>
          </cell>
        </row>
        <row r="322">
          <cell r="H322" t="str">
            <v>Diki Abdullah</v>
          </cell>
          <cell r="I322" t="str">
            <v>Engineering</v>
          </cell>
          <cell r="AM322" t="str">
            <v xml:space="preserve">Diki Abdullah </v>
          </cell>
          <cell r="AN322" t="str">
            <v>BCA</v>
          </cell>
          <cell r="AO322">
            <v>1650933202</v>
          </cell>
          <cell r="CN322">
            <v>45016</v>
          </cell>
        </row>
        <row r="323">
          <cell r="H323" t="str">
            <v>Rivaldo Pedro Saputra</v>
          </cell>
          <cell r="I323" t="str">
            <v>General Service Attendant</v>
          </cell>
          <cell r="AM323" t="str">
            <v>Rivaldo Pedro Saputra</v>
          </cell>
          <cell r="AN323" t="str">
            <v>BCA</v>
          </cell>
          <cell r="AO323">
            <v>2000580492</v>
          </cell>
          <cell r="CN323">
            <v>43269</v>
          </cell>
        </row>
        <row r="324">
          <cell r="H324" t="str">
            <v>Aulia Nurpi Yanti</v>
          </cell>
          <cell r="I324" t="str">
            <v>FO dan Marketing</v>
          </cell>
          <cell r="AM324" t="str">
            <v>AULIA NURPI YANTI</v>
          </cell>
          <cell r="AN324" t="str">
            <v>BCA</v>
          </cell>
          <cell r="AO324">
            <v>5520436091</v>
          </cell>
          <cell r="CN324">
            <v>44515</v>
          </cell>
        </row>
        <row r="325">
          <cell r="H325" t="str">
            <v>Lusiana Indah Pradita</v>
          </cell>
          <cell r="I325" t="str">
            <v>National Sales Officer</v>
          </cell>
          <cell r="AM325" t="str">
            <v>Lusiana Indah Pradita</v>
          </cell>
          <cell r="AN325" t="str">
            <v>BCA</v>
          </cell>
          <cell r="AO325">
            <v>7401758864</v>
          </cell>
          <cell r="CN325">
            <v>45173</v>
          </cell>
        </row>
        <row r="326">
          <cell r="H326" t="str">
            <v>AHMAD YADI</v>
          </cell>
          <cell r="I326" t="str">
            <v>Security Guard (Anggota)</v>
          </cell>
          <cell r="AM326" t="str">
            <v>AHMAD YADI</v>
          </cell>
          <cell r="AN326" t="str">
            <v>MANDIRI</v>
          </cell>
          <cell r="AO326">
            <v>1120022399161</v>
          </cell>
          <cell r="CN326">
            <v>45770</v>
          </cell>
        </row>
        <row r="327">
          <cell r="H327" t="str">
            <v>Ivan Fadilah Rifayanto</v>
          </cell>
          <cell r="I327" t="str">
            <v>General Service Attendant</v>
          </cell>
          <cell r="AM327" t="str">
            <v xml:space="preserve">Ivan Fadilah Rifayanto </v>
          </cell>
          <cell r="AN327" t="str">
            <v>BCA</v>
          </cell>
          <cell r="AO327">
            <v>948527521</v>
          </cell>
          <cell r="CN327">
            <v>45170</v>
          </cell>
        </row>
        <row r="328">
          <cell r="H328" t="str">
            <v>Akhmad makhfud</v>
          </cell>
          <cell r="I328" t="str">
            <v>Cleaning Services (Anggota)</v>
          </cell>
          <cell r="AM328" t="str">
            <v xml:space="preserve">Akhmad makhfud </v>
          </cell>
          <cell r="AN328" t="str">
            <v>BRI</v>
          </cell>
          <cell r="AO328">
            <v>708301002510507</v>
          </cell>
          <cell r="CN328">
            <v>45748</v>
          </cell>
        </row>
        <row r="329">
          <cell r="H329" t="str">
            <v>Agus Waluyo</v>
          </cell>
          <cell r="I329" t="str">
            <v>Cleaning Services (Anggota)</v>
          </cell>
          <cell r="AM329" t="str">
            <v xml:space="preserve">Agus Waluyo </v>
          </cell>
          <cell r="AN329" t="str">
            <v>BRI</v>
          </cell>
          <cell r="AO329">
            <v>725401005539535</v>
          </cell>
          <cell r="CN329">
            <v>42720</v>
          </cell>
        </row>
        <row r="330">
          <cell r="H330" t="str">
            <v>Fuad ali riyanto</v>
          </cell>
          <cell r="I330" t="str">
            <v>Cleaning Services (Anggota)</v>
          </cell>
          <cell r="AM330" t="str">
            <v>Fuad Ali riyanto</v>
          </cell>
          <cell r="AN330" t="str">
            <v>BRI</v>
          </cell>
          <cell r="AO330">
            <v>68401021638505</v>
          </cell>
          <cell r="CN330">
            <v>42767</v>
          </cell>
        </row>
        <row r="331">
          <cell r="H331" t="str">
            <v>Reynaldi Prasetyo</v>
          </cell>
          <cell r="I331" t="str">
            <v>Engineering</v>
          </cell>
          <cell r="AM331" t="str">
            <v>Reynaldi Prasetyo</v>
          </cell>
          <cell r="AN331" t="str">
            <v>BCA</v>
          </cell>
          <cell r="AO331">
            <v>6560333658</v>
          </cell>
          <cell r="CN331">
            <v>45505</v>
          </cell>
        </row>
        <row r="332">
          <cell r="H332" t="str">
            <v>Anis choirunnisa</v>
          </cell>
          <cell r="I332" t="str">
            <v>Cleaning Services (Anggota)</v>
          </cell>
          <cell r="AM332" t="str">
            <v xml:space="preserve">Anis choirunnisa </v>
          </cell>
          <cell r="AN332" t="str">
            <v>BRI</v>
          </cell>
          <cell r="AO332" t="str">
            <v>47940103 9683 535</v>
          </cell>
          <cell r="CN332">
            <v>45748</v>
          </cell>
        </row>
        <row r="333">
          <cell r="H333" t="str">
            <v>Fitria Hariaty</v>
          </cell>
          <cell r="I333" t="str">
            <v>Administrator</v>
          </cell>
          <cell r="AM333" t="str">
            <v>Fitria Hariaty</v>
          </cell>
          <cell r="AN333" t="str">
            <v>BCA</v>
          </cell>
          <cell r="AO333">
            <v>6041954342</v>
          </cell>
          <cell r="CN333">
            <v>45776</v>
          </cell>
        </row>
        <row r="334">
          <cell r="H334" t="str">
            <v>Windah</v>
          </cell>
          <cell r="I334" t="str">
            <v>Cleaning Services (Anggota)</v>
          </cell>
          <cell r="AM334" t="str">
            <v>Windah</v>
          </cell>
          <cell r="AN334" t="str">
            <v>BNI</v>
          </cell>
          <cell r="AO334" t="str">
            <v>0684-01-021599-50-7</v>
          </cell>
          <cell r="CN334">
            <v>45748</v>
          </cell>
        </row>
        <row r="335">
          <cell r="H335" t="str">
            <v>Windah</v>
          </cell>
          <cell r="I335" t="str">
            <v>Cleaning Services (Anggota)</v>
          </cell>
          <cell r="AM335" t="str">
            <v>Windah</v>
          </cell>
          <cell r="AN335" t="str">
            <v>BRI</v>
          </cell>
          <cell r="AO335">
            <v>68401021599507</v>
          </cell>
          <cell r="CN335">
            <v>45748</v>
          </cell>
        </row>
        <row r="336">
          <cell r="H336" t="str">
            <v>Trikoyo</v>
          </cell>
          <cell r="I336" t="str">
            <v>Cleaning Services (Anggota)</v>
          </cell>
          <cell r="AM336" t="str">
            <v>TriKoyo</v>
          </cell>
          <cell r="AN336" t="str">
            <v>BCA</v>
          </cell>
          <cell r="AO336">
            <v>373756242</v>
          </cell>
          <cell r="CN336">
            <v>45748</v>
          </cell>
        </row>
        <row r="337">
          <cell r="H337" t="str">
            <v>Ahmad fajar zamzami</v>
          </cell>
          <cell r="I337" t="str">
            <v>Engginering</v>
          </cell>
          <cell r="AM337" t="str">
            <v>Ahmad fajar zamzami</v>
          </cell>
          <cell r="AN337" t="str">
            <v>BCA</v>
          </cell>
          <cell r="AO337">
            <v>680058946</v>
          </cell>
          <cell r="CN337">
            <v>45779</v>
          </cell>
        </row>
        <row r="338">
          <cell r="H338" t="str">
            <v>Edo Bagus Saputro</v>
          </cell>
          <cell r="I338" t="str">
            <v>Security Guard (Anggota)</v>
          </cell>
          <cell r="AM338" t="str">
            <v xml:space="preserve">Edo Bagus Saputro </v>
          </cell>
          <cell r="AN338" t="str">
            <v>MANDIRI</v>
          </cell>
          <cell r="AO338">
            <v>1440016577469</v>
          </cell>
          <cell r="CN338">
            <v>42785</v>
          </cell>
        </row>
        <row r="339">
          <cell r="H339" t="str">
            <v>Rino herdianto</v>
          </cell>
          <cell r="I339" t="str">
            <v>Engineering</v>
          </cell>
          <cell r="AM339" t="str">
            <v xml:space="preserve">Rino herdianto </v>
          </cell>
          <cell r="AN339" t="str">
            <v>BCA</v>
          </cell>
          <cell r="AO339">
            <v>941106268</v>
          </cell>
          <cell r="CN339">
            <v>45775</v>
          </cell>
        </row>
        <row r="340">
          <cell r="H340" t="str">
            <v>Ading suoarjo</v>
          </cell>
          <cell r="I340" t="str">
            <v>Security Guard (Anggota)</v>
          </cell>
          <cell r="AM340" t="str">
            <v>Ading suparjo</v>
          </cell>
          <cell r="AN340" t="str">
            <v>BCA</v>
          </cell>
          <cell r="AO340">
            <v>7746441231</v>
          </cell>
          <cell r="CN340">
            <v>45778</v>
          </cell>
        </row>
        <row r="341">
          <cell r="H341" t="str">
            <v>JEFRI JULIANDA</v>
          </cell>
          <cell r="I341" t="str">
            <v>Security Guard (Anggota)</v>
          </cell>
          <cell r="AM341" t="str">
            <v>JEFRI JULIANDA</v>
          </cell>
          <cell r="AN341" t="str">
            <v>BCA</v>
          </cell>
          <cell r="AO341">
            <v>7871251260</v>
          </cell>
          <cell r="CN341">
            <v>45778</v>
          </cell>
        </row>
        <row r="342">
          <cell r="H342" t="str">
            <v>NUZUL RAMADHAN</v>
          </cell>
          <cell r="I342" t="str">
            <v>Security Guard (Anggota)</v>
          </cell>
          <cell r="AM342" t="str">
            <v xml:space="preserve">Nuzul Ramadhan </v>
          </cell>
          <cell r="AN342" t="str">
            <v>BSI</v>
          </cell>
          <cell r="AO342">
            <v>7212899326</v>
          </cell>
          <cell r="CN342">
            <v>45778</v>
          </cell>
        </row>
        <row r="343">
          <cell r="H343" t="str">
            <v>RIZA MELIA PASARIBU</v>
          </cell>
          <cell r="I343" t="str">
            <v>Sales Promotion Attendant</v>
          </cell>
          <cell r="AM343" t="str">
            <v>RIZA MELIA PASARIBU</v>
          </cell>
          <cell r="AN343" t="str">
            <v>BCA</v>
          </cell>
          <cell r="AO343">
            <v>8415951333</v>
          </cell>
          <cell r="CN343">
            <v>45383</v>
          </cell>
        </row>
        <row r="344">
          <cell r="H344" t="str">
            <v>Eka Putri Durriyah</v>
          </cell>
          <cell r="I344" t="str">
            <v>Sales Promotion Attendant</v>
          </cell>
          <cell r="AM344" t="str">
            <v>Eka Putri Durriyah</v>
          </cell>
          <cell r="AN344" t="str">
            <v>BCA</v>
          </cell>
          <cell r="AO344">
            <v>3890770842</v>
          </cell>
          <cell r="CN344">
            <v>45796</v>
          </cell>
        </row>
        <row r="345">
          <cell r="H345" t="str">
            <v>Ivan Wibisono</v>
          </cell>
          <cell r="I345" t="str">
            <v>Teknisi</v>
          </cell>
          <cell r="AM345" t="str">
            <v>Ivan Wibisono</v>
          </cell>
          <cell r="AN345" t="str">
            <v>BCA</v>
          </cell>
          <cell r="AO345">
            <v>4120192669</v>
          </cell>
          <cell r="CN345">
            <v>44313</v>
          </cell>
        </row>
        <row r="346">
          <cell r="H346" t="str">
            <v>RIKO SETIAWAN</v>
          </cell>
          <cell r="I346" t="str">
            <v>General Service Attendant</v>
          </cell>
          <cell r="AM346" t="str">
            <v>RIKO SETIAWAN</v>
          </cell>
          <cell r="AN346" t="str">
            <v>BCA</v>
          </cell>
          <cell r="AO346">
            <v>5860297762</v>
          </cell>
          <cell r="CN346">
            <v>45444</v>
          </cell>
        </row>
        <row r="347">
          <cell r="H347" t="str">
            <v>TRIA SAPUTRI</v>
          </cell>
          <cell r="I347" t="str">
            <v>Front Officer</v>
          </cell>
          <cell r="AM347" t="str">
            <v>TRIA SAPUTRI</v>
          </cell>
          <cell r="AN347" t="str">
            <v>BCA</v>
          </cell>
          <cell r="AO347">
            <v>6975467019</v>
          </cell>
          <cell r="CN347">
            <v>45782</v>
          </cell>
        </row>
        <row r="348">
          <cell r="H348" t="str">
            <v>NILUH KETUT AQUARISNAMETRI</v>
          </cell>
          <cell r="I348" t="str">
            <v>Sales Promotion Attandance GLKU</v>
          </cell>
          <cell r="AM348" t="str">
            <v>NILUH KETUT AQUARISNAMETRI</v>
          </cell>
          <cell r="AN348" t="str">
            <v>BCA</v>
          </cell>
          <cell r="AO348">
            <v>490377859</v>
          </cell>
          <cell r="CN348">
            <v>45444</v>
          </cell>
        </row>
        <row r="349">
          <cell r="H349" t="str">
            <v>Nur Rizqi Alwandy</v>
          </cell>
          <cell r="I349" t="str">
            <v>Checker</v>
          </cell>
          <cell r="AM349" t="str">
            <v>Nur Rizqi Alwandy</v>
          </cell>
          <cell r="AN349" t="str">
            <v>BCA</v>
          </cell>
          <cell r="AO349">
            <v>7485045317</v>
          </cell>
          <cell r="CN349">
            <v>45782</v>
          </cell>
        </row>
        <row r="350">
          <cell r="H350" t="str">
            <v>Hasan basri</v>
          </cell>
          <cell r="I350" t="str">
            <v>Security Guard (Anggota)</v>
          </cell>
          <cell r="AM350" t="str">
            <v xml:space="preserve">Hasan basri </v>
          </cell>
          <cell r="AN350" t="str">
            <v>BCA</v>
          </cell>
          <cell r="AO350">
            <v>8700100597</v>
          </cell>
          <cell r="CN350">
            <v>45786</v>
          </cell>
        </row>
        <row r="351">
          <cell r="H351" t="str">
            <v>Dzawil Fahmi Maulana</v>
          </cell>
          <cell r="I351" t="str">
            <v>Security Guard (Anggota)</v>
          </cell>
          <cell r="AM351" t="str">
            <v xml:space="preserve">Dzawil Fahmi Maulana </v>
          </cell>
          <cell r="AN351" t="str">
            <v>BCA</v>
          </cell>
          <cell r="AO351">
            <v>7805370041</v>
          </cell>
          <cell r="CN351">
            <v>45787</v>
          </cell>
        </row>
        <row r="352">
          <cell r="H352" t="str">
            <v>FAUZIA HASANAH ZULFADLIL</v>
          </cell>
          <cell r="I352" t="str">
            <v>Administrator</v>
          </cell>
          <cell r="AM352" t="str">
            <v>Fauzia hasanah zulfadlil</v>
          </cell>
          <cell r="AN352" t="str">
            <v>BCA</v>
          </cell>
          <cell r="AO352">
            <v>321965465</v>
          </cell>
          <cell r="CN352">
            <v>45790</v>
          </cell>
        </row>
        <row r="353">
          <cell r="H353" t="str">
            <v>Usman firlana sujarwo</v>
          </cell>
          <cell r="I353" t="str">
            <v>Checker</v>
          </cell>
          <cell r="AM353" t="str">
            <v xml:space="preserve">Usman firlana sujarwo </v>
          </cell>
          <cell r="AN353" t="str">
            <v>BCA</v>
          </cell>
          <cell r="AO353">
            <v>6801333866</v>
          </cell>
          <cell r="CN353">
            <v>45791</v>
          </cell>
        </row>
        <row r="354">
          <cell r="H354" t="str">
            <v>MARIO IMMANUEL P</v>
          </cell>
          <cell r="I354" t="str">
            <v>General Service Attendant</v>
          </cell>
          <cell r="AM354" t="str">
            <v>MARIO IMMANUEL P</v>
          </cell>
          <cell r="AN354" t="str">
            <v>MANDIRI</v>
          </cell>
          <cell r="AO354">
            <v>1490016833412</v>
          </cell>
          <cell r="CN354">
            <v>45778</v>
          </cell>
        </row>
        <row r="355">
          <cell r="H355" t="str">
            <v>NINAWATI</v>
          </cell>
          <cell r="I355" t="str">
            <v>Security Guard (Anggota)</v>
          </cell>
          <cell r="AM355" t="str">
            <v>NINAWATI</v>
          </cell>
          <cell r="AN355" t="str">
            <v>BCA</v>
          </cell>
          <cell r="AO355">
            <v>1092174641</v>
          </cell>
          <cell r="CN355">
            <v>45793</v>
          </cell>
        </row>
        <row r="356">
          <cell r="H356" t="str">
            <v>Mardhika Tri Wibowo</v>
          </cell>
          <cell r="I356" t="str">
            <v>Cleaning Services (Anggota)</v>
          </cell>
          <cell r="AM356" t="str">
            <v xml:space="preserve">Mardhika Tri Wibowo </v>
          </cell>
          <cell r="AN356" t="str">
            <v>MANDIRI</v>
          </cell>
          <cell r="AO356">
            <v>60011833443</v>
          </cell>
          <cell r="CN356">
            <v>45793</v>
          </cell>
        </row>
        <row r="357">
          <cell r="H357" t="str">
            <v>Hafilah Pebri Yanti</v>
          </cell>
          <cell r="I357" t="str">
            <v>Cleaning Services (Anggota)</v>
          </cell>
          <cell r="AM357" t="str">
            <v>Hafilah Pebri Yanti</v>
          </cell>
          <cell r="AN357" t="str">
            <v>BRI</v>
          </cell>
          <cell r="AO357">
            <v>158001006010505</v>
          </cell>
          <cell r="CN357">
            <v>45793</v>
          </cell>
        </row>
        <row r="358">
          <cell r="H358" t="str">
            <v>Ramonda Cizhaya Febriansyah Putra</v>
          </cell>
          <cell r="I358" t="str">
            <v>Cleaning Services (Anggota)</v>
          </cell>
          <cell r="AM358" t="str">
            <v>Yoko Mariahi</v>
          </cell>
          <cell r="AN358" t="str">
            <v>BCA</v>
          </cell>
          <cell r="AO358">
            <v>8267059602</v>
          </cell>
          <cell r="CN358">
            <v>45778</v>
          </cell>
        </row>
        <row r="359">
          <cell r="H359" t="str">
            <v>Haryati</v>
          </cell>
          <cell r="I359" t="str">
            <v>Cleaning Services (Anggota)</v>
          </cell>
          <cell r="AM359" t="str">
            <v>Haryati</v>
          </cell>
          <cell r="AN359" t="str">
            <v>BRI</v>
          </cell>
          <cell r="AO359">
            <v>157901017676509</v>
          </cell>
          <cell r="CN359">
            <v>44989</v>
          </cell>
        </row>
        <row r="360">
          <cell r="H360" t="str">
            <v>Asep Awaludin</v>
          </cell>
          <cell r="I360" t="str">
            <v>Cleaning Services (Anggota)</v>
          </cell>
          <cell r="AM360" t="str">
            <v xml:space="preserve">Asep Awaludin </v>
          </cell>
          <cell r="AN360" t="str">
            <v>MANDIRI</v>
          </cell>
          <cell r="AO360">
            <v>1730006646997</v>
          </cell>
          <cell r="CN360">
            <v>44743</v>
          </cell>
        </row>
        <row r="361">
          <cell r="H361" t="str">
            <v>WAHYU</v>
          </cell>
          <cell r="I361" t="str">
            <v>Team leader</v>
          </cell>
          <cell r="AM361" t="str">
            <v xml:space="preserve">WAHYU </v>
          </cell>
          <cell r="AN361" t="str">
            <v>BRI</v>
          </cell>
          <cell r="AO361">
            <v>68401022302505</v>
          </cell>
          <cell r="CN361">
            <v>42639</v>
          </cell>
        </row>
        <row r="362">
          <cell r="H362" t="str">
            <v>Vava yoga pratama</v>
          </cell>
          <cell r="I362" t="str">
            <v>Cleaning Services (Anggota)</v>
          </cell>
          <cell r="AM362" t="str">
            <v>VAVA YOGA PRATAMA</v>
          </cell>
          <cell r="AN362" t="str">
            <v>BRI</v>
          </cell>
          <cell r="AO362">
            <v>68401033887506</v>
          </cell>
          <cell r="CN362">
            <v>44065</v>
          </cell>
        </row>
        <row r="363">
          <cell r="H363" t="str">
            <v>DENI RUKMANA</v>
          </cell>
          <cell r="I363" t="str">
            <v>Security Guard (Anggota)</v>
          </cell>
          <cell r="AM363" t="str">
            <v xml:space="preserve">DENI RUKMANA </v>
          </cell>
          <cell r="AN363" t="str">
            <v>MANDIRI</v>
          </cell>
          <cell r="AO363">
            <v>1730012940897</v>
          </cell>
          <cell r="CN363">
            <v>42644</v>
          </cell>
        </row>
        <row r="364">
          <cell r="H364" t="str">
            <v>SAMSUDIN</v>
          </cell>
          <cell r="I364" t="str">
            <v>Cleaning Services (Anggota)</v>
          </cell>
          <cell r="AM364" t="str">
            <v xml:space="preserve">SAMSUDIN </v>
          </cell>
          <cell r="AN364" t="str">
            <v>BRI</v>
          </cell>
          <cell r="AO364">
            <v>68401022305503</v>
          </cell>
          <cell r="CN364">
            <v>42644</v>
          </cell>
        </row>
        <row r="365">
          <cell r="H365" t="str">
            <v>Siti rokayah</v>
          </cell>
          <cell r="I365" t="str">
            <v>Security Guard (Anggota)</v>
          </cell>
          <cell r="AM365" t="str">
            <v xml:space="preserve">Siti rokayah </v>
          </cell>
          <cell r="AN365" t="str">
            <v>MANDIRI</v>
          </cell>
          <cell r="AO365">
            <v>1730005247599</v>
          </cell>
          <cell r="CN365">
            <v>45261</v>
          </cell>
        </row>
        <row r="366">
          <cell r="H366" t="str">
            <v>UCI</v>
          </cell>
          <cell r="I366" t="str">
            <v>Security (Danru)</v>
          </cell>
          <cell r="AM366" t="str">
            <v>UCI</v>
          </cell>
          <cell r="AN366" t="str">
            <v>MANDIRI</v>
          </cell>
          <cell r="AO366">
            <v>1230007453014</v>
          </cell>
          <cell r="CN366">
            <v>43466</v>
          </cell>
        </row>
        <row r="367">
          <cell r="H367" t="str">
            <v>Eko Nurohim</v>
          </cell>
          <cell r="I367" t="str">
            <v>Security Guard (Anggota)</v>
          </cell>
          <cell r="AM367" t="str">
            <v>Eko Nurohim</v>
          </cell>
          <cell r="AN367" t="str">
            <v>MANDIRI</v>
          </cell>
          <cell r="AO367">
            <v>1730013466215</v>
          </cell>
          <cell r="CN367">
            <v>44870</v>
          </cell>
        </row>
        <row r="368">
          <cell r="H368" t="str">
            <v>ASEP BUDIMAN</v>
          </cell>
          <cell r="I368" t="str">
            <v>Security Guard (Anggota)</v>
          </cell>
          <cell r="AM368" t="str">
            <v>ASEP BUDIMAN</v>
          </cell>
          <cell r="AN368" t="str">
            <v>MANDIRI</v>
          </cell>
          <cell r="AO368">
            <v>1730017685604</v>
          </cell>
          <cell r="CN368">
            <v>45647</v>
          </cell>
        </row>
        <row r="369">
          <cell r="H369" t="str">
            <v>Hidayattulloh jamali</v>
          </cell>
          <cell r="I369" t="str">
            <v>Security Guard (Anggota)</v>
          </cell>
          <cell r="AM369" t="str">
            <v>Hidayatulloh</v>
          </cell>
          <cell r="AN369" t="str">
            <v>MANDIRI</v>
          </cell>
          <cell r="AO369" t="str">
            <v>173-00-1305933-3</v>
          </cell>
          <cell r="CN369">
            <v>45689</v>
          </cell>
        </row>
        <row r="370">
          <cell r="H370" t="str">
            <v>Naufal Rafi Wibowo</v>
          </cell>
          <cell r="I370" t="str">
            <v>General Service Attendant</v>
          </cell>
          <cell r="AM370" t="str">
            <v>Naufal Rafi Wibowo</v>
          </cell>
          <cell r="AN370" t="str">
            <v>BCA</v>
          </cell>
          <cell r="AO370">
            <v>8360486452</v>
          </cell>
          <cell r="CN370">
            <v>45796</v>
          </cell>
        </row>
        <row r="371">
          <cell r="H371" t="str">
            <v>IJAN PRIYADI</v>
          </cell>
          <cell r="I371" t="str">
            <v>Security Guard (Anggota)</v>
          </cell>
          <cell r="AM371" t="str">
            <v xml:space="preserve">IJAN PRIYADI </v>
          </cell>
          <cell r="AN371" t="str">
            <v>MANDIRI</v>
          </cell>
          <cell r="AO371" t="str">
            <v>156-00-1941254-5</v>
          </cell>
          <cell r="CN371">
            <v>45689</v>
          </cell>
        </row>
        <row r="372">
          <cell r="H372" t="str">
            <v>FADLI ALAMSYAH</v>
          </cell>
          <cell r="I372" t="str">
            <v>Security Guard (Anggota)</v>
          </cell>
          <cell r="AM372" t="str">
            <v>FADLI ALAMSYAH</v>
          </cell>
          <cell r="AN372" t="str">
            <v>BCA</v>
          </cell>
          <cell r="AO372">
            <v>2028223990</v>
          </cell>
          <cell r="CN372">
            <v>45778</v>
          </cell>
        </row>
        <row r="373">
          <cell r="H373" t="str">
            <v>TABLIK SYAHZIHAN</v>
          </cell>
          <cell r="I373" t="str">
            <v>General Service Attendant</v>
          </cell>
          <cell r="AM373" t="str">
            <v>TABLIK SYAHZIHAN</v>
          </cell>
          <cell r="AN373" t="str">
            <v>MANDIRI</v>
          </cell>
          <cell r="AO373">
            <v>310019795205</v>
          </cell>
          <cell r="CN373">
            <v>45809</v>
          </cell>
        </row>
        <row r="374">
          <cell r="H374" t="str">
            <v>kristina sitanggang</v>
          </cell>
          <cell r="I374" t="str">
            <v>Checker</v>
          </cell>
          <cell r="AM374" t="str">
            <v>KRISTINA SITANGGANG</v>
          </cell>
          <cell r="AN374" t="str">
            <v>BCA</v>
          </cell>
          <cell r="AO374">
            <v>7780125866</v>
          </cell>
          <cell r="CN374">
            <v>45779</v>
          </cell>
        </row>
        <row r="375">
          <cell r="H375" t="str">
            <v>ALEX SALENCO MANIK</v>
          </cell>
          <cell r="I375" t="str">
            <v>Sales Promotion Attendant</v>
          </cell>
          <cell r="AM375" t="str">
            <v>ALEX SALENCO MANIK</v>
          </cell>
          <cell r="AN375" t="str">
            <v>BCA</v>
          </cell>
          <cell r="AO375">
            <v>8075280757</v>
          </cell>
          <cell r="CN375">
            <v>45444</v>
          </cell>
        </row>
        <row r="376">
          <cell r="H376" t="str">
            <v>Mohammad Rizky Dharmawan</v>
          </cell>
          <cell r="I376" t="str">
            <v>Sales Promotion Attendant</v>
          </cell>
          <cell r="AM376" t="str">
            <v>MOHAMMAD RIZKY DHARMAWAN</v>
          </cell>
          <cell r="AN376" t="str">
            <v>BCA</v>
          </cell>
          <cell r="AO376">
            <v>8720816653</v>
          </cell>
          <cell r="CN376">
            <v>45444</v>
          </cell>
        </row>
        <row r="377">
          <cell r="H377" t="str">
            <v>Muhammad Hafid Herdiyanto</v>
          </cell>
          <cell r="I377" t="str">
            <v>Security Guard (Anggota)</v>
          </cell>
          <cell r="AM377" t="str">
            <v>Muhammad Hafid Herdiyanto</v>
          </cell>
          <cell r="AN377" t="str">
            <v>BCA</v>
          </cell>
          <cell r="AO377">
            <v>7815547551</v>
          </cell>
          <cell r="CN377">
            <v>45803</v>
          </cell>
        </row>
        <row r="378">
          <cell r="H378" t="str">
            <v>Yohanes purnama</v>
          </cell>
          <cell r="I378" t="str">
            <v>Security Guard (Anggota)</v>
          </cell>
          <cell r="AM378" t="str">
            <v xml:space="preserve">Yohanes purnama </v>
          </cell>
          <cell r="AN378" t="str">
            <v>BRI</v>
          </cell>
          <cell r="AO378">
            <v>57101019389507</v>
          </cell>
          <cell r="CN378">
            <v>45774</v>
          </cell>
        </row>
        <row r="379">
          <cell r="H379" t="str">
            <v>Rafly Aji Zakaria</v>
          </cell>
          <cell r="I379" t="str">
            <v>Sales Promotion Attendant</v>
          </cell>
          <cell r="AM379" t="str">
            <v>Rafly Aji Zakaria</v>
          </cell>
          <cell r="AN379" t="str">
            <v>BCA</v>
          </cell>
          <cell r="AO379">
            <v>6890287105</v>
          </cell>
          <cell r="CN379">
            <v>45809</v>
          </cell>
        </row>
        <row r="380">
          <cell r="H380" t="str">
            <v>ANTON PRIANTO</v>
          </cell>
          <cell r="I380" t="str">
            <v>Sales Promotion Attendant</v>
          </cell>
          <cell r="AM380" t="str">
            <v>ANTON PRIANTO</v>
          </cell>
          <cell r="AN380" t="str">
            <v>BCA</v>
          </cell>
          <cell r="AO380">
            <v>3850748682</v>
          </cell>
          <cell r="CN380">
            <v>45809</v>
          </cell>
        </row>
        <row r="381">
          <cell r="H381" t="str">
            <v>Husaini</v>
          </cell>
          <cell r="I381" t="str">
            <v>Security Guard (Anggota)</v>
          </cell>
          <cell r="AM381" t="str">
            <v>Husaini</v>
          </cell>
          <cell r="AN381" t="str">
            <v>BCA</v>
          </cell>
          <cell r="AO381">
            <v>8705560524</v>
          </cell>
          <cell r="CN381">
            <v>45792</v>
          </cell>
        </row>
        <row r="382">
          <cell r="H382" t="str">
            <v>RIANSYAH</v>
          </cell>
          <cell r="I382" t="str">
            <v>Security Guard (Anggota)</v>
          </cell>
          <cell r="AM382" t="str">
            <v>RIANSYAH</v>
          </cell>
          <cell r="AN382" t="str">
            <v>BCA</v>
          </cell>
          <cell r="AO382">
            <v>3000661570</v>
          </cell>
          <cell r="CN382">
            <v>45800</v>
          </cell>
        </row>
        <row r="383">
          <cell r="H383" t="str">
            <v>ABDURRAHMAN</v>
          </cell>
          <cell r="I383" t="str">
            <v>Cleaning Services (Anggota)</v>
          </cell>
          <cell r="AM383" t="str">
            <v>ABDURRAHMAN</v>
          </cell>
          <cell r="AN383" t="str">
            <v>BCA</v>
          </cell>
          <cell r="AO383">
            <v>1912046677</v>
          </cell>
          <cell r="CN383">
            <v>45804</v>
          </cell>
        </row>
        <row r="384">
          <cell r="H384" t="str">
            <v>YUSRIL AHMAD ZAKKA</v>
          </cell>
          <cell r="I384" t="str">
            <v>Security Guard (Anggota)</v>
          </cell>
          <cell r="AM384" t="str">
            <v>YUSRIL AHMAD ZAKKA</v>
          </cell>
          <cell r="AN384" t="str">
            <v>BRI</v>
          </cell>
          <cell r="AO384">
            <v>630901025558531</v>
          </cell>
          <cell r="CN384">
            <v>45810</v>
          </cell>
        </row>
        <row r="385">
          <cell r="H385" t="str">
            <v>Andika Rama Deswiriyanto</v>
          </cell>
          <cell r="I385" t="str">
            <v>Front Officer</v>
          </cell>
          <cell r="AM385" t="str">
            <v>Andika Rama Deswiriyanto</v>
          </cell>
          <cell r="AN385" t="str">
            <v>BCA</v>
          </cell>
          <cell r="AO385">
            <v>1170988741</v>
          </cell>
          <cell r="CN385">
            <v>45810</v>
          </cell>
        </row>
        <row r="386">
          <cell r="H386" t="str">
            <v>Marlina</v>
          </cell>
          <cell r="I386" t="str">
            <v>Administrator</v>
          </cell>
          <cell r="AM386" t="str">
            <v>Marlina</v>
          </cell>
          <cell r="AN386" t="str">
            <v>MANDIRI</v>
          </cell>
          <cell r="AO386">
            <v>1630004361856</v>
          </cell>
          <cell r="CN386">
            <v>45811</v>
          </cell>
        </row>
        <row r="387">
          <cell r="H387" t="str">
            <v>BINTANG VALENTYNO</v>
          </cell>
          <cell r="I387" t="str">
            <v>General Service Attendant</v>
          </cell>
          <cell r="AM387" t="str">
            <v>BINTANG VALENTYNO</v>
          </cell>
          <cell r="AN387" t="str">
            <v>MANDIRI</v>
          </cell>
          <cell r="AO387">
            <v>1110021466137</v>
          </cell>
          <cell r="CN387">
            <v>45813</v>
          </cell>
        </row>
        <row r="388">
          <cell r="H388" t="str">
            <v>Aqfah Khairun Nafisah</v>
          </cell>
          <cell r="I388" t="str">
            <v>Cleaning Services (Anggota)</v>
          </cell>
          <cell r="AM388" t="str">
            <v xml:space="preserve">Aqfah Khairun Nafisah </v>
          </cell>
          <cell r="AN388" t="str">
            <v>BCA</v>
          </cell>
          <cell r="AO388">
            <v>4960282481</v>
          </cell>
          <cell r="CN388">
            <v>45816</v>
          </cell>
        </row>
        <row r="389">
          <cell r="H389" t="str">
            <v>Selastio Ponco</v>
          </cell>
          <cell r="I389" t="str">
            <v>Security Guard (Anggota)</v>
          </cell>
          <cell r="AM389" t="str">
            <v xml:space="preserve">Selastio Ponco </v>
          </cell>
          <cell r="AN389" t="str">
            <v>BSI</v>
          </cell>
          <cell r="AO389">
            <v>7125636343</v>
          </cell>
          <cell r="CN389">
            <v>45816</v>
          </cell>
        </row>
        <row r="390">
          <cell r="H390" t="str">
            <v>Rizal setiyawan</v>
          </cell>
          <cell r="I390" t="str">
            <v>Security Guard (Anggota)</v>
          </cell>
          <cell r="AM390" t="str">
            <v>Rizal setiyawan</v>
          </cell>
          <cell r="AN390" t="str">
            <v>BNI</v>
          </cell>
          <cell r="AO390">
            <v>1134161594</v>
          </cell>
          <cell r="CN390">
            <v>45811</v>
          </cell>
        </row>
        <row r="391">
          <cell r="H391" t="str">
            <v>IMAN HAMIMAN</v>
          </cell>
          <cell r="I391" t="str">
            <v>Security Guard (Anggota)</v>
          </cell>
          <cell r="AM391" t="str">
            <v>IMAN HAMIMAN</v>
          </cell>
          <cell r="AN391" t="str">
            <v>BCA</v>
          </cell>
          <cell r="AO391">
            <v>382890751</v>
          </cell>
          <cell r="CN391">
            <v>45809</v>
          </cell>
        </row>
        <row r="392">
          <cell r="H392" t="str">
            <v>Anita Putri Retfi</v>
          </cell>
          <cell r="I392" t="str">
            <v>Sales Promotion Attendant</v>
          </cell>
          <cell r="AM392" t="str">
            <v>Anita Putri Retfi</v>
          </cell>
          <cell r="AN392" t="str">
            <v>BCA</v>
          </cell>
          <cell r="AO392">
            <v>1672427384</v>
          </cell>
          <cell r="CN392">
            <v>45835</v>
          </cell>
        </row>
        <row r="393">
          <cell r="H393" t="str">
            <v>Ibrahim Arthoriq</v>
          </cell>
          <cell r="I393" t="str">
            <v>Sales Promotion Attendant</v>
          </cell>
          <cell r="AM393" t="str">
            <v>IBRAHIM ARTHORIQ</v>
          </cell>
          <cell r="AN393" t="str">
            <v>BCA</v>
          </cell>
          <cell r="AO393">
            <v>5885267961</v>
          </cell>
          <cell r="CN393">
            <v>45835</v>
          </cell>
        </row>
        <row r="394">
          <cell r="H394" t="str">
            <v>Calvin Giovani Rumengan</v>
          </cell>
          <cell r="I394" t="str">
            <v>Sales Promotion Attendant</v>
          </cell>
          <cell r="AM394" t="str">
            <v>Calvin Giovani Rumengan</v>
          </cell>
          <cell r="AN394" t="str">
            <v>BCA</v>
          </cell>
          <cell r="AO394">
            <v>262931534</v>
          </cell>
          <cell r="CN394">
            <v>45835</v>
          </cell>
        </row>
        <row r="395">
          <cell r="H395" t="str">
            <v>Muhamad ridwan fajrah</v>
          </cell>
          <cell r="I395" t="str">
            <v>Sales Promotion Attendant</v>
          </cell>
          <cell r="AM395" t="str">
            <v>Muhamad ridwan fajrah</v>
          </cell>
          <cell r="AN395" t="str">
            <v>BCA</v>
          </cell>
          <cell r="AO395">
            <v>7105023847</v>
          </cell>
          <cell r="CN395">
            <v>45261</v>
          </cell>
        </row>
        <row r="396">
          <cell r="H396" t="str">
            <v>Indah Nur Hidayah</v>
          </cell>
          <cell r="I396" t="str">
            <v>Sales Promotion Attendant</v>
          </cell>
          <cell r="AM396" t="str">
            <v>Indah Nur Hidayah</v>
          </cell>
          <cell r="AN396" t="str">
            <v>BCA</v>
          </cell>
          <cell r="AO396">
            <v>5260797915</v>
          </cell>
          <cell r="CN396">
            <v>45835</v>
          </cell>
        </row>
        <row r="397">
          <cell r="H397" t="str">
            <v>Johanna Gracia Tampubolon</v>
          </cell>
          <cell r="I397" t="str">
            <v>Sales Promotion Attendant</v>
          </cell>
          <cell r="AM397" t="str">
            <v xml:space="preserve">Maya Meinawati </v>
          </cell>
          <cell r="AN397" t="str">
            <v>BCA</v>
          </cell>
          <cell r="AO397">
            <v>6565378761</v>
          </cell>
          <cell r="CN397">
            <v>45835</v>
          </cell>
        </row>
        <row r="398">
          <cell r="H398" t="str">
            <v>LARAS MULYONO</v>
          </cell>
          <cell r="I398" t="str">
            <v>Security Guard (Anggota)</v>
          </cell>
          <cell r="AM398" t="str">
            <v>LARAS MULYONO</v>
          </cell>
          <cell r="AN398" t="str">
            <v>BRI</v>
          </cell>
          <cell r="AO398">
            <v>28501028566531</v>
          </cell>
          <cell r="CN398">
            <v>45823</v>
          </cell>
        </row>
        <row r="399">
          <cell r="H399" t="str">
            <v>Anjaina Permata Hia</v>
          </cell>
          <cell r="I399" t="str">
            <v>Sales Promotion Attendant</v>
          </cell>
          <cell r="AM399" t="str">
            <v>Anjaina permata hia</v>
          </cell>
          <cell r="AN399" t="str">
            <v>BCA</v>
          </cell>
          <cell r="AO399">
            <v>8115352128</v>
          </cell>
          <cell r="CN399">
            <v>45091</v>
          </cell>
        </row>
        <row r="400">
          <cell r="H400" t="str">
            <v>Fandi Ahmad Setyawan</v>
          </cell>
          <cell r="I400" t="str">
            <v>Costumer Services</v>
          </cell>
          <cell r="AM400" t="str">
            <v>Fandi Ahmad Setyawan</v>
          </cell>
          <cell r="AN400" t="str">
            <v>BCA</v>
          </cell>
          <cell r="AO400">
            <v>4740563110</v>
          </cell>
          <cell r="CN400">
            <v>45831</v>
          </cell>
        </row>
        <row r="401">
          <cell r="H401" t="str">
            <v>Yosephin Alodia Anindyakarla</v>
          </cell>
          <cell r="I401" t="str">
            <v>Front Officer</v>
          </cell>
          <cell r="AM401" t="str">
            <v>Yosephin Alodia A</v>
          </cell>
          <cell r="AN401" t="str">
            <v>BCA</v>
          </cell>
          <cell r="AO401" t="str">
            <v>846-600-6268</v>
          </cell>
          <cell r="CN401">
            <v>45824</v>
          </cell>
        </row>
        <row r="402">
          <cell r="H402" t="str">
            <v>Faraditya Wahyu Fauzan</v>
          </cell>
          <cell r="I402" t="str">
            <v>Sales Promotion Attendant</v>
          </cell>
          <cell r="AM402" t="str">
            <v>FARADITYA WAHYU FAUZAN</v>
          </cell>
          <cell r="AN402" t="str">
            <v>BCA</v>
          </cell>
          <cell r="AO402">
            <v>5010702455</v>
          </cell>
          <cell r="CN402">
            <v>45835</v>
          </cell>
        </row>
        <row r="403">
          <cell r="H403" t="str">
            <v>Rina Suci Adipratiwi</v>
          </cell>
          <cell r="I403" t="str">
            <v>FO dan Marketing</v>
          </cell>
          <cell r="AM403" t="str">
            <v>Rina Suci Adipratiwi</v>
          </cell>
          <cell r="AN403" t="str">
            <v>BCA</v>
          </cell>
          <cell r="AO403">
            <v>4220648511</v>
          </cell>
          <cell r="CN403">
            <v>45818</v>
          </cell>
        </row>
        <row r="404">
          <cell r="H404" t="str">
            <v>Fitriana</v>
          </cell>
          <cell r="I404" t="str">
            <v>Cleaning Services (Anggota)</v>
          </cell>
          <cell r="AM404" t="str">
            <v>Fitriana</v>
          </cell>
          <cell r="AN404" t="str">
            <v>BCA</v>
          </cell>
          <cell r="AO404">
            <v>3420097165</v>
          </cell>
          <cell r="CN404">
            <v>45826</v>
          </cell>
        </row>
        <row r="405">
          <cell r="H405" t="str">
            <v>Rizki Maulana</v>
          </cell>
          <cell r="I405" t="str">
            <v>Sales Promotion Attendant</v>
          </cell>
          <cell r="AM405" t="str">
            <v xml:space="preserve">Rizki Maulana </v>
          </cell>
          <cell r="AN405" t="str">
            <v>BSI</v>
          </cell>
          <cell r="AO405">
            <v>7313489145</v>
          </cell>
          <cell r="CN405">
            <v>45835</v>
          </cell>
        </row>
        <row r="406">
          <cell r="H406" t="str">
            <v>Ferawaty Aprilia Putri</v>
          </cell>
          <cell r="I406" t="str">
            <v>Sales Promotion Attendant</v>
          </cell>
          <cell r="AM406" t="str">
            <v xml:space="preserve">Ferawaty Aprilia Putri </v>
          </cell>
          <cell r="AN406" t="str">
            <v>BCA</v>
          </cell>
          <cell r="AO406">
            <v>263197281</v>
          </cell>
          <cell r="CN406">
            <v>45835</v>
          </cell>
        </row>
        <row r="407">
          <cell r="H407" t="str">
            <v>Siti Sarah</v>
          </cell>
          <cell r="I407" t="str">
            <v>Sales Promotion Attendant</v>
          </cell>
          <cell r="AM407" t="str">
            <v>Siti Sarah</v>
          </cell>
          <cell r="AN407" t="str">
            <v>BCA</v>
          </cell>
          <cell r="AO407">
            <v>7360715650</v>
          </cell>
          <cell r="CN407">
            <v>44987</v>
          </cell>
        </row>
        <row r="408">
          <cell r="H408" t="str">
            <v>tri sari ageng</v>
          </cell>
          <cell r="I408" t="str">
            <v>Sales Promotion Attendant</v>
          </cell>
          <cell r="AM408" t="str">
            <v>tri sari ageng</v>
          </cell>
          <cell r="AN408" t="str">
            <v>MANDIRI</v>
          </cell>
          <cell r="AO408">
            <v>1030006998518</v>
          </cell>
          <cell r="CN408">
            <v>45827</v>
          </cell>
        </row>
        <row r="409">
          <cell r="H409" t="str">
            <v>sri mulyani</v>
          </cell>
          <cell r="I409" t="str">
            <v>Sales Promotion Attendant</v>
          </cell>
          <cell r="AM409" t="str">
            <v>Sri mulyani</v>
          </cell>
          <cell r="AN409" t="str">
            <v>BCA</v>
          </cell>
          <cell r="AO409">
            <v>2110430178</v>
          </cell>
          <cell r="CN409">
            <v>45835</v>
          </cell>
        </row>
        <row r="410">
          <cell r="H410" t="str">
            <v>FERI SETIAWAN</v>
          </cell>
          <cell r="I410" t="str">
            <v>Sales Promotion Attendant</v>
          </cell>
          <cell r="AM410" t="str">
            <v>FERI SETIAWAN</v>
          </cell>
          <cell r="AN410" t="str">
            <v>BCA</v>
          </cell>
          <cell r="AO410">
            <v>4731596276</v>
          </cell>
          <cell r="CN410">
            <v>45835</v>
          </cell>
        </row>
        <row r="411">
          <cell r="H411" t="str">
            <v>Muhchamat Jafarudin</v>
          </cell>
          <cell r="I411" t="str">
            <v>Security Guard (Anggota)</v>
          </cell>
          <cell r="AM411" t="str">
            <v xml:space="preserve">MUHCHAMAT JAFARUDIN </v>
          </cell>
          <cell r="AN411" t="str">
            <v>MANDIRI</v>
          </cell>
          <cell r="AO411">
            <v>1380022563857</v>
          </cell>
          <cell r="CN411">
            <v>45822</v>
          </cell>
        </row>
        <row r="412">
          <cell r="H412" t="str">
            <v>MUHCHAMAT JAFARUDIN</v>
          </cell>
          <cell r="I412" t="str">
            <v>Security Guard (Anggota)</v>
          </cell>
          <cell r="AM412" t="str">
            <v xml:space="preserve">MUHCHAMAT JAFARUDIN </v>
          </cell>
          <cell r="AN412" t="str">
            <v>MANDIRI</v>
          </cell>
          <cell r="AO412">
            <v>1380022563857</v>
          </cell>
          <cell r="CN412">
            <v>45822</v>
          </cell>
        </row>
        <row r="413">
          <cell r="H413" t="str">
            <v>Anas muzakcy</v>
          </cell>
          <cell r="I413" t="str">
            <v>Security Guard (Anggota)</v>
          </cell>
          <cell r="AM413" t="str">
            <v>Anas muzakcy</v>
          </cell>
          <cell r="AN413" t="str">
            <v>BRI</v>
          </cell>
          <cell r="AO413">
            <v>228301008305503</v>
          </cell>
          <cell r="CN413">
            <v>45829</v>
          </cell>
        </row>
        <row r="414">
          <cell r="H414" t="str">
            <v>TAUFIKUR ROHMAN</v>
          </cell>
          <cell r="I414" t="str">
            <v>Sales Promotion Attendant</v>
          </cell>
          <cell r="AM414" t="str">
            <v>Taufikur Rohman</v>
          </cell>
          <cell r="AN414" t="str">
            <v>BCA</v>
          </cell>
          <cell r="AO414">
            <v>5600407394</v>
          </cell>
          <cell r="CN414">
            <v>45835</v>
          </cell>
        </row>
        <row r="415">
          <cell r="H415" t="str">
            <v>Delfi permata sari</v>
          </cell>
          <cell r="I415" t="str">
            <v>Sales Promotion Attendant</v>
          </cell>
          <cell r="AM415" t="str">
            <v>DELFI PERMATA SARI</v>
          </cell>
          <cell r="AN415" t="str">
            <v>BCA</v>
          </cell>
          <cell r="AO415">
            <v>4141974623</v>
          </cell>
          <cell r="CN415">
            <v>45075</v>
          </cell>
        </row>
        <row r="416">
          <cell r="H416" t="str">
            <v>IKHSAN ARDHIANSYAH</v>
          </cell>
          <cell r="I416" t="str">
            <v>Security Guard (Anggota)</v>
          </cell>
          <cell r="AM416" t="str">
            <v>IKHSAN ARDHIANSYAH</v>
          </cell>
          <cell r="AN416" t="str">
            <v>MANDIRI</v>
          </cell>
          <cell r="AO416">
            <v>1380026277215</v>
          </cell>
          <cell r="CN416">
            <v>45810</v>
          </cell>
        </row>
        <row r="417">
          <cell r="H417" t="str">
            <v>Muh. Ikhsan</v>
          </cell>
          <cell r="I417" t="str">
            <v>Sales Promotion Attendant</v>
          </cell>
          <cell r="AM417" t="str">
            <v>Muh. Ikhsan</v>
          </cell>
          <cell r="AN417" t="str">
            <v>BCA</v>
          </cell>
          <cell r="AO417">
            <v>7892097910</v>
          </cell>
          <cell r="CN417">
            <v>45839</v>
          </cell>
        </row>
        <row r="418">
          <cell r="H418" t="str">
            <v>FERNANDO JONI ROHI</v>
          </cell>
          <cell r="I418" t="str">
            <v>Sales Promotion Attendant</v>
          </cell>
          <cell r="AM418" t="str">
            <v>FERNANDO JONI ROHI</v>
          </cell>
          <cell r="AN418" t="str">
            <v>BCA</v>
          </cell>
          <cell r="AO418">
            <v>6113053084</v>
          </cell>
          <cell r="CN418">
            <v>45835</v>
          </cell>
        </row>
        <row r="419">
          <cell r="H419" t="str">
            <v>Ni Made Rai Suartini</v>
          </cell>
          <cell r="I419" t="str">
            <v>Sales Promotion Attendant</v>
          </cell>
          <cell r="AM419" t="str">
            <v>Ni Made Rai Suartini</v>
          </cell>
          <cell r="AN419" t="str">
            <v>BCA DIGITAL</v>
          </cell>
          <cell r="AO419">
            <v>9319152709</v>
          </cell>
          <cell r="CN419">
            <v>45835</v>
          </cell>
        </row>
        <row r="420">
          <cell r="H420" t="str">
            <v>RIKI EFENDI MULYADI</v>
          </cell>
          <cell r="I420" t="str">
            <v>Sales Promotion Attendant</v>
          </cell>
          <cell r="AM420" t="str">
            <v>RIKI EFENDI MULYADI</v>
          </cell>
          <cell r="AN420" t="str">
            <v>BCA</v>
          </cell>
          <cell r="AO420">
            <v>1660977313</v>
          </cell>
          <cell r="CN420">
            <v>45835</v>
          </cell>
        </row>
        <row r="421">
          <cell r="H421" t="str">
            <v>Siti rochmah dewi kurniawati</v>
          </cell>
          <cell r="I421" t="str">
            <v>Sales Promotion Attendant</v>
          </cell>
          <cell r="AM421" t="str">
            <v xml:space="preserve">Siti rochmah dewi </v>
          </cell>
          <cell r="AN421" t="str">
            <v>BCA</v>
          </cell>
          <cell r="AO421">
            <v>5735351459</v>
          </cell>
          <cell r="CN421">
            <v>45835</v>
          </cell>
        </row>
        <row r="422">
          <cell r="H422" t="str">
            <v>Muhammad Ramadhan</v>
          </cell>
          <cell r="I422" t="str">
            <v>Security Guard (Anggota)</v>
          </cell>
          <cell r="AM422" t="str">
            <v xml:space="preserve">M Ramadhan </v>
          </cell>
          <cell r="AN422" t="str">
            <v>BCA</v>
          </cell>
          <cell r="AO422">
            <v>8527052593</v>
          </cell>
          <cell r="CN422">
            <v>37586</v>
          </cell>
        </row>
        <row r="423">
          <cell r="H423" t="str">
            <v>Naila azalia</v>
          </cell>
          <cell r="I423" t="str">
            <v>Sales Promotion Attendant</v>
          </cell>
          <cell r="AM423" t="str">
            <v>AGUS KURNIAWAN</v>
          </cell>
          <cell r="AN423" t="str">
            <v>MANDIRI</v>
          </cell>
          <cell r="AO423">
            <v>1760004928618</v>
          </cell>
          <cell r="CN423">
            <v>45835</v>
          </cell>
        </row>
        <row r="424">
          <cell r="H424" t="str">
            <v>ACHMAD ABDAN SYAKURO BILLAH</v>
          </cell>
          <cell r="I424" t="str">
            <v>FO dan Marketing</v>
          </cell>
          <cell r="AM424" t="str">
            <v>ACHMAD ABDAN SYAKURO BILLAH</v>
          </cell>
          <cell r="AN424" t="str">
            <v>MANDIRI</v>
          </cell>
          <cell r="AO424">
            <v>1400024371735</v>
          </cell>
          <cell r="CN424">
            <v>45835</v>
          </cell>
        </row>
        <row r="425">
          <cell r="H425" t="str">
            <v>Erica Arista</v>
          </cell>
          <cell r="I425" t="str">
            <v>Sales Promotion Attendant</v>
          </cell>
          <cell r="AM425" t="str">
            <v>Erica Arista</v>
          </cell>
          <cell r="AN425" t="str">
            <v>BCA</v>
          </cell>
          <cell r="AO425">
            <v>343676597</v>
          </cell>
          <cell r="CN425">
            <v>45835</v>
          </cell>
        </row>
        <row r="426">
          <cell r="H426" t="str">
            <v>Anas muzakcy</v>
          </cell>
          <cell r="I426" t="str">
            <v>Security Guard (Anggota)</v>
          </cell>
          <cell r="AM426" t="str">
            <v>Anas muzakcy</v>
          </cell>
          <cell r="AN426" t="str">
            <v>BRI</v>
          </cell>
          <cell r="AO426">
            <v>228301008305503</v>
          </cell>
          <cell r="CN426">
            <v>45829</v>
          </cell>
        </row>
        <row r="427">
          <cell r="H427" t="str">
            <v>Ria Mustika Anom</v>
          </cell>
          <cell r="I427" t="str">
            <v>Sales Promotion Attendant</v>
          </cell>
          <cell r="AM427" t="str">
            <v>Ria Mustika Anom</v>
          </cell>
          <cell r="AN427" t="str">
            <v>MANDIRI</v>
          </cell>
          <cell r="AO427">
            <v>1140020662196</v>
          </cell>
          <cell r="CN427">
            <v>45839</v>
          </cell>
        </row>
        <row r="428">
          <cell r="H428" t="str">
            <v>Narani Chika Kusuma</v>
          </cell>
          <cell r="I428" t="str">
            <v>Sales Promotion Attendant</v>
          </cell>
          <cell r="AM428" t="str">
            <v>Narani Chika Kusuma</v>
          </cell>
          <cell r="AN428" t="str">
            <v>BCA</v>
          </cell>
          <cell r="AO428">
            <v>7641759019</v>
          </cell>
          <cell r="CN428">
            <v>45838</v>
          </cell>
        </row>
        <row r="429">
          <cell r="H429" t="str">
            <v>Timothy Fheliphe Yepansa</v>
          </cell>
          <cell r="I429" t="str">
            <v>Warehouse Attendant</v>
          </cell>
          <cell r="AM429" t="str">
            <v xml:space="preserve">Timothy Fheliphe Yepansa </v>
          </cell>
          <cell r="AN429" t="str">
            <v>BCA</v>
          </cell>
          <cell r="AO429">
            <v>4660322553</v>
          </cell>
          <cell r="CN429">
            <v>44941</v>
          </cell>
        </row>
        <row r="430">
          <cell r="H430" t="str">
            <v>Brayn beckham sumuan</v>
          </cell>
          <cell r="I430" t="str">
            <v>Security Guard (Anggota)</v>
          </cell>
          <cell r="AM430" t="str">
            <v>Braun sumuan</v>
          </cell>
          <cell r="AN430" t="str">
            <v>BRI</v>
          </cell>
          <cell r="AO430">
            <v>344501011005507</v>
          </cell>
          <cell r="CN430">
            <v>45837</v>
          </cell>
        </row>
        <row r="431">
          <cell r="H431" t="str">
            <v>Muhammad Tanwirus Syabana</v>
          </cell>
          <cell r="I431" t="str">
            <v>Security Guard (Anggota)</v>
          </cell>
          <cell r="AM431" t="str">
            <v>Muhammad Tanwirus Syabana</v>
          </cell>
          <cell r="AN431" t="str">
            <v>BCA</v>
          </cell>
          <cell r="AO431">
            <v>4680478584</v>
          </cell>
          <cell r="CN431">
            <v>45841</v>
          </cell>
        </row>
        <row r="432">
          <cell r="H432" t="str">
            <v>KENNY AGENG SYAHWANA</v>
          </cell>
          <cell r="I432" t="str">
            <v>Sales Promotion Attendant</v>
          </cell>
          <cell r="AM432" t="str">
            <v xml:space="preserve">KENNY AGENG SYAHWANA </v>
          </cell>
          <cell r="AN432" t="str">
            <v>BCA</v>
          </cell>
          <cell r="AO432">
            <v>8221374037</v>
          </cell>
          <cell r="CN432">
            <v>45846</v>
          </cell>
        </row>
        <row r="433">
          <cell r="H433" t="str">
            <v>Fardhan Bihablillah</v>
          </cell>
          <cell r="I433" t="str">
            <v>General Service Attendant</v>
          </cell>
          <cell r="AM433" t="str">
            <v>Fardhan Bihablillah</v>
          </cell>
          <cell r="AN433" t="str">
            <v>BSI</v>
          </cell>
          <cell r="AO433">
            <v>7194256412</v>
          </cell>
          <cell r="CN433">
            <v>45849</v>
          </cell>
        </row>
        <row r="434">
          <cell r="H434" t="str">
            <v>Andi Tri Mayanto</v>
          </cell>
          <cell r="I434" t="str">
            <v>Cleaning Services (Anggota)</v>
          </cell>
          <cell r="AM434" t="str">
            <v>Andi Tri Mayanto</v>
          </cell>
          <cell r="AN434" t="str">
            <v>BRI</v>
          </cell>
          <cell r="AO434" t="str">
            <v>6939-0102-2463-530</v>
          </cell>
          <cell r="CN434">
            <v>45839</v>
          </cell>
        </row>
        <row r="435">
          <cell r="H435" t="str">
            <v>Deny Tri Haryanto</v>
          </cell>
          <cell r="I435" t="str">
            <v>Security Guard (Anggota)</v>
          </cell>
          <cell r="AM435" t="str">
            <v>Deny Tri Haryanto</v>
          </cell>
          <cell r="AN435" t="str">
            <v>BNI</v>
          </cell>
          <cell r="AO435">
            <v>1921388840</v>
          </cell>
          <cell r="CN435">
            <v>45852</v>
          </cell>
        </row>
        <row r="436">
          <cell r="H436" t="str">
            <v>Yosi evita tinambunan</v>
          </cell>
          <cell r="I436" t="str">
            <v>Sales Promotion Attendant</v>
          </cell>
          <cell r="AM436" t="str">
            <v>Yosi evita tinambunan</v>
          </cell>
          <cell r="AN436" t="str">
            <v>BCA</v>
          </cell>
          <cell r="AO436" t="str">
            <v>901691086256 seabank A/n yosi evita</v>
          </cell>
          <cell r="CN436">
            <v>45827</v>
          </cell>
        </row>
        <row r="437">
          <cell r="H437" t="str">
            <v>BERNADETHA ENGGRID MARTHA ELVIRA</v>
          </cell>
          <cell r="I437" t="str">
            <v>Front Officer</v>
          </cell>
          <cell r="AM437" t="str">
            <v>BERNADETHA ENGGRID MARTHA ELVIRA</v>
          </cell>
          <cell r="AN437" t="str">
            <v>BCA</v>
          </cell>
          <cell r="AO437">
            <v>5785253911</v>
          </cell>
          <cell r="CN437">
            <v>45823</v>
          </cell>
        </row>
        <row r="438">
          <cell r="H438" t="str">
            <v>ZUHAT PAHMI</v>
          </cell>
          <cell r="I438" t="str">
            <v>Security Guard (Anggota)</v>
          </cell>
          <cell r="AM438" t="str">
            <v>ZUHAT PAHMI</v>
          </cell>
          <cell r="AN438" t="str">
            <v>MANDIRI</v>
          </cell>
          <cell r="AO438">
            <v>160012636986</v>
          </cell>
          <cell r="CN438">
            <v>45839</v>
          </cell>
        </row>
        <row r="439">
          <cell r="H439" t="str">
            <v>Joel Reidhel Gaghansa</v>
          </cell>
          <cell r="I439" t="str">
            <v>General Service Attendant</v>
          </cell>
          <cell r="AM439" t="str">
            <v xml:space="preserve">Joel Reidhel Gaghansa </v>
          </cell>
          <cell r="AN439" t="str">
            <v>BCA</v>
          </cell>
          <cell r="AO439">
            <v>5115233227</v>
          </cell>
          <cell r="CN439">
            <v>45848</v>
          </cell>
        </row>
        <row r="440">
          <cell r="H440" t="str">
            <v>Muhammad Adhe Irfan</v>
          </cell>
          <cell r="I440" t="str">
            <v>Office Boy</v>
          </cell>
          <cell r="AM440" t="str">
            <v xml:space="preserve">Muhammad Adhe Irfan </v>
          </cell>
          <cell r="AN440" t="str">
            <v>BCA</v>
          </cell>
          <cell r="AO440">
            <v>5615014572</v>
          </cell>
          <cell r="CN440">
            <v>45855</v>
          </cell>
        </row>
        <row r="441">
          <cell r="H441" t="str">
            <v>Ibnu arobi</v>
          </cell>
          <cell r="I441" t="str">
            <v>Security Guard (Anggota)</v>
          </cell>
          <cell r="AM441" t="str">
            <v>Ibnu arobi</v>
          </cell>
          <cell r="AN441" t="str">
            <v>BCA</v>
          </cell>
          <cell r="AO441">
            <v>5485303933</v>
          </cell>
          <cell r="CN441">
            <v>45839</v>
          </cell>
        </row>
        <row r="442">
          <cell r="H442" t="str">
            <v>Rafly Aji Zakaria</v>
          </cell>
          <cell r="I442" t="str">
            <v>Sales Promotion Attendant</v>
          </cell>
          <cell r="AM442" t="str">
            <v>Rafly Aji Zakaria</v>
          </cell>
          <cell r="AN442" t="str">
            <v>BCA</v>
          </cell>
          <cell r="AO442">
            <v>6890287105</v>
          </cell>
          <cell r="CN442">
            <v>45809</v>
          </cell>
        </row>
        <row r="443">
          <cell r="H443" t="str">
            <v>Anton Prianto</v>
          </cell>
          <cell r="I443" t="str">
            <v>Checker</v>
          </cell>
          <cell r="AM443" t="str">
            <v>Anton Prianto</v>
          </cell>
          <cell r="AN443" t="str">
            <v>BCA</v>
          </cell>
          <cell r="AO443">
            <v>3850748682</v>
          </cell>
          <cell r="CN443">
            <v>45809</v>
          </cell>
        </row>
        <row r="444">
          <cell r="H444" t="str">
            <v>Firmansyah Aldi Nugroho</v>
          </cell>
          <cell r="I444" t="str">
            <v>Security Guard (Anggota)</v>
          </cell>
          <cell r="AM444" t="str">
            <v>Firmansyah aldi nugroho</v>
          </cell>
          <cell r="AN444" t="str">
            <v>BCA</v>
          </cell>
          <cell r="AO444">
            <v>8915314682</v>
          </cell>
          <cell r="CN444">
            <v>45866</v>
          </cell>
        </row>
        <row r="445">
          <cell r="H445" t="str">
            <v>Kristianto Prambudi</v>
          </cell>
          <cell r="I445" t="str">
            <v>Administrator</v>
          </cell>
          <cell r="AM445" t="str">
            <v>Kristianto Prambudi</v>
          </cell>
          <cell r="AN445" t="str">
            <v>BCA</v>
          </cell>
          <cell r="AO445">
            <v>2290582329</v>
          </cell>
          <cell r="CN445">
            <v>45505</v>
          </cell>
        </row>
        <row r="446">
          <cell r="H446" t="str">
            <v>Assyer Raissa Visty Nathania</v>
          </cell>
          <cell r="I446" t="str">
            <v>Administrator</v>
          </cell>
          <cell r="AM446" t="str">
            <v>ASSYER RAISSA VISTY NATHANIA</v>
          </cell>
          <cell r="AN446" t="str">
            <v>BCA</v>
          </cell>
          <cell r="AO446">
            <v>2870424101</v>
          </cell>
          <cell r="CN446">
            <v>45870</v>
          </cell>
        </row>
        <row r="447">
          <cell r="H447" t="str">
            <v>Asep Jamal Maulana</v>
          </cell>
          <cell r="I447" t="str">
            <v>Cleaning Services (Anggota)</v>
          </cell>
          <cell r="AM447" t="str">
            <v>Asep jamal maulana</v>
          </cell>
          <cell r="AN447" t="str">
            <v>BNI</v>
          </cell>
          <cell r="AO447">
            <v>907828796</v>
          </cell>
          <cell r="CN447">
            <v>45870</v>
          </cell>
        </row>
        <row r="448">
          <cell r="H448" t="str">
            <v>Dimas Pratama Marcel</v>
          </cell>
          <cell r="I448" t="str">
            <v>Administrator</v>
          </cell>
          <cell r="AM448" t="str">
            <v>Dimas Pratama Marcel</v>
          </cell>
          <cell r="AN448" t="str">
            <v>BCA</v>
          </cell>
          <cell r="AO448">
            <v>1980387361</v>
          </cell>
          <cell r="CN448">
            <v>45880</v>
          </cell>
        </row>
        <row r="449">
          <cell r="H449" t="str">
            <v>Ugis Ginanjar Sentosa</v>
          </cell>
          <cell r="I449" t="str">
            <v>Security Guard (Anggota)</v>
          </cell>
          <cell r="AM449" t="str">
            <v>Ugis Ginanjar Sentosa</v>
          </cell>
          <cell r="AN449" t="str">
            <v>BNI</v>
          </cell>
          <cell r="AO449">
            <v>1931615919</v>
          </cell>
          <cell r="CN449">
            <v>45875</v>
          </cell>
        </row>
        <row r="450">
          <cell r="H450" t="str">
            <v>Mualimin</v>
          </cell>
          <cell r="I450" t="str">
            <v>Security Guard (Anggota)</v>
          </cell>
          <cell r="AM450" t="str">
            <v>Mualimin</v>
          </cell>
          <cell r="AN450" t="str">
            <v>BRI</v>
          </cell>
          <cell r="AO450">
            <v>564401012416503</v>
          </cell>
          <cell r="CN450">
            <v>45877</v>
          </cell>
        </row>
        <row r="451">
          <cell r="H451" t="str">
            <v>Aang ismail</v>
          </cell>
          <cell r="I451" t="str">
            <v>Security Guard (Anggota)</v>
          </cell>
          <cell r="AM451" t="str">
            <v>AANG ISMAIL</v>
          </cell>
          <cell r="AN451" t="str">
            <v>BCA</v>
          </cell>
          <cell r="AO451">
            <v>3420778766</v>
          </cell>
          <cell r="CN451">
            <v>45879</v>
          </cell>
        </row>
        <row r="452">
          <cell r="H452" t="str">
            <v>Dandy Winanto</v>
          </cell>
          <cell r="I452" t="str">
            <v>Ware House Attendant</v>
          </cell>
          <cell r="AM452" t="str">
            <v>Dandy Winanto</v>
          </cell>
          <cell r="AN452" t="str">
            <v>BCA</v>
          </cell>
          <cell r="AO452">
            <v>7265095313</v>
          </cell>
          <cell r="CN452">
            <v>45883</v>
          </cell>
        </row>
        <row r="453">
          <cell r="H453" t="str">
            <v>Yony Brammadi</v>
          </cell>
          <cell r="I453" t="str">
            <v>Ware House Attendant</v>
          </cell>
          <cell r="AM453" t="str">
            <v>Yony Brammadi</v>
          </cell>
          <cell r="AN453" t="str">
            <v>MANDIRI</v>
          </cell>
          <cell r="AO453">
            <v>1410026798074</v>
          </cell>
          <cell r="CN453">
            <v>45883</v>
          </cell>
        </row>
        <row r="454">
          <cell r="H454" t="str">
            <v>Krisna Heriadi</v>
          </cell>
          <cell r="I454" t="str">
            <v>Security Guard (Anggota)</v>
          </cell>
          <cell r="AM454" t="str">
            <v>Krisna Heriadi</v>
          </cell>
          <cell r="AN454" t="str">
            <v>MANDIRI</v>
          </cell>
          <cell r="AO454">
            <v>1100020935018</v>
          </cell>
          <cell r="CN454">
            <v>45876</v>
          </cell>
        </row>
        <row r="455">
          <cell r="H455" t="str">
            <v>Imam Choerul Alamsyah</v>
          </cell>
          <cell r="I455" t="str">
            <v>Ware House Attendant</v>
          </cell>
          <cell r="AM455" t="str">
            <v>IMAM CHOERUL ALAMSYAH</v>
          </cell>
          <cell r="AN455" t="str">
            <v>BRI</v>
          </cell>
          <cell r="AO455">
            <v>5101166321501</v>
          </cell>
          <cell r="CN455">
            <v>45883</v>
          </cell>
        </row>
        <row r="456">
          <cell r="H456" t="str">
            <v>MAHESA DIMAS ADI SAPUTRO</v>
          </cell>
          <cell r="I456" t="str">
            <v>Ware House Attendant</v>
          </cell>
          <cell r="AM456" t="str">
            <v xml:space="preserve">MAHESA DIMAS ADI SAPUTRO </v>
          </cell>
          <cell r="AN456" t="str">
            <v>BCA</v>
          </cell>
          <cell r="AO456">
            <v>6265151926</v>
          </cell>
          <cell r="CN456">
            <v>45883</v>
          </cell>
        </row>
        <row r="457">
          <cell r="H457" t="str">
            <v>OCTASENA RIZQI FIRDAUS</v>
          </cell>
          <cell r="I457" t="str">
            <v>Administrator</v>
          </cell>
          <cell r="AM457" t="str">
            <v>Octasena Rizqi Firdaus</v>
          </cell>
          <cell r="AN457" t="str">
            <v>BCA</v>
          </cell>
          <cell r="AO457">
            <v>7610748893</v>
          </cell>
          <cell r="CN457">
            <v>45882</v>
          </cell>
        </row>
        <row r="458">
          <cell r="H458" t="str">
            <v>KRISWDAYANTI</v>
          </cell>
          <cell r="I458" t="str">
            <v>Administrator</v>
          </cell>
          <cell r="AM458" t="str">
            <v>KRISWIDAYANTI</v>
          </cell>
          <cell r="AN458" t="str">
            <v>BCA</v>
          </cell>
          <cell r="AO458">
            <v>7290132457</v>
          </cell>
          <cell r="CN458">
            <v>45883</v>
          </cell>
        </row>
        <row r="459">
          <cell r="H459" t="str">
            <v>Mahandi Wijaya Putra</v>
          </cell>
          <cell r="I459" t="str">
            <v>Administrator</v>
          </cell>
          <cell r="AM459" t="str">
            <v>Mahandi Wijaya Putra</v>
          </cell>
          <cell r="AN459" t="str">
            <v>BCA</v>
          </cell>
          <cell r="AO459">
            <v>6330907825</v>
          </cell>
          <cell r="CN459">
            <v>45885</v>
          </cell>
        </row>
        <row r="460">
          <cell r="H460" t="str">
            <v>Lulut Amelia</v>
          </cell>
          <cell r="I460" t="str">
            <v>Administrator</v>
          </cell>
          <cell r="AM460" t="str">
            <v>UJANG WARYONO</v>
          </cell>
          <cell r="AN460" t="str">
            <v>BCA</v>
          </cell>
          <cell r="AO460">
            <v>7275306860</v>
          </cell>
          <cell r="CN460">
            <v>45901</v>
          </cell>
        </row>
        <row r="461">
          <cell r="H461" t="str">
            <v>AGUS RIYANTO</v>
          </cell>
          <cell r="I461" t="str">
            <v>Administrator</v>
          </cell>
          <cell r="AM461" t="str">
            <v>AGUS RIYANTO</v>
          </cell>
          <cell r="AN461" t="str">
            <v>BCA</v>
          </cell>
          <cell r="AO461">
            <v>4840134143</v>
          </cell>
          <cell r="CN461">
            <v>45901</v>
          </cell>
        </row>
        <row r="462">
          <cell r="H462" t="str">
            <v>Yudha kurniawan</v>
          </cell>
          <cell r="I462" t="str">
            <v>General Service Attendant</v>
          </cell>
          <cell r="AM462" t="str">
            <v>Yudha Kurniawan</v>
          </cell>
          <cell r="AN462" t="str">
            <v>MANDIRI</v>
          </cell>
          <cell r="AO462">
            <v>1290012283707</v>
          </cell>
          <cell r="CN462">
            <v>45901</v>
          </cell>
        </row>
        <row r="463">
          <cell r="H463" t="str">
            <v>Anggi Wahyu Nugroho</v>
          </cell>
          <cell r="I463" t="str">
            <v>Administrator</v>
          </cell>
          <cell r="AM463" t="str">
            <v xml:space="preserve">Anggi wahyu nugroho </v>
          </cell>
          <cell r="AN463" t="str">
            <v>BCA</v>
          </cell>
          <cell r="AO463">
            <v>6281043347</v>
          </cell>
          <cell r="CN463">
            <v>39326</v>
          </cell>
        </row>
        <row r="464">
          <cell r="H464" t="str">
            <v>MUHAMMAD NURDIN MUKAROM</v>
          </cell>
          <cell r="I464" t="str">
            <v>Checker</v>
          </cell>
          <cell r="AM464" t="str">
            <v>MOH NURDIN MUKAROM</v>
          </cell>
          <cell r="AN464" t="str">
            <v>BCA</v>
          </cell>
          <cell r="AO464">
            <v>2830934891</v>
          </cell>
          <cell r="CN464">
            <v>40969</v>
          </cell>
        </row>
        <row r="465">
          <cell r="H465" t="str">
            <v>Mohamad Syarif Sehabudin</v>
          </cell>
          <cell r="I465" t="str">
            <v>Ware House Attendant</v>
          </cell>
          <cell r="AM465" t="str">
            <v>Mohamad Syarif Sehabudin</v>
          </cell>
          <cell r="AN465" t="str">
            <v>BCA</v>
          </cell>
          <cell r="AO465">
            <v>7771860277</v>
          </cell>
          <cell r="CN465">
            <v>45901</v>
          </cell>
        </row>
        <row r="466">
          <cell r="H466" t="str">
            <v>Abdillah</v>
          </cell>
          <cell r="I466" t="str">
            <v>Ware House Attendant</v>
          </cell>
          <cell r="AM466" t="str">
            <v>ABDILLAH</v>
          </cell>
          <cell r="AN466" t="str">
            <v>BRI</v>
          </cell>
          <cell r="AO466">
            <v>120201001090500</v>
          </cell>
          <cell r="CN466">
            <v>45901</v>
          </cell>
        </row>
        <row r="467">
          <cell r="H467" t="str">
            <v>Rozan Mubasyir</v>
          </cell>
          <cell r="I467" t="str">
            <v>Ware House Attendant</v>
          </cell>
          <cell r="AM467" t="str">
            <v>Rozan Mubasyir</v>
          </cell>
          <cell r="AN467" t="str">
            <v>BCA</v>
          </cell>
          <cell r="AO467">
            <v>1481069691</v>
          </cell>
          <cell r="CN467">
            <v>43221</v>
          </cell>
        </row>
        <row r="468">
          <cell r="H468" t="str">
            <v>Muhammad rizki mei irawan</v>
          </cell>
          <cell r="I468" t="str">
            <v>Ware House Attendant</v>
          </cell>
          <cell r="AM468" t="str">
            <v>Muhammad rizki mei irawan</v>
          </cell>
          <cell r="AN468" t="str">
            <v>BCA</v>
          </cell>
          <cell r="AO468">
            <v>2831571090</v>
          </cell>
          <cell r="CN468">
            <v>45901</v>
          </cell>
        </row>
        <row r="469">
          <cell r="H469" t="str">
            <v>Hamdan mubarok</v>
          </cell>
          <cell r="I469" t="str">
            <v>Ware House Attendant</v>
          </cell>
          <cell r="AM469" t="str">
            <v>HAMDAN MUBAROK</v>
          </cell>
          <cell r="AN469" t="str">
            <v>MANDIRI</v>
          </cell>
          <cell r="AO469">
            <v>1560011052810</v>
          </cell>
          <cell r="CN469">
            <v>45901</v>
          </cell>
        </row>
        <row r="470">
          <cell r="H470" t="str">
            <v>Aji mulyadi</v>
          </cell>
          <cell r="I470" t="str">
            <v>Ware House Attendant</v>
          </cell>
          <cell r="AM470" t="str">
            <v>Aji mulyadi</v>
          </cell>
          <cell r="AN470" t="str">
            <v>BCA</v>
          </cell>
          <cell r="AO470">
            <v>120209591</v>
          </cell>
          <cell r="CN470">
            <v>45901</v>
          </cell>
        </row>
        <row r="471">
          <cell r="H471" t="str">
            <v>Uman sulaeman</v>
          </cell>
          <cell r="I471" t="str">
            <v>Ware House Attendant</v>
          </cell>
          <cell r="AM471" t="str">
            <v>Uman sulaeman</v>
          </cell>
          <cell r="AN471" t="str">
            <v>BCA</v>
          </cell>
          <cell r="AO471">
            <v>7740728355</v>
          </cell>
          <cell r="CN471">
            <v>45901</v>
          </cell>
        </row>
        <row r="472">
          <cell r="H472" t="str">
            <v>Ipan Supriyadi</v>
          </cell>
          <cell r="I472" t="str">
            <v>Ware House Attendant</v>
          </cell>
          <cell r="AM472" t="str">
            <v xml:space="preserve">Ipan Supriyadi </v>
          </cell>
          <cell r="AN472" t="str">
            <v>BCA</v>
          </cell>
          <cell r="AO472">
            <v>8710219118</v>
          </cell>
          <cell r="CN472">
            <v>45901</v>
          </cell>
        </row>
        <row r="473">
          <cell r="H473" t="str">
            <v>Syahruli</v>
          </cell>
          <cell r="I473" t="str">
            <v>Ware House Attendant</v>
          </cell>
          <cell r="AM473" t="str">
            <v xml:space="preserve">Syahruli </v>
          </cell>
          <cell r="AN473" t="str">
            <v>BCA</v>
          </cell>
          <cell r="AO473" t="str">
            <v>275 0463013</v>
          </cell>
          <cell r="CN473">
            <v>45901</v>
          </cell>
        </row>
        <row r="474">
          <cell r="H474" t="str">
            <v>Sarwono Adianto</v>
          </cell>
          <cell r="I474" t="str">
            <v>Ware House Attendant</v>
          </cell>
          <cell r="AM474" t="str">
            <v>Sarwono adianto</v>
          </cell>
          <cell r="AN474" t="str">
            <v>BCA</v>
          </cell>
          <cell r="AO474">
            <v>3761618511</v>
          </cell>
          <cell r="CN474">
            <v>41214</v>
          </cell>
        </row>
        <row r="475">
          <cell r="H475" t="str">
            <v>Faizal agustiar nasution</v>
          </cell>
          <cell r="I475" t="str">
            <v>Security Guard (Anggota)</v>
          </cell>
          <cell r="AM475" t="str">
            <v>Faizal agustiar nasution</v>
          </cell>
          <cell r="AN475" t="str">
            <v>BRI</v>
          </cell>
          <cell r="AO475">
            <v>115301013074509</v>
          </cell>
          <cell r="CN475">
            <v>45901</v>
          </cell>
        </row>
        <row r="476">
          <cell r="H476" t="str">
            <v>Sendi Riana</v>
          </cell>
          <cell r="I476" t="str">
            <v>Administrator</v>
          </cell>
          <cell r="AM476" t="str">
            <v>Sendi Riana</v>
          </cell>
          <cell r="AN476" t="str">
            <v>MANDIRI</v>
          </cell>
          <cell r="AO476">
            <v>1320021616777</v>
          </cell>
          <cell r="CN476">
            <v>41183</v>
          </cell>
        </row>
        <row r="477">
          <cell r="H477" t="str">
            <v>Iqbal gustiana</v>
          </cell>
          <cell r="I477" t="str">
            <v>Ware House Attendant</v>
          </cell>
          <cell r="AM477" t="str">
            <v>Iqbal gustiana</v>
          </cell>
          <cell r="AN477" t="str">
            <v>BCA</v>
          </cell>
          <cell r="AO477">
            <v>2831445175</v>
          </cell>
          <cell r="CN477">
            <v>43040</v>
          </cell>
        </row>
        <row r="478">
          <cell r="H478" t="str">
            <v>Choirul Huda</v>
          </cell>
          <cell r="I478" t="str">
            <v>Ware House Attendant</v>
          </cell>
          <cell r="AM478" t="str">
            <v>Choirul Huda</v>
          </cell>
          <cell r="AN478" t="str">
            <v>BCA</v>
          </cell>
          <cell r="AO478">
            <v>6300276138</v>
          </cell>
          <cell r="CN478">
            <v>45901</v>
          </cell>
        </row>
        <row r="479">
          <cell r="H479" t="str">
            <v>MUHAMAD FAUZI</v>
          </cell>
          <cell r="I479" t="str">
            <v>Ware House Attendant</v>
          </cell>
          <cell r="AM479" t="str">
            <v>Muhamad fauzi</v>
          </cell>
          <cell r="AN479" t="str">
            <v>BCA</v>
          </cell>
          <cell r="AO479">
            <v>8710036153</v>
          </cell>
          <cell r="CN479">
            <v>45901</v>
          </cell>
        </row>
        <row r="480">
          <cell r="H480" t="str">
            <v>Henu Subejo</v>
          </cell>
          <cell r="I480" t="str">
            <v>Security Guard (Anggota)</v>
          </cell>
          <cell r="AM480" t="str">
            <v>Henu Subejo</v>
          </cell>
          <cell r="AN480" t="str">
            <v>BRI</v>
          </cell>
          <cell r="AO480" t="str">
            <v xml:space="preserve"> 0943- 01- 037118- 53- 3</v>
          </cell>
          <cell r="CN480">
            <v>45901</v>
          </cell>
        </row>
        <row r="481">
          <cell r="H481" t="str">
            <v>Munadi</v>
          </cell>
          <cell r="I481" t="str">
            <v>Ware House Attendant</v>
          </cell>
          <cell r="AM481" t="str">
            <v>Munadi</v>
          </cell>
          <cell r="AN481" t="str">
            <v>MANDIRI</v>
          </cell>
          <cell r="AO481">
            <v>60007507100</v>
          </cell>
          <cell r="CN481">
            <v>45901</v>
          </cell>
        </row>
        <row r="482">
          <cell r="H482" t="str">
            <v>Hendrik abdul sidik</v>
          </cell>
          <cell r="I482" t="str">
            <v>Ware House Attendant</v>
          </cell>
          <cell r="AM482" t="str">
            <v>-</v>
          </cell>
          <cell r="AN482" t="str">
            <v>BCA</v>
          </cell>
          <cell r="AO482">
            <v>7405224615</v>
          </cell>
          <cell r="CN482">
            <v>45039</v>
          </cell>
        </row>
        <row r="483">
          <cell r="H483" t="str">
            <v>Cecep supriyadi</v>
          </cell>
          <cell r="I483" t="str">
            <v>Ware House Attendant</v>
          </cell>
          <cell r="AM483" t="str">
            <v xml:space="preserve">Cecep supriyadi </v>
          </cell>
          <cell r="AN483" t="str">
            <v>BCA</v>
          </cell>
          <cell r="AO483">
            <v>5420351862</v>
          </cell>
          <cell r="CN483">
            <v>45901</v>
          </cell>
        </row>
        <row r="484">
          <cell r="H484" t="str">
            <v>Syahruli</v>
          </cell>
          <cell r="I484" t="str">
            <v>Ware House Attendant</v>
          </cell>
          <cell r="AM484" t="str">
            <v>Syahruli</v>
          </cell>
          <cell r="AN484" t="str">
            <v>BCA</v>
          </cell>
          <cell r="AO484" t="str">
            <v>275 0463013</v>
          </cell>
          <cell r="CN484">
            <v>45901</v>
          </cell>
        </row>
        <row r="485">
          <cell r="H485" t="str">
            <v>Taufik Arifin</v>
          </cell>
          <cell r="I485" t="str">
            <v>Administrator</v>
          </cell>
          <cell r="AM485" t="str">
            <v xml:space="preserve">Taufik Arifin </v>
          </cell>
          <cell r="AN485" t="str">
            <v>BCA</v>
          </cell>
          <cell r="AO485">
            <v>6330699874</v>
          </cell>
          <cell r="CN485">
            <v>45901</v>
          </cell>
        </row>
        <row r="486">
          <cell r="H486" t="str">
            <v>Sofyan</v>
          </cell>
          <cell r="I486" t="str">
            <v>Cleaning Services (Anggota)</v>
          </cell>
          <cell r="AM486" t="str">
            <v>Sofyan</v>
          </cell>
          <cell r="AN486" t="str">
            <v>BRI</v>
          </cell>
          <cell r="AO486" t="str">
            <v>09430105291
2530</v>
          </cell>
          <cell r="CN486">
            <v>39627</v>
          </cell>
        </row>
        <row r="487">
          <cell r="H487" t="str">
            <v>Rinto</v>
          </cell>
          <cell r="I487" t="str">
            <v>Ware House Attendant</v>
          </cell>
          <cell r="AM487" t="str">
            <v>Rinto</v>
          </cell>
          <cell r="AN487" t="str">
            <v>BCA</v>
          </cell>
          <cell r="AO487">
            <v>8710999971</v>
          </cell>
          <cell r="CN487">
            <v>45901</v>
          </cell>
        </row>
        <row r="488">
          <cell r="H488" t="str">
            <v>Aria Danis Danumaya</v>
          </cell>
          <cell r="I488" t="str">
            <v>Ware House Attendant</v>
          </cell>
          <cell r="AM488" t="str">
            <v xml:space="preserve">Aria Danis Danumaya </v>
          </cell>
          <cell r="AN488" t="str">
            <v>BCA</v>
          </cell>
          <cell r="AO488">
            <v>4140790902</v>
          </cell>
          <cell r="CN488">
            <v>45901</v>
          </cell>
        </row>
        <row r="489">
          <cell r="H489" t="str">
            <v>Syahruli</v>
          </cell>
          <cell r="I489" t="str">
            <v>Ware House Attendant</v>
          </cell>
          <cell r="AM489" t="str">
            <v>Syahruli</v>
          </cell>
          <cell r="AN489" t="str">
            <v>BCA</v>
          </cell>
          <cell r="AO489">
            <v>27504631013</v>
          </cell>
          <cell r="CN489">
            <v>45901</v>
          </cell>
        </row>
        <row r="490">
          <cell r="H490" t="str">
            <v>HENGKI HENDRIATNO</v>
          </cell>
          <cell r="I490" t="str">
            <v>Ware House Attendant</v>
          </cell>
          <cell r="AM490" t="str">
            <v>Hengki hendriatno</v>
          </cell>
          <cell r="AN490" t="str">
            <v>BCA</v>
          </cell>
          <cell r="AO490">
            <v>3760336849</v>
          </cell>
          <cell r="CN490">
            <v>41183</v>
          </cell>
        </row>
        <row r="491">
          <cell r="H491" t="str">
            <v>Trisna Priatna</v>
          </cell>
          <cell r="I491" t="str">
            <v>Ware House Attendant</v>
          </cell>
          <cell r="AM491" t="str">
            <v>TRISNA PRIATNA</v>
          </cell>
          <cell r="AN491" t="str">
            <v>BCA</v>
          </cell>
          <cell r="AO491">
            <v>2830926421</v>
          </cell>
          <cell r="CN491">
            <v>41913</v>
          </cell>
        </row>
        <row r="492">
          <cell r="H492" t="str">
            <v>Eko Ahmadi</v>
          </cell>
          <cell r="I492" t="str">
            <v>Ware House Attendant</v>
          </cell>
          <cell r="AM492" t="str">
            <v>Eko Ahmadi</v>
          </cell>
          <cell r="AN492" t="str">
            <v>BCA</v>
          </cell>
          <cell r="AO492">
            <v>5420460017</v>
          </cell>
          <cell r="CN492">
            <v>45901</v>
          </cell>
        </row>
        <row r="493">
          <cell r="H493" t="str">
            <v>Rijal Faridhul Ajmal</v>
          </cell>
          <cell r="I493" t="str">
            <v>Administrator</v>
          </cell>
          <cell r="AM493" t="str">
            <v>Rijal Faridhul Ajmal</v>
          </cell>
          <cell r="AN493" t="str">
            <v>MANDIRI</v>
          </cell>
          <cell r="AO493">
            <v>1640003764604</v>
          </cell>
          <cell r="CN493">
            <v>44915</v>
          </cell>
        </row>
        <row r="494">
          <cell r="H494" t="str">
            <v>WIWIN HADI PRIYONO</v>
          </cell>
          <cell r="I494" t="str">
            <v>Administrator</v>
          </cell>
          <cell r="AM494" t="str">
            <v>WIWIN HADI PRIYONO</v>
          </cell>
          <cell r="AN494" t="str">
            <v>BCA</v>
          </cell>
          <cell r="AO494">
            <v>120284011</v>
          </cell>
          <cell r="CN494">
            <v>45901</v>
          </cell>
        </row>
        <row r="495">
          <cell r="H495" t="str">
            <v>Beni Priyadi</v>
          </cell>
          <cell r="I495" t="str">
            <v>Ware House Attendant</v>
          </cell>
          <cell r="AM495" t="str">
            <v>Beni Priyadi</v>
          </cell>
          <cell r="AN495" t="str">
            <v>MANDIRI</v>
          </cell>
          <cell r="AO495">
            <v>1300026589872</v>
          </cell>
          <cell r="CN495">
            <v>45845</v>
          </cell>
        </row>
        <row r="496">
          <cell r="H496" t="str">
            <v>Adi santoso</v>
          </cell>
          <cell r="I496" t="str">
            <v>Ware House Attendant</v>
          </cell>
          <cell r="AM496" t="str">
            <v xml:space="preserve">adi santoso </v>
          </cell>
          <cell r="AN496" t="str">
            <v>BCA</v>
          </cell>
          <cell r="AO496">
            <v>5212244805</v>
          </cell>
          <cell r="CN496">
            <v>45901</v>
          </cell>
        </row>
        <row r="497">
          <cell r="H497" t="str">
            <v>Rizky fadilah</v>
          </cell>
          <cell r="I497" t="str">
            <v>Administrator</v>
          </cell>
          <cell r="AM497" t="str">
            <v>Rizky fadilah</v>
          </cell>
          <cell r="AN497" t="str">
            <v>BCA</v>
          </cell>
          <cell r="AO497">
            <v>4120063087</v>
          </cell>
          <cell r="CN497">
            <v>40826</v>
          </cell>
        </row>
        <row r="498">
          <cell r="H498" t="str">
            <v>MUHAMAD SINSIN SINAILAH</v>
          </cell>
          <cell r="I498" t="str">
            <v>Ware House Attendant</v>
          </cell>
          <cell r="AM498" t="str">
            <v xml:space="preserve">MUHAMAD SINSIN SINAILAH </v>
          </cell>
          <cell r="AN498" t="str">
            <v>BCA</v>
          </cell>
          <cell r="AO498">
            <v>77405771</v>
          </cell>
          <cell r="CN498">
            <v>45839</v>
          </cell>
        </row>
        <row r="499">
          <cell r="H499" t="str">
            <v>LUKMAN HAKIM</v>
          </cell>
          <cell r="I499" t="str">
            <v>Cleaning Services (Anggota)</v>
          </cell>
          <cell r="AM499" t="str">
            <v xml:space="preserve">LUKMAN HAKIM </v>
          </cell>
          <cell r="AN499" t="str">
            <v>BRI</v>
          </cell>
          <cell r="AO499">
            <v>708201010737539</v>
          </cell>
          <cell r="CN499">
            <v>45901</v>
          </cell>
        </row>
        <row r="500">
          <cell r="H500" t="str">
            <v>Muhamad Riki</v>
          </cell>
          <cell r="I500" t="str">
            <v>Ware House Attendant</v>
          </cell>
          <cell r="AM500" t="str">
            <v>Muhamad Riki</v>
          </cell>
          <cell r="AN500" t="str">
            <v>BCA</v>
          </cell>
          <cell r="AO500">
            <v>120207849</v>
          </cell>
          <cell r="CN500">
            <v>45901</v>
          </cell>
        </row>
        <row r="501">
          <cell r="H501" t="str">
            <v>Dinar jaelani</v>
          </cell>
          <cell r="I501" t="str">
            <v>Ware House Attendant</v>
          </cell>
          <cell r="AM501" t="str">
            <v>Dinar Jaelani</v>
          </cell>
          <cell r="AN501" t="str">
            <v>MANDIRI</v>
          </cell>
          <cell r="AO501">
            <v>1310023753488</v>
          </cell>
          <cell r="CN501">
            <v>42920</v>
          </cell>
        </row>
        <row r="502">
          <cell r="H502" t="str">
            <v>Ahmad abdul koyyum</v>
          </cell>
          <cell r="I502" t="str">
            <v>Ware House Attendant</v>
          </cell>
          <cell r="AM502" t="str">
            <v>Ahmad abdul koyyum</v>
          </cell>
          <cell r="AN502" t="str">
            <v>BCA</v>
          </cell>
          <cell r="AO502">
            <v>8710157074</v>
          </cell>
          <cell r="CN502">
            <v>42705</v>
          </cell>
        </row>
        <row r="503">
          <cell r="H503" t="str">
            <v>Syahrul ramadhoni</v>
          </cell>
          <cell r="I503" t="str">
            <v>Ware House Attendant</v>
          </cell>
          <cell r="AM503" t="str">
            <v>Syahrul ramadhoni</v>
          </cell>
          <cell r="AN503" t="str">
            <v>BCA</v>
          </cell>
          <cell r="AO503">
            <v>5211113601</v>
          </cell>
          <cell r="CN503">
            <v>45901</v>
          </cell>
        </row>
        <row r="504">
          <cell r="H504" t="str">
            <v>Wildan Solehudin</v>
          </cell>
          <cell r="I504" t="str">
            <v>Ware House Attendant</v>
          </cell>
          <cell r="AM504" t="str">
            <v>WILDAN SOLEHUDIN</v>
          </cell>
          <cell r="AN504" t="str">
            <v>BCA</v>
          </cell>
          <cell r="AO504">
            <v>2832300684</v>
          </cell>
          <cell r="CN504">
            <v>42257</v>
          </cell>
        </row>
        <row r="505">
          <cell r="H505" t="str">
            <v>Rahman</v>
          </cell>
          <cell r="I505" t="str">
            <v>Office Boy</v>
          </cell>
          <cell r="AM505" t="str">
            <v>Rahman</v>
          </cell>
          <cell r="AN505" t="str">
            <v>MANDIRI</v>
          </cell>
          <cell r="AO505">
            <v>1250007980501</v>
          </cell>
          <cell r="CN505">
            <v>45901</v>
          </cell>
        </row>
        <row r="506">
          <cell r="H506" t="str">
            <v>Tarmanto</v>
          </cell>
          <cell r="I506" t="str">
            <v>Ware House Attendant</v>
          </cell>
          <cell r="AM506" t="str">
            <v>Tarmanto</v>
          </cell>
          <cell r="AN506" t="str">
            <v>BCA</v>
          </cell>
          <cell r="AO506">
            <v>4230341350</v>
          </cell>
          <cell r="CN506">
            <v>45901</v>
          </cell>
        </row>
        <row r="507">
          <cell r="H507" t="str">
            <v>Toni</v>
          </cell>
          <cell r="I507" t="str">
            <v>Ware House Attendant</v>
          </cell>
          <cell r="AM507" t="str">
            <v>Toni</v>
          </cell>
          <cell r="AN507" t="str">
            <v>MANDIRI</v>
          </cell>
          <cell r="AO507">
            <v>1570002838333</v>
          </cell>
          <cell r="CN507">
            <v>45901</v>
          </cell>
        </row>
        <row r="508">
          <cell r="H508" t="str">
            <v>Ahmad fauzi</v>
          </cell>
          <cell r="I508" t="str">
            <v>Ware House Attendant</v>
          </cell>
          <cell r="AM508" t="str">
            <v>Ahmad fauzi</v>
          </cell>
          <cell r="AN508" t="str">
            <v>BCA</v>
          </cell>
          <cell r="AO508">
            <v>5450244408</v>
          </cell>
          <cell r="CN508">
            <v>45901</v>
          </cell>
        </row>
        <row r="509">
          <cell r="H509" t="str">
            <v>ANGGA SAEFUL ANWAR</v>
          </cell>
          <cell r="I509" t="str">
            <v>Ware House Attendant</v>
          </cell>
          <cell r="AM509" t="str">
            <v>ANGGA SAEFUL ANWAR</v>
          </cell>
          <cell r="AN509" t="str">
            <v>BCA</v>
          </cell>
          <cell r="AO509">
            <v>2170341646</v>
          </cell>
          <cell r="CN509">
            <v>45901</v>
          </cell>
        </row>
        <row r="510">
          <cell r="H510" t="str">
            <v>Soleh Rombe</v>
          </cell>
          <cell r="I510" t="str">
            <v>Ware House Attendant</v>
          </cell>
          <cell r="AM510" t="str">
            <v xml:space="preserve">Soleh Rombe </v>
          </cell>
          <cell r="AN510" t="str">
            <v>BCA</v>
          </cell>
          <cell r="AO510">
            <v>8770496463</v>
          </cell>
          <cell r="CN510">
            <v>45901</v>
          </cell>
        </row>
        <row r="511">
          <cell r="H511" t="str">
            <v>JUHRI</v>
          </cell>
          <cell r="I511" t="str">
            <v>Office Boy</v>
          </cell>
          <cell r="AM511" t="str">
            <v>Juhri</v>
          </cell>
          <cell r="AN511" t="str">
            <v>BCA</v>
          </cell>
          <cell r="AO511">
            <v>2170209187</v>
          </cell>
          <cell r="CN511">
            <v>42488</v>
          </cell>
        </row>
        <row r="512">
          <cell r="H512" t="str">
            <v>Hendra juliandi</v>
          </cell>
          <cell r="I512" t="str">
            <v>Administrator</v>
          </cell>
          <cell r="AM512" t="str">
            <v>Hendra juliandi</v>
          </cell>
          <cell r="AN512" t="str">
            <v>BCA</v>
          </cell>
          <cell r="AO512">
            <v>6870836757</v>
          </cell>
          <cell r="CN512">
            <v>45901</v>
          </cell>
        </row>
        <row r="513">
          <cell r="H513" t="str">
            <v>Aab budi cahyana</v>
          </cell>
          <cell r="I513" t="str">
            <v>Ware House Attendant</v>
          </cell>
          <cell r="AM513" t="str">
            <v>Aab budi cahyana</v>
          </cell>
          <cell r="AN513" t="str">
            <v>BCA</v>
          </cell>
          <cell r="AO513">
            <v>2831673445</v>
          </cell>
          <cell r="CN513">
            <v>43587</v>
          </cell>
        </row>
        <row r="514">
          <cell r="H514" t="str">
            <v>IRVAN BAYU AJI</v>
          </cell>
          <cell r="I514" t="str">
            <v>Ware House Attendant</v>
          </cell>
          <cell r="AM514" t="str">
            <v>IRVAN BAYU AJI</v>
          </cell>
          <cell r="AN514" t="str">
            <v>MANDIRI</v>
          </cell>
          <cell r="AO514">
            <v>1310005995354</v>
          </cell>
          <cell r="CN514">
            <v>38777</v>
          </cell>
        </row>
        <row r="515">
          <cell r="H515" t="str">
            <v>Olga Wijaya</v>
          </cell>
          <cell r="I515" t="str">
            <v>Ware House Attendant</v>
          </cell>
          <cell r="AM515" t="str">
            <v>Olga Wijaya</v>
          </cell>
          <cell r="AN515" t="str">
            <v>BCA</v>
          </cell>
          <cell r="AO515">
            <v>8710125261</v>
          </cell>
          <cell r="CN515">
            <v>41183</v>
          </cell>
        </row>
        <row r="516">
          <cell r="H516" t="str">
            <v>IRAWAN HARUS</v>
          </cell>
          <cell r="I516" t="str">
            <v>Security Guard (Anggota)</v>
          </cell>
          <cell r="AM516" t="str">
            <v xml:space="preserve">IRAWAN HARUS </v>
          </cell>
          <cell r="AN516" t="str">
            <v>BRI</v>
          </cell>
          <cell r="AO516">
            <v>225701031692502</v>
          </cell>
          <cell r="CN516">
            <v>45901</v>
          </cell>
        </row>
        <row r="517">
          <cell r="H517" t="str">
            <v>Sofa rohmat</v>
          </cell>
          <cell r="I517" t="str">
            <v>Ware House Attendant</v>
          </cell>
          <cell r="AM517" t="str">
            <v>Sofa rohmat</v>
          </cell>
          <cell r="AN517" t="str">
            <v>BCA</v>
          </cell>
          <cell r="AO517">
            <v>2831681944</v>
          </cell>
          <cell r="CN517">
            <v>43586</v>
          </cell>
        </row>
        <row r="518">
          <cell r="H518" t="str">
            <v>AHMAD SYARIFUDIN</v>
          </cell>
          <cell r="I518" t="str">
            <v>Checker</v>
          </cell>
          <cell r="AM518" t="str">
            <v>AHMAD SYARIFUDIN</v>
          </cell>
          <cell r="AN518" t="str">
            <v>MANDIRI</v>
          </cell>
          <cell r="AO518">
            <v>1250014735591</v>
          </cell>
          <cell r="CN518">
            <v>45901</v>
          </cell>
        </row>
        <row r="519">
          <cell r="H519" t="str">
            <v>Yogi prasetyo</v>
          </cell>
          <cell r="I519" t="str">
            <v>Ware House Attendant</v>
          </cell>
          <cell r="AM519" t="str">
            <v>YOGI PRASETYO</v>
          </cell>
          <cell r="AN519" t="str">
            <v>BCA</v>
          </cell>
          <cell r="AO519">
            <v>650779029</v>
          </cell>
          <cell r="CN519">
            <v>43081</v>
          </cell>
        </row>
        <row r="520">
          <cell r="H520" t="str">
            <v>Ahmad sarmada</v>
          </cell>
          <cell r="I520" t="str">
            <v>Ware House Attendant</v>
          </cell>
          <cell r="AM520" t="str">
            <v>Ahmad sarmada</v>
          </cell>
          <cell r="AN520" t="str">
            <v>BCA</v>
          </cell>
          <cell r="AO520">
            <v>125033232</v>
          </cell>
          <cell r="CN520">
            <v>45901</v>
          </cell>
        </row>
        <row r="521">
          <cell r="H521" t="str">
            <v>Erwin</v>
          </cell>
          <cell r="I521" t="str">
            <v>Administrator</v>
          </cell>
          <cell r="AM521" t="str">
            <v>Erwin</v>
          </cell>
          <cell r="AN521" t="str">
            <v>BCA</v>
          </cell>
          <cell r="AO521">
            <v>8690923000</v>
          </cell>
          <cell r="CN521">
            <v>45901</v>
          </cell>
        </row>
        <row r="522">
          <cell r="H522" t="str">
            <v>HASAN NUDIN</v>
          </cell>
          <cell r="I522" t="str">
            <v>Ware House Attendant</v>
          </cell>
          <cell r="AM522" t="str">
            <v xml:space="preserve">HASAN NUDIN </v>
          </cell>
          <cell r="AN522" t="str">
            <v>BCA</v>
          </cell>
          <cell r="AO522">
            <v>7391401202</v>
          </cell>
          <cell r="CN522">
            <v>45901</v>
          </cell>
        </row>
        <row r="523">
          <cell r="H523" t="str">
            <v>doddy</v>
          </cell>
          <cell r="I523" t="str">
            <v>Ware House Attendant</v>
          </cell>
          <cell r="AM523" t="str">
            <v>Doddy Hasanudin</v>
          </cell>
          <cell r="AN523" t="str">
            <v>BRI</v>
          </cell>
          <cell r="AO523">
            <v>1901041275508</v>
          </cell>
          <cell r="CN523">
            <v>37377</v>
          </cell>
        </row>
        <row r="524">
          <cell r="H524" t="str">
            <v>M RIVAL FIRMANSYAH</v>
          </cell>
          <cell r="I524" t="str">
            <v>Administrator</v>
          </cell>
          <cell r="AM524" t="str">
            <v>M RIVAL FIRMANSYAH</v>
          </cell>
          <cell r="AN524" t="str">
            <v>BCA</v>
          </cell>
          <cell r="AO524">
            <v>6300255025</v>
          </cell>
          <cell r="CN524">
            <v>45901</v>
          </cell>
        </row>
        <row r="525">
          <cell r="H525" t="str">
            <v>NINDO PRATAMA SILABAN</v>
          </cell>
          <cell r="I525" t="str">
            <v>Ware House Attendant</v>
          </cell>
          <cell r="AM525" t="str">
            <v>NINDOPRATAMASILABA</v>
          </cell>
          <cell r="AN525" t="str">
            <v>MANDIRI</v>
          </cell>
          <cell r="AO525">
            <v>1200013591487</v>
          </cell>
          <cell r="CN525">
            <v>45896</v>
          </cell>
        </row>
        <row r="526">
          <cell r="H526" t="str">
            <v>Dwi yanto</v>
          </cell>
          <cell r="I526" t="str">
            <v>Ware House Attendant</v>
          </cell>
          <cell r="AM526" t="str">
            <v>Dwiyanto</v>
          </cell>
          <cell r="AN526" t="str">
            <v>BSI</v>
          </cell>
          <cell r="AO526">
            <v>7131630306</v>
          </cell>
          <cell r="CN526">
            <v>45901</v>
          </cell>
        </row>
        <row r="527">
          <cell r="H527" t="str">
            <v>Arip Saripudin</v>
          </cell>
          <cell r="I527" t="str">
            <v>Ware House Attendant</v>
          </cell>
          <cell r="AM527" t="str">
            <v>Arip saripudin</v>
          </cell>
          <cell r="AN527" t="str">
            <v>MANDIRI</v>
          </cell>
          <cell r="AO527">
            <v>1310024188965</v>
          </cell>
          <cell r="CN527">
            <v>45691</v>
          </cell>
        </row>
        <row r="528">
          <cell r="H528" t="str">
            <v>Rio septrian</v>
          </cell>
          <cell r="I528" t="str">
            <v>Ware House Attendant</v>
          </cell>
          <cell r="AM528" t="str">
            <v>Rio septrian</v>
          </cell>
          <cell r="AN528" t="str">
            <v>BCA</v>
          </cell>
          <cell r="AO528">
            <v>7405224569</v>
          </cell>
          <cell r="CN528">
            <v>45026</v>
          </cell>
        </row>
        <row r="529">
          <cell r="H529" t="str">
            <v>muhamad rifai</v>
          </cell>
          <cell r="I529" t="str">
            <v>Ware House Attendant</v>
          </cell>
          <cell r="AM529" t="str">
            <v>muhamad rifai</v>
          </cell>
          <cell r="AN529" t="str">
            <v>BCA</v>
          </cell>
          <cell r="AO529">
            <v>6300254991</v>
          </cell>
          <cell r="CN529">
            <v>45901</v>
          </cell>
        </row>
        <row r="530">
          <cell r="H530" t="str">
            <v>Zulfadli</v>
          </cell>
          <cell r="I530" t="str">
            <v>Ware House Attendant</v>
          </cell>
          <cell r="AM530" t="str">
            <v xml:space="preserve">Zulfadli </v>
          </cell>
          <cell r="AN530" t="str">
            <v>BCA</v>
          </cell>
          <cell r="AO530">
            <v>8710317616</v>
          </cell>
          <cell r="CN530">
            <v>34953</v>
          </cell>
        </row>
        <row r="531">
          <cell r="H531" t="str">
            <v>Aris munandar</v>
          </cell>
          <cell r="I531" t="str">
            <v>Ware House Attendant</v>
          </cell>
          <cell r="AM531" t="str">
            <v>Aris munandar</v>
          </cell>
          <cell r="AN531" t="str">
            <v>MANDIRI</v>
          </cell>
          <cell r="AO531">
            <v>1290010581458</v>
          </cell>
          <cell r="CN531">
            <v>45901</v>
          </cell>
        </row>
        <row r="532">
          <cell r="H532" t="str">
            <v>Sahrul Roji</v>
          </cell>
          <cell r="I532" t="str">
            <v>Administrator</v>
          </cell>
          <cell r="AM532" t="str">
            <v>Sahrul Roji</v>
          </cell>
          <cell r="AN532" t="str">
            <v>BCA</v>
          </cell>
          <cell r="AO532">
            <v>6310298164</v>
          </cell>
          <cell r="CN532">
            <v>42262</v>
          </cell>
        </row>
        <row r="533">
          <cell r="H533" t="str">
            <v>Mardi Hermansyah</v>
          </cell>
          <cell r="I533" t="str">
            <v>Ware House Attendant</v>
          </cell>
          <cell r="AM533" t="str">
            <v>Mardi Hermansyah</v>
          </cell>
          <cell r="AN533" t="str">
            <v>BCA</v>
          </cell>
          <cell r="AO533">
            <v>5450243801</v>
          </cell>
          <cell r="CN533">
            <v>45901</v>
          </cell>
        </row>
        <row r="534">
          <cell r="H534" t="str">
            <v>AHMAD SYARIFUDIN</v>
          </cell>
          <cell r="I534" t="str">
            <v>Checker</v>
          </cell>
          <cell r="AM534" t="str">
            <v>AHMAD SYARIFUDIN</v>
          </cell>
          <cell r="AN534" t="str">
            <v>MANDIRI</v>
          </cell>
          <cell r="AO534">
            <v>1250014735591</v>
          </cell>
          <cell r="CN534">
            <v>45901</v>
          </cell>
        </row>
        <row r="535">
          <cell r="H535" t="str">
            <v>AHMAD SYARIFUDIN</v>
          </cell>
          <cell r="I535" t="str">
            <v>Checker</v>
          </cell>
          <cell r="AM535" t="str">
            <v>AHMAD SYARIFUDIN</v>
          </cell>
          <cell r="AN535" t="str">
            <v>MANDIRI</v>
          </cell>
          <cell r="AO535">
            <v>1250014735591</v>
          </cell>
          <cell r="CN535">
            <v>45901</v>
          </cell>
        </row>
        <row r="536">
          <cell r="H536" t="str">
            <v>Muhamad ogi mugiroh</v>
          </cell>
          <cell r="I536" t="str">
            <v>Ware House Attendant</v>
          </cell>
          <cell r="AM536" t="str">
            <v>Muhamad ogi mugiroh</v>
          </cell>
          <cell r="AN536" t="str">
            <v>BCA</v>
          </cell>
          <cell r="AO536">
            <v>7405121336</v>
          </cell>
          <cell r="CN536">
            <v>45474</v>
          </cell>
        </row>
        <row r="537">
          <cell r="H537" t="str">
            <v>Muhamad ali</v>
          </cell>
          <cell r="I537" t="str">
            <v>Ware House Attendant</v>
          </cell>
          <cell r="AM537" t="str">
            <v xml:space="preserve">Muhamad ali </v>
          </cell>
          <cell r="AN537" t="str">
            <v>MANDIRI</v>
          </cell>
          <cell r="AO537">
            <v>9000030750369</v>
          </cell>
          <cell r="CN537">
            <v>41640</v>
          </cell>
        </row>
        <row r="538">
          <cell r="H538" t="str">
            <v>Febru Ismantoro</v>
          </cell>
          <cell r="I538" t="str">
            <v>Checker</v>
          </cell>
          <cell r="AM538" t="str">
            <v>Febru Ismantoro</v>
          </cell>
          <cell r="AN538" t="str">
            <v>BRI</v>
          </cell>
          <cell r="AO538" t="str">
            <v>1202-01-000585-50-2</v>
          </cell>
          <cell r="CN538">
            <v>45901</v>
          </cell>
        </row>
        <row r="539">
          <cell r="H539" t="str">
            <v>Cecep Kartiwa</v>
          </cell>
          <cell r="I539" t="str">
            <v>Ware House Attendant</v>
          </cell>
          <cell r="AM539" t="str">
            <v>Cecep Kartiwa</v>
          </cell>
          <cell r="AN539" t="str">
            <v>BCA</v>
          </cell>
          <cell r="AO539">
            <v>7770779485</v>
          </cell>
          <cell r="CN539">
            <v>39234</v>
          </cell>
        </row>
        <row r="540">
          <cell r="H540" t="str">
            <v>Tajul aripin</v>
          </cell>
          <cell r="I540" t="str">
            <v>Ware House Attendant</v>
          </cell>
          <cell r="AM540" t="str">
            <v>Tajul aripin</v>
          </cell>
          <cell r="AN540" t="str">
            <v>BCA</v>
          </cell>
          <cell r="AO540">
            <v>1481011391</v>
          </cell>
          <cell r="CN540">
            <v>34630</v>
          </cell>
        </row>
        <row r="541">
          <cell r="H541" t="str">
            <v>ABD.GHONI JAMAL</v>
          </cell>
          <cell r="I541" t="str">
            <v>Administrator</v>
          </cell>
          <cell r="AM541" t="str">
            <v>ABD GHONI JAMAL</v>
          </cell>
          <cell r="AN541" t="str">
            <v>BRI</v>
          </cell>
          <cell r="AO541">
            <v>120201000754509</v>
          </cell>
          <cell r="CN541">
            <v>45901</v>
          </cell>
        </row>
        <row r="542">
          <cell r="H542" t="str">
            <v>Ahmad abdul koyyum</v>
          </cell>
          <cell r="I542" t="str">
            <v>Ware House Attendant</v>
          </cell>
          <cell r="AM542" t="str">
            <v>Ahmad abdul koyyum</v>
          </cell>
          <cell r="AN542" t="str">
            <v>BCA</v>
          </cell>
          <cell r="AO542">
            <v>8710157074</v>
          </cell>
          <cell r="CN542">
            <v>42705</v>
          </cell>
        </row>
        <row r="543">
          <cell r="H543" t="str">
            <v>Choirul Huda</v>
          </cell>
          <cell r="I543" t="str">
            <v>Ware House Attendant</v>
          </cell>
          <cell r="AM543" t="str">
            <v>Choirul Huda</v>
          </cell>
          <cell r="AN543" t="str">
            <v>BCA</v>
          </cell>
          <cell r="AO543">
            <v>6300276138</v>
          </cell>
          <cell r="CN543">
            <v>45901</v>
          </cell>
        </row>
        <row r="544">
          <cell r="H544" t="str">
            <v>Rizky fadilah</v>
          </cell>
          <cell r="I544" t="str">
            <v>Checker</v>
          </cell>
          <cell r="AM544" t="str">
            <v>Rizky fadilah</v>
          </cell>
          <cell r="AN544" t="str">
            <v>BCA</v>
          </cell>
          <cell r="AO544">
            <v>4120063087</v>
          </cell>
          <cell r="CN544">
            <v>40826</v>
          </cell>
        </row>
        <row r="545">
          <cell r="H545" t="str">
            <v>R Iwan Hendarsah</v>
          </cell>
          <cell r="I545" t="str">
            <v>Administrator</v>
          </cell>
          <cell r="AM545" t="str">
            <v>R Iwan Hendarsah</v>
          </cell>
          <cell r="AN545" t="str">
            <v>BRI</v>
          </cell>
          <cell r="AO545">
            <v>120201002595503</v>
          </cell>
          <cell r="CN545">
            <v>45901</v>
          </cell>
        </row>
        <row r="546">
          <cell r="H546" t="str">
            <v>Heri</v>
          </cell>
          <cell r="I546" t="str">
            <v>General Service Supervisor</v>
          </cell>
          <cell r="AM546" t="str">
            <v>Heri</v>
          </cell>
          <cell r="AN546" t="str">
            <v>BRI</v>
          </cell>
          <cell r="AO546">
            <v>120201002736507</v>
          </cell>
          <cell r="CN546">
            <v>45901</v>
          </cell>
        </row>
        <row r="547">
          <cell r="H547" t="str">
            <v>Achamd zeky</v>
          </cell>
          <cell r="I547" t="str">
            <v>Front Officer</v>
          </cell>
          <cell r="AM547" t="str">
            <v>Acham zeky</v>
          </cell>
          <cell r="AN547" t="str">
            <v>BCA</v>
          </cell>
          <cell r="AO547">
            <v>2671244941</v>
          </cell>
          <cell r="CN547">
            <v>45901</v>
          </cell>
        </row>
        <row r="548">
          <cell r="H548" t="str">
            <v>Rendi amanda lubis</v>
          </cell>
          <cell r="I548" t="str">
            <v>Security Guard (Anggota)</v>
          </cell>
          <cell r="AM548" t="str">
            <v>Rendi amanda lubis</v>
          </cell>
          <cell r="AN548" t="str">
            <v>BRI</v>
          </cell>
          <cell r="AO548">
            <v>69301022167506</v>
          </cell>
          <cell r="CN548">
            <v>45907</v>
          </cell>
        </row>
        <row r="549">
          <cell r="H549" t="str">
            <v>AGUSTINUS HARTONO</v>
          </cell>
          <cell r="I549" t="str">
            <v>Administrator</v>
          </cell>
          <cell r="AM549" t="str">
            <v>AGUSTINUS HARTONO</v>
          </cell>
          <cell r="AN549" t="str">
            <v>BRI</v>
          </cell>
          <cell r="AO549">
            <v>95501008226530</v>
          </cell>
          <cell r="CN549">
            <v>45901</v>
          </cell>
        </row>
        <row r="550">
          <cell r="H550" t="str">
            <v>Listia septiani</v>
          </cell>
          <cell r="I550" t="str">
            <v>Administrator</v>
          </cell>
          <cell r="AM550" t="str">
            <v>Listia septiani</v>
          </cell>
          <cell r="AN550" t="str">
            <v>BCA</v>
          </cell>
          <cell r="AO550">
            <v>3500329954</v>
          </cell>
          <cell r="CN550">
            <v>33874</v>
          </cell>
        </row>
        <row r="551">
          <cell r="H551" t="str">
            <v>IIN PARIANAH</v>
          </cell>
          <cell r="I551" t="str">
            <v>Security Guard (Anggota)</v>
          </cell>
          <cell r="AM551" t="str">
            <v>IIN PARIANAH</v>
          </cell>
          <cell r="AN551" t="str">
            <v>BCA</v>
          </cell>
          <cell r="AO551">
            <v>4140387024</v>
          </cell>
          <cell r="CN551">
            <v>45902</v>
          </cell>
        </row>
        <row r="552">
          <cell r="H552" t="str">
            <v>CHRISTINA HANA RENDUS</v>
          </cell>
          <cell r="I552" t="str">
            <v>Sales Promotion Attendant</v>
          </cell>
          <cell r="AM552" t="str">
            <v>CHRISTINA HANA RENDUS</v>
          </cell>
          <cell r="AN552" t="str">
            <v>BCA</v>
          </cell>
          <cell r="AO552">
            <v>5115117162</v>
          </cell>
          <cell r="CN552">
            <v>45931</v>
          </cell>
        </row>
        <row r="553">
          <cell r="H553" t="str">
            <v>BENI SATRIA</v>
          </cell>
          <cell r="I553" t="str">
            <v>Security Guard (Anggota)</v>
          </cell>
          <cell r="AM553" t="str">
            <v>BENI SATRIA</v>
          </cell>
          <cell r="AN553" t="str">
            <v>BNI</v>
          </cell>
          <cell r="AO553">
            <v>1977544385</v>
          </cell>
          <cell r="CN553">
            <v>45906</v>
          </cell>
        </row>
        <row r="554">
          <cell r="H554" t="str">
            <v>Erni Rosyita</v>
          </cell>
          <cell r="I554" t="str">
            <v>Sales Promotion Attendant</v>
          </cell>
          <cell r="AM554" t="str">
            <v>Erni Rosyita</v>
          </cell>
          <cell r="AN554" t="str">
            <v>BCA</v>
          </cell>
          <cell r="AO554">
            <v>370312524</v>
          </cell>
          <cell r="CN554">
            <v>45931</v>
          </cell>
        </row>
        <row r="555">
          <cell r="H555" t="str">
            <v>Moch Liulinnuha</v>
          </cell>
          <cell r="I555" t="str">
            <v>Ware House Attendant</v>
          </cell>
          <cell r="AM555" t="str">
            <v>Moch Liulinnuha</v>
          </cell>
          <cell r="AN555" t="str">
            <v>BRI</v>
          </cell>
          <cell r="AO555">
            <v>314401026067538</v>
          </cell>
          <cell r="CN555">
            <v>45915</v>
          </cell>
        </row>
        <row r="556">
          <cell r="H556" t="str">
            <v>MOCH EFENDI WIDIYONO</v>
          </cell>
          <cell r="I556" t="str">
            <v>Ware House Attendant</v>
          </cell>
          <cell r="AM556" t="str">
            <v>MOCH EFENDI WIDIYONO</v>
          </cell>
          <cell r="AN556" t="str">
            <v>BCA</v>
          </cell>
          <cell r="AO556">
            <v>2141223595</v>
          </cell>
          <cell r="CN556">
            <v>45915</v>
          </cell>
        </row>
        <row r="557">
          <cell r="H557" t="str">
            <v>Aditya Kusuma Putra</v>
          </cell>
          <cell r="I557" t="str">
            <v>Ware House Attendant</v>
          </cell>
          <cell r="AM557" t="str">
            <v>Aditya Kusuma Putra</v>
          </cell>
          <cell r="AN557" t="str">
            <v>BCA</v>
          </cell>
          <cell r="AO557">
            <v>190505855</v>
          </cell>
          <cell r="CN557">
            <v>45915</v>
          </cell>
        </row>
        <row r="558">
          <cell r="H558" t="str">
            <v>Muhammad Akbar Fernando Deta</v>
          </cell>
          <cell r="I558" t="str">
            <v>Ware House Attendant</v>
          </cell>
          <cell r="AM558" t="str">
            <v>Muhammad Akbar Fernando Deta</v>
          </cell>
          <cell r="AN558" t="str">
            <v>BCA</v>
          </cell>
          <cell r="AO558">
            <v>8221623690</v>
          </cell>
          <cell r="CN558">
            <v>45915</v>
          </cell>
        </row>
        <row r="559">
          <cell r="H559" t="str">
            <v>MOCH.LIULINNUHA</v>
          </cell>
          <cell r="I559" t="str">
            <v>Ware House Attendant</v>
          </cell>
          <cell r="AM559" t="str">
            <v>MOCH.LIULINNUHA</v>
          </cell>
          <cell r="AN559" t="str">
            <v>BRI</v>
          </cell>
          <cell r="AO559">
            <v>314401026067538</v>
          </cell>
          <cell r="CN559">
            <v>45915</v>
          </cell>
        </row>
        <row r="560">
          <cell r="H560" t="str">
            <v>zohan januarianti</v>
          </cell>
          <cell r="I560" t="str">
            <v>Administrator</v>
          </cell>
          <cell r="AM560" t="str">
            <v>zohan januarianti</v>
          </cell>
          <cell r="AN560" t="str">
            <v>BCA</v>
          </cell>
          <cell r="AO560">
            <v>5120575131</v>
          </cell>
          <cell r="CN560">
            <v>45922</v>
          </cell>
        </row>
        <row r="561">
          <cell r="H561" t="str">
            <v>Aditya Kusuma Putra</v>
          </cell>
          <cell r="I561" t="str">
            <v>Ware House Attendant</v>
          </cell>
          <cell r="AM561" t="str">
            <v>Aditya Kusuma Putra</v>
          </cell>
          <cell r="AN561" t="str">
            <v>BCA</v>
          </cell>
          <cell r="AO561">
            <v>190505855</v>
          </cell>
          <cell r="CN561">
            <v>45915</v>
          </cell>
        </row>
        <row r="562">
          <cell r="H562" t="str">
            <v>BUDI WIDIATMOKO</v>
          </cell>
          <cell r="I562" t="str">
            <v>Security Guard (Anggota)</v>
          </cell>
          <cell r="AM562" t="str">
            <v>BUDI WIDIATMOKO</v>
          </cell>
          <cell r="AN562" t="str">
            <v>BRI</v>
          </cell>
          <cell r="AO562">
            <v>383701024698532</v>
          </cell>
          <cell r="CN562">
            <v>45934</v>
          </cell>
        </row>
        <row r="563">
          <cell r="H563" t="str">
            <v>MUHAMMAD ZAINI</v>
          </cell>
          <cell r="I563" t="str">
            <v>Security (Danru)</v>
          </cell>
          <cell r="AM563" t="str">
            <v>MUHAMMAD ZAINI</v>
          </cell>
          <cell r="AN563" t="str">
            <v>BCA</v>
          </cell>
          <cell r="AO563">
            <v>512634336</v>
          </cell>
          <cell r="CN563">
            <v>45108</v>
          </cell>
        </row>
        <row r="564">
          <cell r="H564" t="str">
            <v>Muhammad fazli wiratara</v>
          </cell>
          <cell r="I564" t="str">
            <v>Security Guard (Anggota)</v>
          </cell>
          <cell r="AM564" t="str">
            <v xml:space="preserve">Muhammad fazli wiratara </v>
          </cell>
          <cell r="AN564" t="str">
            <v>BCA</v>
          </cell>
          <cell r="AO564">
            <v>6755735446</v>
          </cell>
          <cell r="CN564">
            <v>45931</v>
          </cell>
        </row>
        <row r="565">
          <cell r="H565" t="str">
            <v>ZESTIAN R. RAHIM</v>
          </cell>
          <cell r="I565" t="str">
            <v>Security Guard (Anggota)</v>
          </cell>
          <cell r="AM565" t="str">
            <v>ZESTIAN R. RAHIM</v>
          </cell>
          <cell r="AN565" t="str">
            <v>BCA</v>
          </cell>
          <cell r="AO565">
            <v>263756841</v>
          </cell>
          <cell r="CN565">
            <v>45931</v>
          </cell>
        </row>
        <row r="566">
          <cell r="H566" t="str">
            <v>VEDI ASTAMI</v>
          </cell>
          <cell r="I566" t="str">
            <v>Sales Promotion Attendant</v>
          </cell>
          <cell r="AM566" t="str">
            <v>VEDI ASTAMI</v>
          </cell>
          <cell r="AN566" t="str">
            <v>BCA</v>
          </cell>
          <cell r="AO566">
            <v>8215371677</v>
          </cell>
          <cell r="CN566">
            <v>45931</v>
          </cell>
        </row>
        <row r="567">
          <cell r="H567" t="str">
            <v>Febiana Putri Mariati</v>
          </cell>
          <cell r="I567" t="str">
            <v>Sales Promotion Attendant</v>
          </cell>
          <cell r="AM567" t="str">
            <v>Febiana Putri Mariati</v>
          </cell>
          <cell r="AN567" t="str">
            <v>BCA</v>
          </cell>
          <cell r="AO567">
            <v>6585042131</v>
          </cell>
          <cell r="CN567">
            <v>45931</v>
          </cell>
        </row>
        <row r="568">
          <cell r="H568" t="str">
            <v>SETIAWAN AGUNG CAHYONO</v>
          </cell>
          <cell r="I568" t="str">
            <v>Checker</v>
          </cell>
          <cell r="AM568" t="str">
            <v>SETIAWAN AGUNG CAHYONO</v>
          </cell>
          <cell r="AN568" t="str">
            <v>BCA</v>
          </cell>
          <cell r="AO568">
            <v>885652285</v>
          </cell>
          <cell r="CN568">
            <v>45597</v>
          </cell>
        </row>
        <row r="569">
          <cell r="H569" t="str">
            <v>MAHESA DIMAS ADI SAPUTRO</v>
          </cell>
          <cell r="I569" t="str">
            <v>Ware House Attendant</v>
          </cell>
          <cell r="AM569" t="str">
            <v xml:space="preserve">MAHESA DIMAS ADI SAPUTRO </v>
          </cell>
          <cell r="AN569" t="str">
            <v>BCA</v>
          </cell>
          <cell r="AO569">
            <v>6265151926</v>
          </cell>
          <cell r="CN569">
            <v>45883</v>
          </cell>
        </row>
        <row r="570">
          <cell r="H570" t="str">
            <v>Khairunnisa</v>
          </cell>
          <cell r="I570" t="str">
            <v>Administrator</v>
          </cell>
          <cell r="AM570" t="str">
            <v>KHAIRUNNISA</v>
          </cell>
          <cell r="AN570" t="str">
            <v>BNI</v>
          </cell>
          <cell r="AO570">
            <v>1226997216</v>
          </cell>
          <cell r="CN570">
            <v>45964</v>
          </cell>
        </row>
        <row r="571">
          <cell r="H571" t="str">
            <v>Shahdan Ramadhan</v>
          </cell>
          <cell r="I571" t="str">
            <v>General Service Attendant</v>
          </cell>
          <cell r="AM571" t="str">
            <v>Shahdan Ramadhan</v>
          </cell>
          <cell r="AN571" t="str">
            <v>BCA</v>
          </cell>
          <cell r="AO571">
            <v>4730841481</v>
          </cell>
          <cell r="CN571">
            <v>35792</v>
          </cell>
        </row>
        <row r="572">
          <cell r="H572" t="str">
            <v>sumrah</v>
          </cell>
          <cell r="I572" t="str">
            <v>Sales Promotion Attendant</v>
          </cell>
          <cell r="AM572" t="str">
            <v>sumrah</v>
          </cell>
          <cell r="AN572" t="str">
            <v>BCA</v>
          </cell>
          <cell r="AO572">
            <v>1711551218</v>
          </cell>
          <cell r="CN572">
            <v>45962</v>
          </cell>
        </row>
        <row r="573">
          <cell r="H573" t="str">
            <v>VERDA SAGITA</v>
          </cell>
          <cell r="I573" t="str">
            <v>Sales Promotion Attendant</v>
          </cell>
          <cell r="AM573" t="str">
            <v>VERDA SAGITA</v>
          </cell>
          <cell r="AN573" t="str">
            <v>BCA</v>
          </cell>
          <cell r="AO573">
            <v>7615004847</v>
          </cell>
          <cell r="CN573">
            <v>45478</v>
          </cell>
        </row>
        <row r="574">
          <cell r="H574" t="str">
            <v>Cyintia Sianipar</v>
          </cell>
          <cell r="I574" t="str">
            <v>Sales Promotion Attendant</v>
          </cell>
          <cell r="AM574" t="str">
            <v>CYINTIA SIANIPAR</v>
          </cell>
          <cell r="AN574" t="str">
            <v>BCA</v>
          </cell>
          <cell r="AO574">
            <v>8075236618</v>
          </cell>
          <cell r="CN574">
            <v>45950</v>
          </cell>
        </row>
        <row r="575">
          <cell r="H575" t="str">
            <v>SETIAWAN</v>
          </cell>
          <cell r="I575" t="str">
            <v>Security Guard (Anggota)</v>
          </cell>
          <cell r="AM575" t="str">
            <v>SETIAWAN</v>
          </cell>
          <cell r="AN575" t="str">
            <v>BCA</v>
          </cell>
          <cell r="AO575">
            <v>7215459616</v>
          </cell>
          <cell r="CN575">
            <v>45962</v>
          </cell>
        </row>
        <row r="576">
          <cell r="H576" t="str">
            <v>APRILISANTO SYAHPUTRA</v>
          </cell>
          <cell r="I576" t="str">
            <v>FO dan Marketing</v>
          </cell>
          <cell r="AM576" t="str">
            <v>APRILISANTO SYAHPUTRA</v>
          </cell>
          <cell r="AN576" t="str">
            <v>BCA</v>
          </cell>
          <cell r="AO576">
            <v>8275734132</v>
          </cell>
          <cell r="CN576">
            <v>45962</v>
          </cell>
        </row>
        <row r="577">
          <cell r="H577" t="str">
            <v>Iwa sumarna</v>
          </cell>
          <cell r="I577" t="str">
            <v>Ware House Attendant</v>
          </cell>
          <cell r="AM577" t="str">
            <v>Iwa sumarna</v>
          </cell>
          <cell r="AN577" t="str">
            <v>BCA</v>
          </cell>
          <cell r="AO577">
            <v>2831584507</v>
          </cell>
          <cell r="CN577">
            <v>41633</v>
          </cell>
        </row>
        <row r="578">
          <cell r="H578" t="str">
            <v>Yayan Hadiansyah</v>
          </cell>
          <cell r="I578" t="str">
            <v>Ware House Attendant</v>
          </cell>
          <cell r="AM578" t="str">
            <v>Yayan Hadiansyah</v>
          </cell>
          <cell r="AN578" t="str">
            <v>BCA</v>
          </cell>
          <cell r="AO578">
            <v>4491301192</v>
          </cell>
          <cell r="CN578">
            <v>40431</v>
          </cell>
        </row>
        <row r="579">
          <cell r="H579" t="str">
            <v>TOMI ZAHARA</v>
          </cell>
          <cell r="I579" t="str">
            <v>Ware House Attendant</v>
          </cell>
          <cell r="AM579" t="str">
            <v>TOMI ZAHARA</v>
          </cell>
          <cell r="AN579" t="str">
            <v>BCA</v>
          </cell>
          <cell r="AO579">
            <v>4561451383</v>
          </cell>
          <cell r="CN579">
            <v>45962</v>
          </cell>
        </row>
        <row r="580">
          <cell r="H580" t="str">
            <v>Andhika putra pratama</v>
          </cell>
          <cell r="I580" t="str">
            <v>Ware House Attendant</v>
          </cell>
          <cell r="AM580" t="str">
            <v>Andhika putra pratama</v>
          </cell>
          <cell r="AN580" t="str">
            <v>BCA</v>
          </cell>
          <cell r="AO580">
            <v>8611102836</v>
          </cell>
          <cell r="CN580">
            <v>45962</v>
          </cell>
        </row>
        <row r="581">
          <cell r="H581" t="str">
            <v>Septian Bagaskara</v>
          </cell>
          <cell r="I581" t="str">
            <v>Ware House Attendant</v>
          </cell>
          <cell r="AM581" t="str">
            <v>Septian Bagaskara</v>
          </cell>
          <cell r="AN581" t="str">
            <v>BCA</v>
          </cell>
          <cell r="AO581" t="str">
            <v>456-145-2070</v>
          </cell>
          <cell r="CN581">
            <v>45962</v>
          </cell>
        </row>
        <row r="582">
          <cell r="H582" t="str">
            <v>Evendi Suratno</v>
          </cell>
          <cell r="I582" t="str">
            <v>Ware House Attendant</v>
          </cell>
          <cell r="AM582" t="str">
            <v>Evendi Suratno</v>
          </cell>
          <cell r="AN582" t="str">
            <v>BCA</v>
          </cell>
          <cell r="AO582">
            <v>374872563</v>
          </cell>
          <cell r="CN582">
            <v>45964</v>
          </cell>
        </row>
        <row r="583">
          <cell r="H583" t="str">
            <v>TAUFIK RIDHO WASKITO</v>
          </cell>
          <cell r="I583" t="str">
            <v>Checker</v>
          </cell>
          <cell r="AM583" t="str">
            <v>Taufik ridho waskito</v>
          </cell>
          <cell r="AN583" t="str">
            <v>BCA</v>
          </cell>
          <cell r="AO583">
            <v>4561454641</v>
          </cell>
          <cell r="CN583">
            <v>45964</v>
          </cell>
        </row>
        <row r="584">
          <cell r="H584" t="str">
            <v>SUHANDA</v>
          </cell>
          <cell r="I584" t="str">
            <v>Ware House Attendant</v>
          </cell>
          <cell r="AM584" t="str">
            <v xml:space="preserve">SUHANDA </v>
          </cell>
          <cell r="AN584" t="str">
            <v>MANDIRI</v>
          </cell>
          <cell r="AO584" t="str">
            <v>SUHANDA
Bank Mandiri
1260005589428</v>
          </cell>
          <cell r="CN584">
            <v>45962</v>
          </cell>
        </row>
        <row r="585">
          <cell r="H585" t="str">
            <v>Muhammad fuad</v>
          </cell>
          <cell r="I585" t="str">
            <v>Ware House Attendant</v>
          </cell>
          <cell r="AM585" t="str">
            <v>Muhammad fuad</v>
          </cell>
          <cell r="AN585" t="str">
            <v>BCA</v>
          </cell>
          <cell r="AO585">
            <v>6872032351</v>
          </cell>
          <cell r="CN585">
            <v>45962</v>
          </cell>
        </row>
        <row r="586">
          <cell r="H586" t="str">
            <v>MUHAMMAD FARID YAHYA</v>
          </cell>
          <cell r="I586" t="str">
            <v>Ware House Attendant</v>
          </cell>
          <cell r="AM586" t="str">
            <v>MUHAMMAD FARID YAHYA</v>
          </cell>
          <cell r="AN586" t="str">
            <v>BCA</v>
          </cell>
          <cell r="AO586">
            <v>6631223041</v>
          </cell>
          <cell r="CN586">
            <v>45962</v>
          </cell>
        </row>
        <row r="587">
          <cell r="H587" t="str">
            <v>MOEHAMAD FARHAN</v>
          </cell>
          <cell r="I587" t="str">
            <v>Ware House Attendant</v>
          </cell>
          <cell r="AM587" t="str">
            <v>MOEHAMAD FARHAN</v>
          </cell>
          <cell r="AN587" t="str">
            <v>BCA</v>
          </cell>
          <cell r="AO587">
            <v>8710309664</v>
          </cell>
          <cell r="CN587">
            <v>45962</v>
          </cell>
        </row>
        <row r="588">
          <cell r="H588" t="str">
            <v>Iis Iskandar</v>
          </cell>
          <cell r="I588" t="str">
            <v>Ware House Attendant</v>
          </cell>
          <cell r="AM588" t="str">
            <v>Iis Iskandar</v>
          </cell>
          <cell r="AN588" t="str">
            <v>BCA</v>
          </cell>
          <cell r="AO588">
            <v>6241187541</v>
          </cell>
          <cell r="CN588">
            <v>45962</v>
          </cell>
        </row>
        <row r="589">
          <cell r="H589" t="str">
            <v>Tusino</v>
          </cell>
          <cell r="I589" t="str">
            <v>Ware House Attendant</v>
          </cell>
          <cell r="AM589" t="str">
            <v>Tusino</v>
          </cell>
          <cell r="AN589" t="str">
            <v>BCA</v>
          </cell>
          <cell r="AO589">
            <v>2270200969</v>
          </cell>
          <cell r="CN589">
            <v>45962</v>
          </cell>
        </row>
        <row r="590">
          <cell r="H590" t="str">
            <v>Endad Lesmana</v>
          </cell>
          <cell r="I590" t="str">
            <v>Ware House Attendant</v>
          </cell>
          <cell r="AM590" t="str">
            <v>Endad Lesmana</v>
          </cell>
          <cell r="AN590" t="str">
            <v>BCA</v>
          </cell>
          <cell r="AO590">
            <v>4142169464</v>
          </cell>
          <cell r="CN590">
            <v>45962</v>
          </cell>
        </row>
        <row r="591">
          <cell r="H591" t="str">
            <v>Awaluddin Sidik</v>
          </cell>
          <cell r="I591" t="str">
            <v>Ware House Attendant</v>
          </cell>
          <cell r="AM591" t="str">
            <v>Awaluddin Sidik</v>
          </cell>
          <cell r="AN591" t="str">
            <v>MANDIRI</v>
          </cell>
          <cell r="AO591">
            <v>1290006069807</v>
          </cell>
          <cell r="CN591">
            <v>45962</v>
          </cell>
        </row>
        <row r="592">
          <cell r="H592" t="str">
            <v>SAMSUL HERMAWAN</v>
          </cell>
          <cell r="I592" t="str">
            <v>Ware House Attendant</v>
          </cell>
          <cell r="AM592" t="str">
            <v xml:space="preserve">SAMSUL HERMAWAN </v>
          </cell>
          <cell r="AN592" t="str">
            <v>BCA</v>
          </cell>
          <cell r="AO592">
            <v>6630749211</v>
          </cell>
          <cell r="CN592">
            <v>45962</v>
          </cell>
        </row>
        <row r="593">
          <cell r="H593" t="str">
            <v>Rija pahlovi</v>
          </cell>
          <cell r="I593" t="str">
            <v>Ware House Attendant</v>
          </cell>
          <cell r="AM593" t="str">
            <v>Rija pahlovi</v>
          </cell>
          <cell r="AN593" t="str">
            <v>BCA</v>
          </cell>
          <cell r="AO593">
            <v>6240888244</v>
          </cell>
          <cell r="CN593">
            <v>45962</v>
          </cell>
        </row>
        <row r="594">
          <cell r="H594" t="str">
            <v>Faqih Ahmad Habib</v>
          </cell>
          <cell r="I594" t="str">
            <v>Ware House Attendant</v>
          </cell>
          <cell r="AM594" t="str">
            <v xml:space="preserve">Faqih Ahmad Habib </v>
          </cell>
          <cell r="AN594" t="str">
            <v>BCA</v>
          </cell>
          <cell r="AO594">
            <v>3450821127</v>
          </cell>
          <cell r="CN594">
            <v>45962</v>
          </cell>
        </row>
        <row r="595">
          <cell r="H595" t="str">
            <v>Luthfi Shofwani</v>
          </cell>
          <cell r="I595" t="str">
            <v>Administrator</v>
          </cell>
          <cell r="AM595" t="str">
            <v xml:space="preserve">Luthfi Shofwani </v>
          </cell>
          <cell r="AN595" t="str">
            <v>BCA</v>
          </cell>
          <cell r="AO595">
            <v>5211239418</v>
          </cell>
          <cell r="CN595">
            <v>45962</v>
          </cell>
        </row>
        <row r="596">
          <cell r="H596" t="str">
            <v>Rohmanih</v>
          </cell>
          <cell r="I596" t="str">
            <v>Ware House Attendant</v>
          </cell>
          <cell r="AM596" t="str">
            <v xml:space="preserve">Rohmanih </v>
          </cell>
          <cell r="AN596" t="str">
            <v>BRI</v>
          </cell>
          <cell r="AO596">
            <v>8710107816</v>
          </cell>
          <cell r="CN596">
            <v>45962</v>
          </cell>
        </row>
        <row r="597">
          <cell r="H597" t="str">
            <v>Dwi munandar isnanto</v>
          </cell>
          <cell r="I597" t="str">
            <v>Ware House Attendant</v>
          </cell>
          <cell r="AM597" t="str">
            <v>Dwi Munandar isnanto</v>
          </cell>
          <cell r="AN597" t="str">
            <v>BCA</v>
          </cell>
          <cell r="AO597">
            <v>8710295426</v>
          </cell>
          <cell r="CN597">
            <v>45962</v>
          </cell>
        </row>
        <row r="598">
          <cell r="H598" t="str">
            <v>Bai Mastur</v>
          </cell>
          <cell r="I598" t="str">
            <v>Ware House Attendant</v>
          </cell>
          <cell r="AM598" t="str">
            <v>Bai Mastur</v>
          </cell>
          <cell r="AN598" t="str">
            <v>BCA</v>
          </cell>
          <cell r="AO598">
            <v>8710074128</v>
          </cell>
          <cell r="CN598">
            <v>42743</v>
          </cell>
        </row>
        <row r="599">
          <cell r="H599" t="str">
            <v>Cecep warnerin</v>
          </cell>
          <cell r="I599" t="str">
            <v>Ware House Attendant</v>
          </cell>
          <cell r="AM599" t="str">
            <v>Cecep Warnerin</v>
          </cell>
          <cell r="AN599" t="str">
            <v>MANDIRI</v>
          </cell>
          <cell r="AO599">
            <v>60013675685</v>
          </cell>
          <cell r="CN599">
            <v>45962</v>
          </cell>
        </row>
        <row r="600">
          <cell r="H600" t="str">
            <v>Tofan alpindo</v>
          </cell>
          <cell r="I600" t="str">
            <v>Ware House Attendant</v>
          </cell>
          <cell r="AM600" t="str">
            <v>Tofan alpindo</v>
          </cell>
          <cell r="AN600" t="str">
            <v>BCA</v>
          </cell>
          <cell r="AO600">
            <v>1651950347</v>
          </cell>
          <cell r="CN600">
            <v>45962</v>
          </cell>
        </row>
        <row r="601">
          <cell r="H601" t="str">
            <v>Holil agil</v>
          </cell>
          <cell r="I601" t="str">
            <v>Ware House Attendant</v>
          </cell>
          <cell r="AM601" t="str">
            <v>Holil agil</v>
          </cell>
          <cell r="AN601" t="str">
            <v>BCA</v>
          </cell>
          <cell r="AO601">
            <v>8710262757</v>
          </cell>
          <cell r="CN601">
            <v>45962</v>
          </cell>
        </row>
        <row r="602">
          <cell r="H602" t="str">
            <v>Ambrin</v>
          </cell>
          <cell r="I602" t="str">
            <v>Ware House Attendant</v>
          </cell>
          <cell r="AM602" t="str">
            <v>AMBRIN</v>
          </cell>
          <cell r="AN602" t="str">
            <v>BCA</v>
          </cell>
          <cell r="AO602">
            <v>8710270423</v>
          </cell>
          <cell r="CN602">
            <v>45962</v>
          </cell>
        </row>
        <row r="603">
          <cell r="H603" t="str">
            <v>Abdul Hadi</v>
          </cell>
          <cell r="I603" t="str">
            <v>Ware House Attendant</v>
          </cell>
          <cell r="AM603" t="str">
            <v xml:space="preserve">Abdul Hadi </v>
          </cell>
          <cell r="AN603" t="str">
            <v>BCA</v>
          </cell>
          <cell r="AO603">
            <v>3450179361</v>
          </cell>
          <cell r="CN603">
            <v>45962</v>
          </cell>
        </row>
        <row r="604">
          <cell r="H604" t="str">
            <v>Andhika Manarul Hidayah</v>
          </cell>
          <cell r="I604" t="str">
            <v>General Service Attendant</v>
          </cell>
          <cell r="AM604" t="str">
            <v>Andhika Manarul Hidayah</v>
          </cell>
          <cell r="AN604" t="str">
            <v>BCA</v>
          </cell>
          <cell r="AO604">
            <v>6241028175</v>
          </cell>
          <cell r="CN604">
            <v>45962</v>
          </cell>
        </row>
        <row r="605">
          <cell r="H605" t="str">
            <v>AKHMAD KOMARUDIN</v>
          </cell>
          <cell r="I605" t="str">
            <v>General Service Attendant</v>
          </cell>
          <cell r="AM605" t="str">
            <v xml:space="preserve">AKHMAD KOMARUDIN </v>
          </cell>
          <cell r="AN605" t="str">
            <v>BCA</v>
          </cell>
          <cell r="AO605">
            <v>6300381993</v>
          </cell>
          <cell r="CN605">
            <v>45962</v>
          </cell>
        </row>
        <row r="606">
          <cell r="H606" t="str">
            <v>Indra Darmawan</v>
          </cell>
          <cell r="I606" t="str">
            <v>Ware House Attendant</v>
          </cell>
          <cell r="AM606" t="str">
            <v>Indra Darmawan</v>
          </cell>
          <cell r="AN606" t="str">
            <v>BCA</v>
          </cell>
          <cell r="AO606">
            <v>2170014165</v>
          </cell>
          <cell r="CN606">
            <v>45962</v>
          </cell>
        </row>
        <row r="607">
          <cell r="H607" t="str">
            <v>Achmad Zarkoni</v>
          </cell>
          <cell r="I607" t="str">
            <v>Ware House Attendant</v>
          </cell>
          <cell r="AM607" t="str">
            <v>Achmad Zarkoni</v>
          </cell>
          <cell r="AN607" t="str">
            <v>BCA</v>
          </cell>
          <cell r="AO607">
            <v>651553023</v>
          </cell>
          <cell r="CN607">
            <v>45962</v>
          </cell>
        </row>
        <row r="608">
          <cell r="H608" t="str">
            <v>Indra Darmawan</v>
          </cell>
          <cell r="I608" t="str">
            <v>Ware House Attendant</v>
          </cell>
          <cell r="AM608" t="str">
            <v xml:space="preserve">Indra Darmawan </v>
          </cell>
          <cell r="AN608" t="str">
            <v>BCA</v>
          </cell>
          <cell r="AO608">
            <v>2170014165</v>
          </cell>
          <cell r="CN608">
            <v>45962</v>
          </cell>
        </row>
        <row r="609">
          <cell r="H609" t="str">
            <v>Christover riandito shentu</v>
          </cell>
          <cell r="I609" t="str">
            <v>Ware House Attendant</v>
          </cell>
          <cell r="AM609" t="str">
            <v xml:space="preserve">CHRISTOVER RIANDITO SHENTU </v>
          </cell>
          <cell r="AN609" t="str">
            <v>BCA DIGITAL</v>
          </cell>
          <cell r="AO609">
            <v>6975675657</v>
          </cell>
          <cell r="CN609">
            <v>45962</v>
          </cell>
        </row>
        <row r="610">
          <cell r="H610" t="str">
            <v>Ahmad Fiqri Zaidan</v>
          </cell>
          <cell r="I610" t="str">
            <v>General Service Attendant</v>
          </cell>
          <cell r="AM610" t="str">
            <v>AHMAD FIQRI ZAIDAN</v>
          </cell>
          <cell r="AN610" t="str">
            <v>BCA</v>
          </cell>
          <cell r="AO610">
            <v>512775029</v>
          </cell>
          <cell r="CN610">
            <v>45957</v>
          </cell>
        </row>
        <row r="611">
          <cell r="H611" t="str">
            <v>Slamet Riyadi</v>
          </cell>
          <cell r="I611" t="str">
            <v>Sales Promotion Attendant</v>
          </cell>
          <cell r="AM611" t="str">
            <v>Slamet Riyadi</v>
          </cell>
          <cell r="AN611" t="str">
            <v>BCA</v>
          </cell>
          <cell r="AO611">
            <v>6281562867</v>
          </cell>
          <cell r="CN611">
            <v>45962</v>
          </cell>
        </row>
        <row r="612">
          <cell r="H612" t="str">
            <v>Andhika putra pratama</v>
          </cell>
          <cell r="I612" t="str">
            <v>Ware House Attendant</v>
          </cell>
          <cell r="AM612" t="str">
            <v>Andhika putra pratama</v>
          </cell>
          <cell r="AN612" t="str">
            <v>BCA</v>
          </cell>
          <cell r="AO612">
            <v>8611102836</v>
          </cell>
          <cell r="CN612">
            <v>45962</v>
          </cell>
        </row>
        <row r="613">
          <cell r="H613" t="str">
            <v>Indra Darmawan</v>
          </cell>
          <cell r="I613" t="str">
            <v>Ware House Attendant</v>
          </cell>
          <cell r="AM613" t="str">
            <v>Indra Darmawan</v>
          </cell>
          <cell r="AN613" t="str">
            <v>BCA</v>
          </cell>
          <cell r="AO613">
            <v>2170014165</v>
          </cell>
          <cell r="CN613">
            <v>40026</v>
          </cell>
        </row>
        <row r="614">
          <cell r="H614" t="str">
            <v>Prismanto Atmaji</v>
          </cell>
          <cell r="I614" t="str">
            <v>Ware House Attendant</v>
          </cell>
          <cell r="AM614" t="str">
            <v>Prismanto Atmaji</v>
          </cell>
          <cell r="AN614" t="str">
            <v>BCA</v>
          </cell>
          <cell r="AO614">
            <v>0</v>
          </cell>
          <cell r="CN614">
            <v>45985</v>
          </cell>
        </row>
        <row r="615">
          <cell r="H615" t="str">
            <v>Vedi Astami</v>
          </cell>
          <cell r="I615" t="str">
            <v>Sales Promotion Attendant</v>
          </cell>
          <cell r="AM615" t="str">
            <v>Vedi Astami</v>
          </cell>
          <cell r="AN615" t="str">
            <v>BCA</v>
          </cell>
          <cell r="AO615">
            <v>8215371677</v>
          </cell>
          <cell r="CN615">
            <v>45992</v>
          </cell>
        </row>
        <row r="616">
          <cell r="H616" t="str">
            <v>ILHAM SAPUTRA</v>
          </cell>
          <cell r="I616" t="str">
            <v>Security Guard (Anggota)</v>
          </cell>
          <cell r="AM616" t="str">
            <v>ILHAM SAPUTRA</v>
          </cell>
          <cell r="AN616" t="str">
            <v>BCA</v>
          </cell>
          <cell r="AO616">
            <v>582030853</v>
          </cell>
          <cell r="CN616">
            <v>45985</v>
          </cell>
        </row>
        <row r="617">
          <cell r="H617" t="str">
            <v>MUHAMAD FIKRI AL GHIFARI</v>
          </cell>
          <cell r="I617" t="str">
            <v>Sales Promotion Attendant</v>
          </cell>
          <cell r="AM617" t="str">
            <v>MUHAMAD FIKRI AL GHIFARI</v>
          </cell>
          <cell r="AN617" t="str">
            <v>BCA</v>
          </cell>
          <cell r="AO617">
            <v>7896081364</v>
          </cell>
          <cell r="CN617">
            <v>45992</v>
          </cell>
        </row>
        <row r="618">
          <cell r="H618" t="str">
            <v>Zanuar Reza Adiguna</v>
          </cell>
          <cell r="I618" t="str">
            <v>Security Guard (Anggota)</v>
          </cell>
          <cell r="AM618" t="str">
            <v xml:space="preserve">Zanuar Reza Adiguna </v>
          </cell>
          <cell r="AN618" t="str">
            <v>MANDIRI</v>
          </cell>
          <cell r="AO618">
            <v>1380027706832</v>
          </cell>
          <cell r="CN618">
            <v>45983</v>
          </cell>
        </row>
        <row r="619">
          <cell r="H619" t="str">
            <v>Dewi Fitri</v>
          </cell>
          <cell r="I619" t="str">
            <v>Administrator</v>
          </cell>
          <cell r="AM619" t="str">
            <v xml:space="preserve">DEWI FITRI </v>
          </cell>
          <cell r="AN619" t="str">
            <v>BCA</v>
          </cell>
          <cell r="AO619">
            <v>5475531083</v>
          </cell>
          <cell r="CN619">
            <v>45728</v>
          </cell>
        </row>
        <row r="620">
          <cell r="H620" t="str">
            <v>ABDI CHANDRA PUTRA</v>
          </cell>
          <cell r="I620" t="str">
            <v>Checker</v>
          </cell>
          <cell r="AM620" t="str">
            <v>ABDI CHANDRA PUTRA</v>
          </cell>
          <cell r="AN620" t="str">
            <v>BSI</v>
          </cell>
          <cell r="AO620">
            <v>1166981598</v>
          </cell>
          <cell r="CN620">
            <v>45992</v>
          </cell>
        </row>
        <row r="621">
          <cell r="H621" t="str">
            <v>ILYAS AFANDI</v>
          </cell>
          <cell r="I621" t="str">
            <v>Cleaning Services (Anggota)</v>
          </cell>
          <cell r="AM621" t="str">
            <v>IlYAS AFANDI</v>
          </cell>
          <cell r="AN621" t="str">
            <v>MANDIRI</v>
          </cell>
          <cell r="AO621">
            <v>700012678632</v>
          </cell>
          <cell r="CN621">
            <v>45993</v>
          </cell>
        </row>
        <row r="622">
          <cell r="H622" t="str">
            <v>Nabilla Sapitri</v>
          </cell>
          <cell r="I622" t="str">
            <v>Costumer Services</v>
          </cell>
          <cell r="AM622" t="str">
            <v>Nabilla Sapitri</v>
          </cell>
          <cell r="AN622" t="str">
            <v>BCA</v>
          </cell>
          <cell r="AO622">
            <v>5475389830</v>
          </cell>
          <cell r="CN622">
            <v>46003</v>
          </cell>
        </row>
        <row r="623">
          <cell r="H623" t="str">
            <v>Muhammad nasikhul amin</v>
          </cell>
          <cell r="I623" t="str">
            <v>Cleaning Services (Anggota)</v>
          </cell>
          <cell r="AM623" t="str">
            <v>Muhammad naskhul amin</v>
          </cell>
          <cell r="AN623" t="str">
            <v>BCA</v>
          </cell>
          <cell r="AO623">
            <v>4680124146</v>
          </cell>
          <cell r="CN623">
            <v>45336</v>
          </cell>
        </row>
        <row r="624">
          <cell r="H624" t="str">
            <v>AWAN IRAWAN</v>
          </cell>
          <cell r="I624" t="str">
            <v>Office Boy</v>
          </cell>
          <cell r="AM624" t="str">
            <v>AWAN IRAWAN</v>
          </cell>
          <cell r="AN624" t="str">
            <v>BCA</v>
          </cell>
          <cell r="AO624" t="str">
            <v>-</v>
          </cell>
          <cell r="CN624">
            <v>46023</v>
          </cell>
        </row>
        <row r="625">
          <cell r="H625" t="str">
            <v>Okky triyandanu</v>
          </cell>
          <cell r="I625" t="str">
            <v>Office Boy</v>
          </cell>
          <cell r="AM625" t="str">
            <v>Okky triyandanu</v>
          </cell>
          <cell r="AN625" t="str">
            <v>BCA</v>
          </cell>
          <cell r="AO625">
            <v>2291779150</v>
          </cell>
          <cell r="CN625">
            <v>46023</v>
          </cell>
        </row>
        <row r="626">
          <cell r="H626" t="str">
            <v>Suweno</v>
          </cell>
          <cell r="I626" t="str">
            <v>Ware House Attendant</v>
          </cell>
          <cell r="AM626" t="str">
            <v>Suweno</v>
          </cell>
          <cell r="AN626" t="str">
            <v>BCA</v>
          </cell>
          <cell r="AO626">
            <v>1780111182</v>
          </cell>
          <cell r="CN626">
            <v>46023</v>
          </cell>
        </row>
        <row r="627">
          <cell r="H627" t="str">
            <v>Slamet riyadi</v>
          </cell>
          <cell r="I627" t="str">
            <v>Petugas Gudang</v>
          </cell>
          <cell r="AM627" t="str">
            <v>Slamet riyadi</v>
          </cell>
          <cell r="AN627" t="str">
            <v>BCA</v>
          </cell>
          <cell r="AO627" t="str">
            <v>-</v>
          </cell>
          <cell r="CN627">
            <v>46023</v>
          </cell>
        </row>
        <row r="628">
          <cell r="H628" t="str">
            <v>Dedi Triyono</v>
          </cell>
          <cell r="I628" t="str">
            <v>Security Guard (Anggota)</v>
          </cell>
          <cell r="AM628" t="str">
            <v>Dedi Triyono</v>
          </cell>
          <cell r="AN628" t="str">
            <v>BNI</v>
          </cell>
          <cell r="AO628">
            <v>1237899385</v>
          </cell>
          <cell r="CN628">
            <v>43040</v>
          </cell>
        </row>
        <row r="629">
          <cell r="H629" t="str">
            <v>Deni Pengestu</v>
          </cell>
          <cell r="I629" t="str">
            <v>Office Boy</v>
          </cell>
          <cell r="AM629" t="str">
            <v>Deni Pengestu</v>
          </cell>
          <cell r="AN629" t="str">
            <v>BCA</v>
          </cell>
          <cell r="AO629">
            <v>6475266441</v>
          </cell>
          <cell r="CN629">
            <v>42583</v>
          </cell>
        </row>
        <row r="630">
          <cell r="H630" t="str">
            <v>I Made Juliata</v>
          </cell>
          <cell r="I630" t="str">
            <v>Security Guard (Anggota)</v>
          </cell>
          <cell r="AM630" t="str">
            <v>I Made Juliata</v>
          </cell>
          <cell r="AN630" t="str">
            <v>BRI</v>
          </cell>
          <cell r="AO630">
            <v>59101022114507</v>
          </cell>
          <cell r="CN630">
            <v>40335</v>
          </cell>
        </row>
        <row r="631">
          <cell r="H631" t="str">
            <v>CYINTIA SIANIPAR</v>
          </cell>
          <cell r="I631" t="str">
            <v>Sales Promotion Attendant</v>
          </cell>
          <cell r="AM631" t="str">
            <v>Cyintia Sianipar</v>
          </cell>
          <cell r="AN631" t="str">
            <v>BCA</v>
          </cell>
          <cell r="AO631">
            <v>8075236618</v>
          </cell>
          <cell r="CN631">
            <v>46012</v>
          </cell>
        </row>
        <row r="632">
          <cell r="H632" t="str">
            <v>Hamidil Majidnur</v>
          </cell>
          <cell r="I632" t="str">
            <v>Security Guard (Anggota)</v>
          </cell>
          <cell r="AM632" t="str">
            <v xml:space="preserve">Hamidil Majidnur </v>
          </cell>
          <cell r="AN632" t="str">
            <v>MANDIRI</v>
          </cell>
          <cell r="AO632">
            <v>1180013501746</v>
          </cell>
          <cell r="CN632">
            <v>46003</v>
          </cell>
        </row>
        <row r="633">
          <cell r="H633" t="str">
            <v>Ika Nurmala Sari</v>
          </cell>
          <cell r="I633" t="str">
            <v>Sales Promotion Attendant</v>
          </cell>
          <cell r="AM633" t="str">
            <v>Ika Nurmala Sari</v>
          </cell>
          <cell r="AN633" t="str">
            <v>BCA</v>
          </cell>
          <cell r="AO633">
            <v>271639901</v>
          </cell>
          <cell r="CN633">
            <v>46011</v>
          </cell>
        </row>
        <row r="634">
          <cell r="H634" t="str">
            <v>ARIF TRY SAPUTRA</v>
          </cell>
          <cell r="I634" t="str">
            <v>Security Guard (Anggota)</v>
          </cell>
          <cell r="AM634" t="str">
            <v>ARIF TRY SAPUTRA</v>
          </cell>
          <cell r="AN634" t="str">
            <v>BCA</v>
          </cell>
          <cell r="AO634">
            <v>1912402023</v>
          </cell>
          <cell r="CN634">
            <v>46023</v>
          </cell>
        </row>
        <row r="635">
          <cell r="H635" t="str">
            <v>Galih Nopian Syah</v>
          </cell>
          <cell r="I635" t="str">
            <v>Cleaning Services (Anggota)</v>
          </cell>
          <cell r="AM635" t="str">
            <v>GALIH NOPIAN SYAH</v>
          </cell>
          <cell r="AN635" t="str">
            <v>BCA</v>
          </cell>
          <cell r="AO635">
            <v>2730572690</v>
          </cell>
          <cell r="CN635">
            <v>35012</v>
          </cell>
        </row>
        <row r="636">
          <cell r="H636" t="str">
            <v>Alya Rahmawati</v>
          </cell>
          <cell r="I636" t="str">
            <v>Designer</v>
          </cell>
          <cell r="AM636" t="str">
            <v>Alya Rahmawati</v>
          </cell>
          <cell r="AN636" t="str">
            <v>BNI</v>
          </cell>
          <cell r="AO636">
            <v>858932721</v>
          </cell>
          <cell r="CN636">
            <v>45992</v>
          </cell>
        </row>
        <row r="637">
          <cell r="H637" t="str">
            <v>Agnia Zakia Putri</v>
          </cell>
          <cell r="I637" t="str">
            <v>Administrator</v>
          </cell>
          <cell r="AM637" t="str">
            <v>Agnia Zakia Putri</v>
          </cell>
          <cell r="AN637" t="str">
            <v>BCA</v>
          </cell>
          <cell r="AO637">
            <v>7330460061</v>
          </cell>
          <cell r="CN637">
            <v>46024</v>
          </cell>
        </row>
        <row r="638">
          <cell r="H638" t="str">
            <v>Akbar ibrahim</v>
          </cell>
          <cell r="I638" t="str">
            <v>Office Boy</v>
          </cell>
          <cell r="AM638" t="str">
            <v>Akbar Ibrahim</v>
          </cell>
          <cell r="AN638" t="str">
            <v>BRI</v>
          </cell>
          <cell r="AO638">
            <v>64201098530500</v>
          </cell>
          <cell r="CN638">
            <v>42948</v>
          </cell>
        </row>
        <row r="639">
          <cell r="H639" t="str">
            <v>DJOKO PRAMONO</v>
          </cell>
          <cell r="I639" t="str">
            <v>General Service Attendant</v>
          </cell>
          <cell r="AM639" t="str">
            <v>DJOKO PRAMONO</v>
          </cell>
          <cell r="AN639" t="str">
            <v>BCA</v>
          </cell>
          <cell r="AO639">
            <v>95142511</v>
          </cell>
          <cell r="CN639">
            <v>46023</v>
          </cell>
        </row>
        <row r="640">
          <cell r="H640" t="str">
            <v>Muhamad rizqi maulana</v>
          </cell>
          <cell r="I640" t="str">
            <v>Sales Promotion Attendant</v>
          </cell>
          <cell r="AM640" t="str">
            <v>Muhamad rizqi maulana</v>
          </cell>
          <cell r="AN640" t="str">
            <v>BRI</v>
          </cell>
          <cell r="AO640" t="str">
            <v>3151 0106 7775 535</v>
          </cell>
          <cell r="CN640">
            <v>46023</v>
          </cell>
        </row>
        <row r="641">
          <cell r="H641" t="str">
            <v>Sarmilih</v>
          </cell>
          <cell r="I641" t="str">
            <v>Security Guard (Anggota)</v>
          </cell>
          <cell r="AM641" t="str">
            <v>Sarmilih</v>
          </cell>
          <cell r="AN641" t="str">
            <v>BCA</v>
          </cell>
          <cell r="AO641">
            <v>2880306904</v>
          </cell>
          <cell r="CN641">
            <v>45994</v>
          </cell>
        </row>
        <row r="642">
          <cell r="H642" t="str">
            <v>Vio Dwi Chandra</v>
          </cell>
          <cell r="I642" t="str">
            <v>Security Guard (Anggota)</v>
          </cell>
          <cell r="AM642" t="str">
            <v>Vio Dwi Chandra</v>
          </cell>
          <cell r="AN642" t="str">
            <v>BCA</v>
          </cell>
          <cell r="AO642">
            <v>232112857</v>
          </cell>
          <cell r="CN642">
            <v>46023</v>
          </cell>
        </row>
        <row r="643">
          <cell r="H643" t="str">
            <v>M. ABIMAYU NUGROHO</v>
          </cell>
          <cell r="I643" t="str">
            <v>Security Guard (Anggota)</v>
          </cell>
          <cell r="AM643" t="str">
            <v>M. ABIMAYU NUGROHO</v>
          </cell>
          <cell r="AN643" t="str">
            <v>BCA</v>
          </cell>
          <cell r="AO643">
            <v>7985634441</v>
          </cell>
          <cell r="CN643">
            <v>46023</v>
          </cell>
        </row>
        <row r="644">
          <cell r="H644" t="str">
            <v>AKHMAD DANI</v>
          </cell>
          <cell r="I644" t="str">
            <v>Security Guard (Anggota)</v>
          </cell>
          <cell r="AM644" t="str">
            <v>AKHMAD DANI</v>
          </cell>
          <cell r="AN644" t="str">
            <v>BCA</v>
          </cell>
          <cell r="AO644">
            <v>512800261</v>
          </cell>
          <cell r="CN644">
            <v>46024</v>
          </cell>
        </row>
        <row r="645">
          <cell r="H645" t="str">
            <v>Novan Kusuma Atmaja</v>
          </cell>
          <cell r="I645" t="str">
            <v>Security Guard (Anggota)</v>
          </cell>
          <cell r="AM645" t="str">
            <v>Novan Kusuma Atmaja</v>
          </cell>
          <cell r="AN645" t="str">
            <v>BNI</v>
          </cell>
          <cell r="AO645">
            <v>1917645432</v>
          </cell>
          <cell r="CN645">
            <v>46023</v>
          </cell>
        </row>
        <row r="646">
          <cell r="H646" t="str">
            <v>Devi Sonya Gultom</v>
          </cell>
          <cell r="I646" t="str">
            <v>Accounting</v>
          </cell>
          <cell r="AM646" t="str">
            <v>DEVI SONYA GULTOM</v>
          </cell>
          <cell r="AN646" t="str">
            <v>BRI</v>
          </cell>
          <cell r="AO646">
            <v>325601038981531</v>
          </cell>
          <cell r="CN646">
            <v>45461</v>
          </cell>
        </row>
        <row r="647">
          <cell r="H647" t="str">
            <v>GILANG BRAHMANA PUTRA</v>
          </cell>
          <cell r="I647" t="str">
            <v>Security Guard (Anggota)</v>
          </cell>
          <cell r="AM647" t="str">
            <v>GILANG BRAHMANA PUTRA</v>
          </cell>
          <cell r="AN647" t="str">
            <v>BCA DIGITAL</v>
          </cell>
          <cell r="AO647">
            <v>7458651585</v>
          </cell>
          <cell r="CN647">
            <v>46023</v>
          </cell>
        </row>
        <row r="648">
          <cell r="H648" t="str">
            <v>IHSAN ROMADON</v>
          </cell>
          <cell r="I648" t="str">
            <v>Security (Danru)</v>
          </cell>
          <cell r="AM648" t="str">
            <v xml:space="preserve">IHSAN ROMADON </v>
          </cell>
          <cell r="AN648" t="str">
            <v>BCA</v>
          </cell>
          <cell r="AO648">
            <v>8456105403</v>
          </cell>
          <cell r="CN648">
            <v>46023</v>
          </cell>
        </row>
        <row r="649">
          <cell r="H649" t="str">
            <v>ZAINUDDIN ISMAN</v>
          </cell>
          <cell r="I649" t="str">
            <v>Security Guard (Anggota)</v>
          </cell>
          <cell r="AM649" t="str">
            <v>GENI SILVIA</v>
          </cell>
          <cell r="AN649" t="str">
            <v>BRI</v>
          </cell>
          <cell r="AO649">
            <v>335901005011503</v>
          </cell>
          <cell r="CN649">
            <v>46023</v>
          </cell>
        </row>
        <row r="650">
          <cell r="H650" t="str">
            <v>Giofani</v>
          </cell>
          <cell r="I650" t="str">
            <v>Cleaning Services (Anggota)</v>
          </cell>
          <cell r="AM650" t="str">
            <v>Giofani</v>
          </cell>
          <cell r="AN650" t="str">
            <v>BCA</v>
          </cell>
          <cell r="AO650">
            <v>2201190101</v>
          </cell>
          <cell r="CN650">
            <v>46023</v>
          </cell>
        </row>
        <row r="651">
          <cell r="H651" t="str">
            <v>Ahmad hapizoh</v>
          </cell>
          <cell r="I651" t="str">
            <v>Cleaning Services (Anggota)</v>
          </cell>
          <cell r="AM651" t="str">
            <v>Ahmad hapizoh</v>
          </cell>
          <cell r="AN651" t="str">
            <v>BNI</v>
          </cell>
          <cell r="AO651">
            <v>1918801435</v>
          </cell>
          <cell r="CN651">
            <v>46023</v>
          </cell>
        </row>
        <row r="652">
          <cell r="H652" t="str">
            <v>azzikri</v>
          </cell>
          <cell r="I652" t="str">
            <v>Cleaning Services (Anggota)</v>
          </cell>
          <cell r="AM652" t="str">
            <v>azzikri</v>
          </cell>
          <cell r="AN652" t="str">
            <v>BCA</v>
          </cell>
          <cell r="AO652">
            <v>343505709</v>
          </cell>
          <cell r="CN652">
            <v>46023</v>
          </cell>
        </row>
        <row r="653">
          <cell r="H653" t="str">
            <v>SYAHRIL MURSIDI</v>
          </cell>
          <cell r="I653" t="str">
            <v>Cleaning Services (Anggota)</v>
          </cell>
          <cell r="AM653" t="str">
            <v>ADRIANUS STEFAN M RAMBI</v>
          </cell>
          <cell r="AN653" t="str">
            <v>BCA</v>
          </cell>
          <cell r="AO653">
            <v>5115026353</v>
          </cell>
          <cell r="CN653">
            <v>46024</v>
          </cell>
        </row>
        <row r="654">
          <cell r="H654" t="str">
            <v>Very Agus Nugroho</v>
          </cell>
          <cell r="I654" t="str">
            <v>Warehouse Assosiate (Ex SOA)</v>
          </cell>
          <cell r="AM654" t="str">
            <v>Very agus nugroho</v>
          </cell>
          <cell r="AN654" t="str">
            <v>BCA</v>
          </cell>
          <cell r="AO654">
            <v>8020502577</v>
          </cell>
          <cell r="CN654">
            <v>43774</v>
          </cell>
        </row>
        <row r="655">
          <cell r="H655" t="str">
            <v>NIKOLIUS SAPUTRA</v>
          </cell>
          <cell r="I655" t="str">
            <v>Security Guard (Anggota)</v>
          </cell>
          <cell r="AM655" t="str">
            <v>NIKOLIUS SAPUTRA</v>
          </cell>
          <cell r="AN655" t="str">
            <v>BCA</v>
          </cell>
          <cell r="AO655">
            <v>5125431795</v>
          </cell>
          <cell r="CN655">
            <v>46028</v>
          </cell>
        </row>
        <row r="656">
          <cell r="H656" t="str">
            <v>Revina Wulandari</v>
          </cell>
          <cell r="I656" t="str">
            <v>Accounting</v>
          </cell>
          <cell r="AM656" t="str">
            <v>Revina Wulandari</v>
          </cell>
          <cell r="AN656" t="str">
            <v>BCA</v>
          </cell>
          <cell r="AO656">
            <v>6030655191</v>
          </cell>
          <cell r="CN656">
            <v>46022</v>
          </cell>
        </row>
        <row r="657">
          <cell r="H657" t="str">
            <v>MUH. GILANG HANIF MA'FUD</v>
          </cell>
          <cell r="I657" t="str">
            <v>General Service Attendant</v>
          </cell>
          <cell r="AM657" t="str">
            <v>MUH GILANG HANIF MAFUD</v>
          </cell>
          <cell r="AN657" t="str">
            <v>BCA</v>
          </cell>
          <cell r="AO657">
            <v>6965211547</v>
          </cell>
          <cell r="CN657">
            <v>46024</v>
          </cell>
        </row>
        <row r="658">
          <cell r="H658" t="str">
            <v>SEPTIA KURNIAWAN</v>
          </cell>
          <cell r="I658" t="str">
            <v>Security Guard (Anggota)</v>
          </cell>
          <cell r="AM658" t="str">
            <v>SEPTIA KURNIAWAN</v>
          </cell>
          <cell r="AN658" t="str">
            <v>MANDIRI</v>
          </cell>
          <cell r="AO658">
            <v>1080028730910</v>
          </cell>
          <cell r="CN658">
            <v>46026</v>
          </cell>
        </row>
        <row r="659">
          <cell r="H659" t="str">
            <v>AA RENDI AKBAR</v>
          </cell>
          <cell r="I659" t="str">
            <v>Front Officer</v>
          </cell>
          <cell r="AM659" t="str">
            <v>AA RENDI AKBAR</v>
          </cell>
          <cell r="AN659" t="str">
            <v>BCA</v>
          </cell>
          <cell r="AO659">
            <v>7840343931</v>
          </cell>
          <cell r="CN659">
            <v>44914</v>
          </cell>
        </row>
        <row r="660">
          <cell r="H660" t="str">
            <v>AKMAL SAKURI</v>
          </cell>
          <cell r="I660" t="str">
            <v>Security Guard (Anggota)</v>
          </cell>
          <cell r="AM660" t="str">
            <v>AKMAL SAKURI</v>
          </cell>
          <cell r="AN660" t="str">
            <v>BCA</v>
          </cell>
          <cell r="AO660">
            <v>3041289382</v>
          </cell>
          <cell r="CN660">
            <v>46034</v>
          </cell>
        </row>
        <row r="661">
          <cell r="H661" t="str">
            <v>YASIR SANTOSA</v>
          </cell>
          <cell r="I661" t="str">
            <v>Security Guard (Anggota)</v>
          </cell>
          <cell r="AM661" t="str">
            <v>YASIR SANTOSA</v>
          </cell>
          <cell r="AN661" t="str">
            <v>BCA</v>
          </cell>
          <cell r="AO661">
            <v>2480673282</v>
          </cell>
          <cell r="CN661">
            <v>46034</v>
          </cell>
        </row>
        <row r="662">
          <cell r="H662" t="str">
            <v>Hamidil majidnur</v>
          </cell>
          <cell r="I662" t="str">
            <v>Security Guard (Anggota)</v>
          </cell>
          <cell r="AM662" t="str">
            <v>Hamidil majidnur</v>
          </cell>
          <cell r="AN662" t="str">
            <v>MANDIRI</v>
          </cell>
          <cell r="AO662">
            <v>1180013501746</v>
          </cell>
          <cell r="CN662">
            <v>45972</v>
          </cell>
        </row>
        <row r="663">
          <cell r="H663" t="str">
            <v>Firma Linda</v>
          </cell>
          <cell r="I663" t="str">
            <v>Peneliti dan Pengembang (Kompas)</v>
          </cell>
          <cell r="AM663" t="str">
            <v>Firma Linda</v>
          </cell>
          <cell r="AN663" t="str">
            <v>BCA</v>
          </cell>
          <cell r="AO663" t="str">
            <v>108 0118178</v>
          </cell>
          <cell r="CN663">
            <v>45597</v>
          </cell>
        </row>
        <row r="664">
          <cell r="H664" t="str">
            <v>Aryan Noor Novario</v>
          </cell>
          <cell r="I664" t="str">
            <v>Peneliti dan Pengembang (Kompas)</v>
          </cell>
          <cell r="AM664" t="str">
            <v>Aryan Noor Novario</v>
          </cell>
          <cell r="AN664" t="str">
            <v>MANDIRI</v>
          </cell>
          <cell r="AO664">
            <v>1850004923980</v>
          </cell>
          <cell r="CN664">
            <v>45292</v>
          </cell>
        </row>
        <row r="665">
          <cell r="H665" t="str">
            <v>Velatriana Sanusi</v>
          </cell>
          <cell r="I665" t="str">
            <v>Peneliti dan Pengembang (Kompas)</v>
          </cell>
          <cell r="AM665" t="str">
            <v>Velatriana Sanusi</v>
          </cell>
          <cell r="AN665" t="str">
            <v>BCA</v>
          </cell>
          <cell r="AO665">
            <v>5005071710</v>
          </cell>
          <cell r="CN665">
            <v>44986</v>
          </cell>
        </row>
        <row r="666">
          <cell r="H666" t="str">
            <v>DIAN FITRIANSYAH</v>
          </cell>
          <cell r="I666" t="str">
            <v>Peneliti dan Pengembang (Kompas)</v>
          </cell>
          <cell r="AM666" t="str">
            <v>DIAN FITRIANSYAH</v>
          </cell>
          <cell r="AN666" t="str">
            <v>BCA</v>
          </cell>
          <cell r="AO666">
            <v>3911392940</v>
          </cell>
          <cell r="CN666">
            <v>45823</v>
          </cell>
        </row>
        <row r="667">
          <cell r="H667" t="str">
            <v>Ririn Apriyanti</v>
          </cell>
          <cell r="I667" t="str">
            <v>Peneliti dan Pengembang (Kompas)</v>
          </cell>
          <cell r="AM667" t="str">
            <v>Ririn Apriyanti</v>
          </cell>
          <cell r="AN667" t="str">
            <v>BCA</v>
          </cell>
          <cell r="AO667">
            <v>7390623962</v>
          </cell>
          <cell r="CN667">
            <v>45839</v>
          </cell>
        </row>
        <row r="668">
          <cell r="H668" t="str">
            <v>Siti Najwa Syahdryani Syifandari</v>
          </cell>
          <cell r="I668" t="str">
            <v>Peneliti dan Pengembang (Kompas)</v>
          </cell>
          <cell r="AM668" t="str">
            <v>Siti Najwa Syahdryani Syifandari</v>
          </cell>
          <cell r="AN668" t="str">
            <v>BRI</v>
          </cell>
          <cell r="AO668">
            <v>67201015113508</v>
          </cell>
          <cell r="CN668">
            <v>45536</v>
          </cell>
        </row>
        <row r="669">
          <cell r="H669" t="str">
            <v>MILKA INES INDIRASARI</v>
          </cell>
          <cell r="I669" t="str">
            <v>Peneliti dan Pengembang (Kompas)</v>
          </cell>
          <cell r="AM669" t="str">
            <v>MILKA INES INDIRASARI</v>
          </cell>
          <cell r="AN669" t="str">
            <v>BRI</v>
          </cell>
          <cell r="AO669">
            <v>3501097639506</v>
          </cell>
          <cell r="CN669">
            <v>45962</v>
          </cell>
        </row>
        <row r="670">
          <cell r="H670" t="str">
            <v>M Faesal Fakih</v>
          </cell>
          <cell r="I670" t="str">
            <v>Peneliti dan Pengembang (Kompas)</v>
          </cell>
          <cell r="AM670" t="str">
            <v>M Faesal Fakih</v>
          </cell>
          <cell r="AN670" t="str">
            <v>BRI</v>
          </cell>
          <cell r="AO670">
            <v>587501027752537</v>
          </cell>
          <cell r="CN670">
            <v>45894</v>
          </cell>
        </row>
        <row r="671">
          <cell r="H671" t="str">
            <v>MULYANA</v>
          </cell>
          <cell r="I671" t="str">
            <v>Peneliti dan Pengembang (Kompas)</v>
          </cell>
          <cell r="AM671" t="str">
            <v>MULYANA</v>
          </cell>
          <cell r="AN671" t="str">
            <v>BRI</v>
          </cell>
          <cell r="AO671" t="str">
            <v>1202 01 004697 50 5</v>
          </cell>
          <cell r="CN671">
            <v>40544</v>
          </cell>
        </row>
        <row r="672">
          <cell r="H672" t="str">
            <v>Tsania Ainiyyatun Nafi'ah</v>
          </cell>
          <cell r="I672" t="str">
            <v>Peneliti dan Pengembang (Kompas)</v>
          </cell>
          <cell r="AM672" t="str">
            <v xml:space="preserve">Tsania Ainiyyatun Nafi'ah </v>
          </cell>
          <cell r="AN672" t="str">
            <v>MANDIRI</v>
          </cell>
          <cell r="AO672">
            <v>1780002447742</v>
          </cell>
          <cell r="CN672">
            <v>45418</v>
          </cell>
        </row>
        <row r="673">
          <cell r="H673" t="str">
            <v>Nur Alisa Febriyanti</v>
          </cell>
          <cell r="I673" t="str">
            <v>Peneliti dan Pengembang (Kompas)</v>
          </cell>
          <cell r="AM673" t="str">
            <v>Nur Alisa Febriyanti</v>
          </cell>
          <cell r="AN673" t="str">
            <v>BCA</v>
          </cell>
          <cell r="AO673">
            <v>8330272539</v>
          </cell>
          <cell r="CN673">
            <v>44564</v>
          </cell>
        </row>
        <row r="674">
          <cell r="H674" t="str">
            <v>Gracia Yonalia Souissa</v>
          </cell>
          <cell r="I674" t="str">
            <v>Peneliti dan Pengembang (Kompas)</v>
          </cell>
          <cell r="AM674" t="str">
            <v>Gracia Yonalia Souissa</v>
          </cell>
          <cell r="AN674" t="str">
            <v>BCA</v>
          </cell>
          <cell r="AO674">
            <v>3423089322</v>
          </cell>
          <cell r="CN674">
            <v>41556</v>
          </cell>
        </row>
        <row r="675">
          <cell r="H675" t="str">
            <v>MUHAMMAD SURYA</v>
          </cell>
          <cell r="I675" t="str">
            <v>Peneliti dan Pengembang (Kompas)</v>
          </cell>
          <cell r="AM675" t="str">
            <v>MUHAMMAD SURYA</v>
          </cell>
          <cell r="AN675" t="str">
            <v>MANDIRI</v>
          </cell>
          <cell r="AO675">
            <v>1560018922478</v>
          </cell>
          <cell r="CN675">
            <v>45567</v>
          </cell>
        </row>
        <row r="676">
          <cell r="H676" t="str">
            <v>Aprianto Bayu Nugroho</v>
          </cell>
          <cell r="I676" t="str">
            <v>Security Guard (Anggota)</v>
          </cell>
          <cell r="AM676" t="str">
            <v>Aprianto Bayu Nugroho</v>
          </cell>
          <cell r="AN676" t="str">
            <v>MANDIRI</v>
          </cell>
          <cell r="AO676">
            <v>1370007116334</v>
          </cell>
          <cell r="CN676">
            <v>46041</v>
          </cell>
        </row>
        <row r="677">
          <cell r="H677" t="str">
            <v>Rizqon Luthfirrahman</v>
          </cell>
          <cell r="I677" t="str">
            <v>Peneliti dan Pengembang (Kompas)</v>
          </cell>
          <cell r="AM677" t="str">
            <v>Rizqon Luthfirrahman</v>
          </cell>
          <cell r="AN677" t="str">
            <v>MANDIRI</v>
          </cell>
          <cell r="AO677">
            <v>1370021695065</v>
          </cell>
          <cell r="CN677">
            <v>45931</v>
          </cell>
        </row>
        <row r="678">
          <cell r="H678" t="str">
            <v>Megan Nataya Rocklie</v>
          </cell>
          <cell r="I678" t="str">
            <v>Administrator</v>
          </cell>
          <cell r="AM678" t="str">
            <v>Megan Nataya Rocklie</v>
          </cell>
          <cell r="AN678" t="str">
            <v>MANDIRI</v>
          </cell>
          <cell r="AO678">
            <v>1520033441755</v>
          </cell>
          <cell r="CN678">
            <v>46041</v>
          </cell>
        </row>
        <row r="679">
          <cell r="H679" t="str">
            <v>Petrus Damianus Banar Laksono</v>
          </cell>
          <cell r="I679" t="str">
            <v>Peneliti dan Pengembang (Kompas)</v>
          </cell>
          <cell r="AM679" t="str">
            <v>Petrus Damianus Banar Laksono</v>
          </cell>
          <cell r="AN679" t="str">
            <v>BCA</v>
          </cell>
          <cell r="AO679">
            <v>2190105116</v>
          </cell>
          <cell r="CN679">
            <v>44997</v>
          </cell>
        </row>
        <row r="680">
          <cell r="H680" t="str">
            <v>Zulfan Arya Albertino</v>
          </cell>
          <cell r="I680" t="str">
            <v>Security Guard (Anggota)</v>
          </cell>
          <cell r="AM680" t="str">
            <v>Zulfan Arya Albertino</v>
          </cell>
          <cell r="AN680" t="str">
            <v>BRI</v>
          </cell>
          <cell r="AO680">
            <v>664301039885532</v>
          </cell>
          <cell r="CN680">
            <v>46036</v>
          </cell>
        </row>
        <row r="681">
          <cell r="H681" t="str">
            <v>Sri Andriani</v>
          </cell>
          <cell r="I681" t="str">
            <v>Peneliti dan Pengembang (Kompas)</v>
          </cell>
          <cell r="AM681" t="str">
            <v>Sri Andriani</v>
          </cell>
          <cell r="AN681" t="str">
            <v>BCA</v>
          </cell>
          <cell r="AO681">
            <v>7361495318</v>
          </cell>
          <cell r="CN681">
            <v>45305</v>
          </cell>
        </row>
        <row r="682">
          <cell r="H682" t="str">
            <v>Fitri Risalatul Hafifah</v>
          </cell>
          <cell r="I682" t="str">
            <v>Peneliti dan Pengembang (Kompas)</v>
          </cell>
          <cell r="AM682" t="str">
            <v>Fitri Risalatul Hafifah</v>
          </cell>
          <cell r="AN682" t="str">
            <v>BCA</v>
          </cell>
          <cell r="AO682">
            <v>4140927819</v>
          </cell>
          <cell r="CN682">
            <v>44571</v>
          </cell>
        </row>
        <row r="683">
          <cell r="H683" t="str">
            <v>Azzahra Putri Perdani</v>
          </cell>
          <cell r="I683" t="str">
            <v>Peneliti dan Pengembang (Kompas)</v>
          </cell>
          <cell r="AM683" t="str">
            <v>Azzahra Putri Perdani</v>
          </cell>
          <cell r="AN683" t="str">
            <v>BRI</v>
          </cell>
          <cell r="AO683">
            <v>24701062910502</v>
          </cell>
          <cell r="CN683">
            <v>45212</v>
          </cell>
        </row>
        <row r="684">
          <cell r="H684" t="str">
            <v>Irenius Agung</v>
          </cell>
          <cell r="I684" t="str">
            <v>Security Guard (Anggota)</v>
          </cell>
          <cell r="AM684" t="str">
            <v xml:space="preserve">Irenius Agung </v>
          </cell>
          <cell r="AN684" t="str">
            <v>BRI</v>
          </cell>
          <cell r="AO684">
            <v>97001037560533</v>
          </cell>
          <cell r="CN684">
            <v>46038</v>
          </cell>
        </row>
        <row r="685">
          <cell r="H685" t="str">
            <v>Mawar Novita Pardosi</v>
          </cell>
          <cell r="I685" t="str">
            <v>Administrator</v>
          </cell>
          <cell r="AM685" t="str">
            <v>Mawar Novita Pardosi</v>
          </cell>
          <cell r="AN685" t="str">
            <v>MANDIRI</v>
          </cell>
          <cell r="AO685">
            <v>1060021503720</v>
          </cell>
          <cell r="CN685">
            <v>46041</v>
          </cell>
        </row>
        <row r="686">
          <cell r="H686" t="str">
            <v>Mella Ridha Sahidha</v>
          </cell>
          <cell r="I686" t="str">
            <v>Peneliti dan Pengembang (Kompas)</v>
          </cell>
          <cell r="AM686" t="str">
            <v>Mella Ridha Sahidha</v>
          </cell>
          <cell r="AN686" t="str">
            <v>MANDIRI</v>
          </cell>
          <cell r="AO686">
            <v>1370017885522</v>
          </cell>
          <cell r="CN686">
            <v>45931</v>
          </cell>
        </row>
        <row r="687">
          <cell r="H687" t="str">
            <v>DIFA PRADANA PRIHANTORO</v>
          </cell>
          <cell r="I687" t="str">
            <v>Peneliti dan Pengembang (Kompas)</v>
          </cell>
          <cell r="AM687" t="str">
            <v>DIFA PRADANA PRIHANTORO</v>
          </cell>
          <cell r="AN687" t="str">
            <v>BRI</v>
          </cell>
          <cell r="AO687">
            <v>692301006171506</v>
          </cell>
          <cell r="CN687">
            <v>45931</v>
          </cell>
        </row>
        <row r="688">
          <cell r="H688" t="str">
            <v>Josef Christofer Benedict</v>
          </cell>
          <cell r="I688" t="str">
            <v>Peneliti dan Pengembang (Kompas)</v>
          </cell>
          <cell r="AM688" t="str">
            <v>Josef Christofer Benedict</v>
          </cell>
          <cell r="AN688" t="str">
            <v>BCA</v>
          </cell>
          <cell r="AO688">
            <v>8840364268</v>
          </cell>
          <cell r="CN688">
            <v>44621</v>
          </cell>
        </row>
        <row r="689">
          <cell r="H689" t="str">
            <v>Yoseph Bama Subaga Senoputro</v>
          </cell>
          <cell r="I689" t="str">
            <v>Peneliti dan Pengembang (Kompas)</v>
          </cell>
          <cell r="AM689" t="str">
            <v>Yoseph Bama Subaga Senoputro</v>
          </cell>
          <cell r="AN689" t="str">
            <v>MANDIRI</v>
          </cell>
          <cell r="AO689">
            <v>9000034598368</v>
          </cell>
          <cell r="CN689">
            <v>45170</v>
          </cell>
        </row>
        <row r="690">
          <cell r="H690" t="str">
            <v>Sophia Amira L Hakim</v>
          </cell>
          <cell r="I690" t="str">
            <v>Peneliti dan Pengembang (Kompas)</v>
          </cell>
          <cell r="AM690" t="str">
            <v>Sophia Amira Latifa Hakim Muhammad</v>
          </cell>
          <cell r="AN690" t="str">
            <v>BCA</v>
          </cell>
          <cell r="AO690">
            <v>6640119711</v>
          </cell>
          <cell r="CN690">
            <v>44931</v>
          </cell>
        </row>
        <row r="691">
          <cell r="H691" t="str">
            <v>Zahrah Aulianissa Manindjo</v>
          </cell>
          <cell r="I691" t="str">
            <v>Peneliti dan Pengembang (Kompas)</v>
          </cell>
          <cell r="AM691" t="str">
            <v>ZAHRAH AULIANISSA MANINDJO</v>
          </cell>
          <cell r="AN691" t="str">
            <v>BCA</v>
          </cell>
          <cell r="AO691">
            <v>2280223941</v>
          </cell>
          <cell r="CN691">
            <v>45474</v>
          </cell>
        </row>
        <row r="692">
          <cell r="H692" t="str">
            <v>Gita Paramitha Zettira</v>
          </cell>
          <cell r="I692" t="str">
            <v>Peneliti dan Pengembang (Kompas)</v>
          </cell>
          <cell r="AM692" t="str">
            <v>Gita Paramitha Zettira</v>
          </cell>
          <cell r="AN692" t="str">
            <v>BCA</v>
          </cell>
          <cell r="AO692">
            <v>1740415839</v>
          </cell>
          <cell r="CN692">
            <v>45870</v>
          </cell>
        </row>
        <row r="693">
          <cell r="H693" t="str">
            <v>HAVIZ BERDHANI BRILLIAN</v>
          </cell>
          <cell r="I693" t="str">
            <v>Security Guard (Anggota)</v>
          </cell>
          <cell r="AM693" t="str">
            <v>HAVIZ BERDHANI BRILLIAN</v>
          </cell>
          <cell r="AN693" t="str">
            <v>BNI</v>
          </cell>
          <cell r="AO693">
            <v>2021836355</v>
          </cell>
          <cell r="CN693">
            <v>46043</v>
          </cell>
        </row>
        <row r="694">
          <cell r="H694" t="str">
            <v>NURUL HUDA</v>
          </cell>
          <cell r="I694" t="str">
            <v>Administrator</v>
          </cell>
          <cell r="AM694" t="str">
            <v xml:space="preserve">NURUL HUDA </v>
          </cell>
          <cell r="AN694" t="str">
            <v>BCA</v>
          </cell>
          <cell r="AO694">
            <v>6270234672</v>
          </cell>
          <cell r="CN694">
            <v>44958</v>
          </cell>
        </row>
        <row r="695">
          <cell r="H695" t="str">
            <v>lubna mufida fadila</v>
          </cell>
          <cell r="I695" t="str">
            <v>Peneliti dan Pengembang (Kompas)</v>
          </cell>
          <cell r="AM695" t="str">
            <v>lubna mufida fadila</v>
          </cell>
          <cell r="AN695" t="str">
            <v>MANDIRI</v>
          </cell>
          <cell r="AO695">
            <v>1320022144399</v>
          </cell>
          <cell r="CN695" t="str">
            <v>01 Juni 2024</v>
          </cell>
        </row>
        <row r="696">
          <cell r="H696" t="str">
            <v>Adi Fakhri Nugrotomo</v>
          </cell>
          <cell r="I696" t="str">
            <v>Peneliti dan Pengembang (Kompas)</v>
          </cell>
          <cell r="AM696" t="str">
            <v>Adi Fakhri Nugrotomo</v>
          </cell>
          <cell r="AN696" t="str">
            <v>BCA</v>
          </cell>
          <cell r="AO696">
            <v>6155248851</v>
          </cell>
          <cell r="CN696" t="str">
            <v>Sama</v>
          </cell>
        </row>
        <row r="697">
          <cell r="H697" t="str">
            <v>Muhammad Fiqi Fadillah</v>
          </cell>
          <cell r="I697" t="str">
            <v>Peneliti dan Pengembang (Kompas)</v>
          </cell>
          <cell r="AM697" t="str">
            <v>Muhammad Fiqi Fadillah</v>
          </cell>
          <cell r="AN697" t="str">
            <v>BRI</v>
          </cell>
          <cell r="AO697">
            <v>1201171277503</v>
          </cell>
          <cell r="CN697">
            <v>45597</v>
          </cell>
        </row>
        <row r="698">
          <cell r="H698" t="str">
            <v>zepri setiawan</v>
          </cell>
          <cell r="I698" t="str">
            <v>Security Guard (Anggota)</v>
          </cell>
          <cell r="AM698" t="str">
            <v>zepri setiawan</v>
          </cell>
          <cell r="AN698" t="str">
            <v>BCA</v>
          </cell>
          <cell r="AO698">
            <v>8445520361</v>
          </cell>
          <cell r="CN698" t="str">
            <v>Sama</v>
          </cell>
        </row>
        <row r="699">
          <cell r="H699" t="str">
            <v>Arbip Fitriani Rochman</v>
          </cell>
          <cell r="I699" t="str">
            <v>Sales Promotion Attendant</v>
          </cell>
          <cell r="AM699" t="str">
            <v>Arbip Fitriani Rochman</v>
          </cell>
          <cell r="AN699" t="str">
            <v>BCA</v>
          </cell>
          <cell r="AO699">
            <v>8320359695</v>
          </cell>
          <cell r="CN699">
            <v>44805</v>
          </cell>
        </row>
        <row r="700">
          <cell r="H700"/>
          <cell r="I700"/>
          <cell r="AM700"/>
          <cell r="AN700"/>
        </row>
        <row r="701">
          <cell r="H701"/>
          <cell r="I701"/>
          <cell r="AM701"/>
          <cell r="AN701"/>
        </row>
        <row r="702">
          <cell r="H702"/>
          <cell r="I702"/>
          <cell r="AM702"/>
          <cell r="AN702"/>
        </row>
        <row r="703">
          <cell r="H703"/>
          <cell r="I703"/>
          <cell r="AM703"/>
          <cell r="AN703"/>
        </row>
        <row r="704">
          <cell r="H704"/>
          <cell r="I704"/>
          <cell r="AM704"/>
          <cell r="AN704"/>
        </row>
        <row r="705">
          <cell r="H705"/>
          <cell r="I705"/>
          <cell r="AM705"/>
          <cell r="AN705"/>
        </row>
        <row r="706">
          <cell r="H706"/>
          <cell r="I706"/>
          <cell r="AM706"/>
          <cell r="AN706"/>
        </row>
        <row r="707">
          <cell r="H707"/>
          <cell r="I707"/>
          <cell r="AM707"/>
          <cell r="AN707"/>
        </row>
        <row r="708">
          <cell r="H708"/>
          <cell r="I708"/>
          <cell r="AM708"/>
          <cell r="AN708"/>
        </row>
        <row r="709">
          <cell r="H709"/>
          <cell r="I709"/>
          <cell r="AM709"/>
          <cell r="AN709"/>
        </row>
        <row r="710">
          <cell r="H710"/>
          <cell r="I710"/>
          <cell r="AM710"/>
          <cell r="AN710"/>
        </row>
        <row r="711">
          <cell r="H711"/>
          <cell r="I711"/>
          <cell r="AM711"/>
          <cell r="AN711"/>
        </row>
        <row r="712">
          <cell r="H712"/>
          <cell r="I712"/>
          <cell r="AM712"/>
          <cell r="AN712"/>
        </row>
        <row r="713">
          <cell r="H713"/>
          <cell r="I713"/>
          <cell r="AM713"/>
          <cell r="AN713"/>
        </row>
        <row r="714">
          <cell r="H714"/>
          <cell r="I714"/>
          <cell r="AM714"/>
          <cell r="AN714"/>
        </row>
        <row r="715">
          <cell r="H715"/>
          <cell r="I715"/>
          <cell r="AM715"/>
          <cell r="AN715"/>
        </row>
        <row r="716">
          <cell r="H716"/>
          <cell r="I716"/>
          <cell r="AM716"/>
          <cell r="AN716"/>
        </row>
        <row r="717">
          <cell r="H717"/>
          <cell r="I717"/>
          <cell r="AM717"/>
          <cell r="AN717"/>
        </row>
        <row r="718">
          <cell r="H718"/>
          <cell r="I718"/>
          <cell r="AM718"/>
          <cell r="AN718"/>
        </row>
        <row r="719">
          <cell r="H719"/>
          <cell r="I719"/>
          <cell r="AM719"/>
          <cell r="AN719"/>
        </row>
        <row r="720">
          <cell r="H720"/>
          <cell r="I720"/>
          <cell r="AM720"/>
          <cell r="AN720"/>
        </row>
        <row r="721">
          <cell r="H721"/>
          <cell r="I721"/>
          <cell r="AM721"/>
          <cell r="AN721"/>
        </row>
        <row r="722">
          <cell r="H722"/>
          <cell r="I722"/>
          <cell r="AM722"/>
          <cell r="AN722"/>
        </row>
        <row r="723">
          <cell r="H723"/>
          <cell r="I723"/>
          <cell r="AM723"/>
          <cell r="AN723"/>
        </row>
        <row r="724">
          <cell r="H724"/>
          <cell r="I724"/>
          <cell r="AM724"/>
          <cell r="AN724"/>
        </row>
        <row r="725">
          <cell r="H725"/>
          <cell r="I725"/>
          <cell r="AM725"/>
          <cell r="AN725"/>
        </row>
        <row r="726">
          <cell r="H726"/>
          <cell r="I726"/>
          <cell r="AM726"/>
          <cell r="AN726"/>
        </row>
        <row r="727">
          <cell r="H727"/>
          <cell r="I727"/>
          <cell r="AM727"/>
          <cell r="AN727"/>
        </row>
        <row r="728">
          <cell r="H728"/>
          <cell r="I728"/>
          <cell r="AM728"/>
          <cell r="AN728"/>
        </row>
        <row r="729">
          <cell r="H729"/>
          <cell r="I729"/>
          <cell r="AM729"/>
          <cell r="AN729"/>
        </row>
        <row r="730">
          <cell r="H730"/>
          <cell r="I730"/>
          <cell r="AM730"/>
          <cell r="AN730"/>
        </row>
        <row r="731">
          <cell r="H731"/>
          <cell r="I731"/>
          <cell r="AM731"/>
          <cell r="AN731"/>
        </row>
        <row r="732">
          <cell r="H732"/>
          <cell r="I732"/>
          <cell r="AM732"/>
          <cell r="AN732"/>
        </row>
        <row r="733">
          <cell r="H733"/>
          <cell r="I733"/>
          <cell r="AM733"/>
          <cell r="AN733"/>
        </row>
        <row r="734">
          <cell r="H734"/>
          <cell r="I734"/>
          <cell r="AM734"/>
          <cell r="AN734"/>
        </row>
        <row r="735">
          <cell r="H735"/>
          <cell r="I735"/>
          <cell r="AM735"/>
          <cell r="AN735"/>
        </row>
        <row r="736">
          <cell r="H736"/>
          <cell r="I736"/>
          <cell r="AM736"/>
          <cell r="AN736"/>
        </row>
        <row r="737">
          <cell r="H737"/>
          <cell r="I737"/>
          <cell r="AM737"/>
          <cell r="AN737"/>
        </row>
        <row r="738">
          <cell r="H738"/>
          <cell r="I738"/>
          <cell r="AM738"/>
          <cell r="AN738"/>
        </row>
        <row r="739">
          <cell r="H739"/>
          <cell r="I739"/>
          <cell r="AM739"/>
          <cell r="AN739"/>
        </row>
        <row r="740">
          <cell r="H740"/>
          <cell r="I740"/>
          <cell r="AM740"/>
          <cell r="AN740"/>
        </row>
        <row r="741">
          <cell r="H741"/>
          <cell r="I741"/>
          <cell r="AM741"/>
          <cell r="AN741"/>
        </row>
        <row r="742">
          <cell r="H742"/>
          <cell r="I742"/>
          <cell r="AM742"/>
          <cell r="AN742"/>
        </row>
        <row r="743">
          <cell r="H743"/>
          <cell r="I743"/>
          <cell r="AM743"/>
          <cell r="AN743"/>
        </row>
        <row r="744">
          <cell r="H744"/>
          <cell r="I744"/>
          <cell r="AM744"/>
          <cell r="AN744"/>
        </row>
        <row r="745">
          <cell r="H745"/>
          <cell r="I745"/>
          <cell r="AM745"/>
          <cell r="AN745"/>
        </row>
        <row r="746">
          <cell r="H746"/>
          <cell r="I746"/>
          <cell r="AM746"/>
          <cell r="AN746"/>
        </row>
        <row r="747">
          <cell r="H747"/>
          <cell r="I747"/>
          <cell r="AM747"/>
          <cell r="AN747"/>
        </row>
        <row r="748">
          <cell r="H748"/>
          <cell r="I748"/>
          <cell r="AM748"/>
          <cell r="AN748"/>
        </row>
        <row r="749">
          <cell r="H749"/>
          <cell r="I749"/>
          <cell r="AM749"/>
          <cell r="AN749"/>
        </row>
        <row r="750">
          <cell r="H750"/>
          <cell r="I750"/>
          <cell r="AM750"/>
          <cell r="AN750"/>
        </row>
        <row r="751">
          <cell r="H751"/>
          <cell r="I751"/>
          <cell r="AM751"/>
          <cell r="AN751"/>
        </row>
        <row r="752">
          <cell r="H752"/>
          <cell r="I752"/>
          <cell r="AM752"/>
          <cell r="AN752"/>
        </row>
        <row r="753">
          <cell r="H753"/>
          <cell r="I753"/>
          <cell r="AM753"/>
          <cell r="AN753"/>
        </row>
        <row r="754">
          <cell r="H754"/>
          <cell r="I754"/>
          <cell r="AM754"/>
          <cell r="AN754"/>
        </row>
        <row r="755">
          <cell r="H755"/>
          <cell r="I755"/>
          <cell r="AM755"/>
          <cell r="AN755"/>
        </row>
        <row r="756">
          <cell r="H756"/>
          <cell r="I756"/>
          <cell r="AM756"/>
          <cell r="AN756"/>
        </row>
        <row r="757">
          <cell r="H757"/>
          <cell r="I757"/>
          <cell r="AM757"/>
          <cell r="AN757"/>
        </row>
        <row r="758">
          <cell r="H758"/>
          <cell r="I758"/>
          <cell r="AM758"/>
          <cell r="AN758"/>
        </row>
        <row r="759">
          <cell r="H759"/>
          <cell r="I759"/>
          <cell r="AM759"/>
          <cell r="AN759"/>
        </row>
        <row r="760">
          <cell r="H760"/>
          <cell r="I760"/>
          <cell r="AM760"/>
          <cell r="AN760"/>
        </row>
        <row r="761">
          <cell r="H761"/>
          <cell r="I761"/>
          <cell r="AM761"/>
          <cell r="AN761"/>
        </row>
        <row r="762">
          <cell r="H762"/>
          <cell r="I762"/>
          <cell r="AM762"/>
          <cell r="AN762"/>
        </row>
        <row r="763">
          <cell r="H763"/>
          <cell r="I763"/>
          <cell r="AM763"/>
          <cell r="AN763"/>
        </row>
        <row r="764">
          <cell r="H764"/>
          <cell r="I764"/>
          <cell r="AM764"/>
          <cell r="AN764"/>
        </row>
        <row r="765">
          <cell r="H765"/>
          <cell r="I765"/>
          <cell r="AM765"/>
          <cell r="AN765"/>
        </row>
        <row r="766">
          <cell r="H766"/>
          <cell r="I766"/>
          <cell r="AM766"/>
          <cell r="AN766"/>
        </row>
        <row r="767">
          <cell r="H767"/>
          <cell r="I767"/>
          <cell r="AM767"/>
          <cell r="AN767"/>
        </row>
        <row r="768">
          <cell r="H768"/>
          <cell r="I768"/>
          <cell r="AM768"/>
          <cell r="AN768"/>
        </row>
        <row r="769">
          <cell r="H769"/>
          <cell r="I769"/>
          <cell r="AM769"/>
          <cell r="AN769"/>
        </row>
        <row r="770">
          <cell r="H770"/>
          <cell r="I770"/>
          <cell r="AM770"/>
          <cell r="AN770"/>
        </row>
        <row r="771">
          <cell r="H771"/>
          <cell r="I771"/>
          <cell r="AM771"/>
          <cell r="AN771"/>
        </row>
        <row r="772">
          <cell r="H772"/>
          <cell r="I772"/>
          <cell r="AM772"/>
          <cell r="AN772"/>
        </row>
        <row r="773">
          <cell r="H773"/>
          <cell r="I773"/>
          <cell r="AM773"/>
          <cell r="AN773"/>
        </row>
        <row r="774">
          <cell r="H774"/>
          <cell r="I774"/>
          <cell r="AM774"/>
          <cell r="AN774"/>
        </row>
        <row r="775">
          <cell r="H775"/>
          <cell r="I775"/>
          <cell r="AM775"/>
          <cell r="AN775"/>
        </row>
        <row r="776">
          <cell r="H776"/>
          <cell r="I776"/>
          <cell r="AM776"/>
          <cell r="AN776"/>
        </row>
        <row r="777">
          <cell r="H777"/>
          <cell r="I777"/>
          <cell r="AM777"/>
          <cell r="AN777"/>
        </row>
        <row r="778">
          <cell r="H778"/>
          <cell r="I778"/>
          <cell r="AM778"/>
          <cell r="AN778"/>
        </row>
        <row r="779">
          <cell r="H779"/>
          <cell r="I779"/>
          <cell r="AM779"/>
          <cell r="AN779"/>
        </row>
        <row r="780">
          <cell r="H780"/>
          <cell r="I780"/>
          <cell r="AM780"/>
          <cell r="AN780"/>
        </row>
        <row r="781">
          <cell r="H781"/>
          <cell r="I781"/>
          <cell r="AM781"/>
          <cell r="AN781"/>
        </row>
        <row r="782">
          <cell r="H782"/>
          <cell r="I782"/>
          <cell r="AM782"/>
          <cell r="AN782"/>
        </row>
        <row r="783">
          <cell r="H783"/>
          <cell r="I783"/>
          <cell r="AM783"/>
          <cell r="AN783"/>
        </row>
        <row r="784">
          <cell r="H784"/>
          <cell r="I784"/>
          <cell r="AM784"/>
          <cell r="AN784"/>
        </row>
        <row r="785">
          <cell r="H785"/>
          <cell r="I785"/>
          <cell r="AM785"/>
          <cell r="AN785"/>
        </row>
        <row r="786">
          <cell r="H786"/>
          <cell r="I786"/>
          <cell r="AM786"/>
          <cell r="AN786"/>
        </row>
        <row r="787">
          <cell r="H787"/>
          <cell r="I787"/>
          <cell r="AM787"/>
          <cell r="AN787"/>
        </row>
        <row r="788">
          <cell r="H788"/>
          <cell r="I788"/>
          <cell r="AM788"/>
          <cell r="AN788"/>
        </row>
        <row r="789">
          <cell r="H789"/>
          <cell r="I789"/>
          <cell r="AM789"/>
          <cell r="AN789"/>
        </row>
        <row r="790">
          <cell r="H790"/>
          <cell r="I790"/>
          <cell r="AM790"/>
          <cell r="AN790"/>
        </row>
        <row r="791">
          <cell r="H791"/>
          <cell r="I791"/>
          <cell r="AM791"/>
          <cell r="AN791"/>
        </row>
        <row r="792">
          <cell r="H792"/>
          <cell r="I792"/>
          <cell r="AM792"/>
          <cell r="AN792"/>
        </row>
        <row r="793">
          <cell r="H793"/>
          <cell r="I793"/>
          <cell r="AM793"/>
          <cell r="AN793"/>
        </row>
        <row r="794">
          <cell r="H794"/>
          <cell r="I794"/>
          <cell r="AM794"/>
          <cell r="AN794"/>
        </row>
        <row r="795">
          <cell r="H795"/>
          <cell r="I795"/>
          <cell r="AM795"/>
          <cell r="AN795"/>
        </row>
        <row r="796">
          <cell r="H796"/>
          <cell r="I796"/>
          <cell r="AM796"/>
          <cell r="AN796"/>
        </row>
        <row r="797">
          <cell r="H797"/>
          <cell r="I797"/>
          <cell r="AM797"/>
          <cell r="AN797"/>
        </row>
        <row r="798">
          <cell r="H798"/>
          <cell r="I798"/>
          <cell r="AM798"/>
          <cell r="AN798"/>
        </row>
        <row r="799">
          <cell r="H799"/>
          <cell r="I799"/>
          <cell r="AM799"/>
          <cell r="AN799"/>
        </row>
        <row r="800">
          <cell r="H800"/>
          <cell r="I800"/>
          <cell r="AM800"/>
          <cell r="AN800"/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F1" t="str">
            <v>NIK KTP (HARAP DIPASTIKAN SAMA DENGAN KTP)</v>
          </cell>
        </row>
        <row r="2">
          <cell r="D2" t="str">
            <v>Group Of Manufacturing Palmerah Selatan</v>
          </cell>
          <cell r="F2" t="str">
            <v>3174045907000002</v>
          </cell>
          <cell r="I2" t="str">
            <v>Administrator</v>
          </cell>
          <cell r="Z2" t="str">
            <v>Agnia Zakia Putri</v>
          </cell>
          <cell r="AA2" t="str">
            <v>BCA</v>
          </cell>
          <cell r="AB2">
            <v>7330460061</v>
          </cell>
          <cell r="CA2">
            <v>46024</v>
          </cell>
        </row>
        <row r="3">
          <cell r="D3" t="str">
            <v>PT. Kompas Media Nusantara</v>
          </cell>
          <cell r="F3" t="str">
            <v>7305060303940002</v>
          </cell>
          <cell r="I3" t="str">
            <v>Office Boy</v>
          </cell>
          <cell r="Z3" t="str">
            <v>Akbar Ibrahim</v>
          </cell>
          <cell r="AA3" t="str">
            <v>BRI</v>
          </cell>
          <cell r="AB3">
            <v>64201098530500</v>
          </cell>
          <cell r="CA3">
            <v>42948</v>
          </cell>
        </row>
        <row r="4">
          <cell r="D4" t="str">
            <v>PT KOMPAS MEDIA NUSANTARA</v>
          </cell>
          <cell r="F4" t="str">
            <v>3374091604710002</v>
          </cell>
          <cell r="I4" t="str">
            <v>General Service Attendant</v>
          </cell>
          <cell r="Z4" t="str">
            <v>DJOKO PRAMONO</v>
          </cell>
          <cell r="AA4" t="str">
            <v>BCA</v>
          </cell>
          <cell r="AB4">
            <v>95142511</v>
          </cell>
          <cell r="CA4">
            <v>46023</v>
          </cell>
        </row>
        <row r="5">
          <cell r="D5" t="str">
            <v>Gramedia kayutangan malang dan gramedia mog malang</v>
          </cell>
          <cell r="F5" t="str">
            <v>3507091810020002</v>
          </cell>
          <cell r="I5" t="str">
            <v>Sales Promotion Attendant</v>
          </cell>
          <cell r="Z5" t="str">
            <v>Muhamad rizqi maulana</v>
          </cell>
          <cell r="AA5" t="str">
            <v>BRI</v>
          </cell>
          <cell r="AB5" t="str">
            <v>3151 0106 7775 535</v>
          </cell>
          <cell r="CA5">
            <v>46023</v>
          </cell>
        </row>
        <row r="6">
          <cell r="D6" t="str">
            <v>Gramedia matraman</v>
          </cell>
          <cell r="F6" t="str">
            <v>3173081504860007</v>
          </cell>
          <cell r="I6" t="str">
            <v>Security Guard (Anggota)</v>
          </cell>
          <cell r="Z6" t="str">
            <v>Sarmilih</v>
          </cell>
          <cell r="AA6" t="str">
            <v>BCA</v>
          </cell>
          <cell r="AB6">
            <v>2880306904</v>
          </cell>
          <cell r="CA6">
            <v>45994</v>
          </cell>
        </row>
        <row r="7">
          <cell r="D7" t="str">
            <v>Gramedia Lampung Raden intan</v>
          </cell>
          <cell r="F7" t="str">
            <v>1871133008040003</v>
          </cell>
          <cell r="I7" t="str">
            <v>Security Guard (Anggota)</v>
          </cell>
          <cell r="Z7" t="str">
            <v>Vio Dwi Chandra</v>
          </cell>
          <cell r="AA7" t="str">
            <v>BCA</v>
          </cell>
          <cell r="AB7">
            <v>232112857</v>
          </cell>
          <cell r="CA7">
            <v>46023</v>
          </cell>
        </row>
        <row r="8">
          <cell r="D8" t="str">
            <v>GRAMEDIA GAJAH MADA MEDAN</v>
          </cell>
          <cell r="F8" t="str">
            <v>1207260108030014</v>
          </cell>
          <cell r="I8" t="str">
            <v>Security Guard (Anggota)</v>
          </cell>
          <cell r="Z8" t="str">
            <v>M. ABIMAYU NUGROHO</v>
          </cell>
          <cell r="AA8" t="str">
            <v>BCA</v>
          </cell>
          <cell r="AB8">
            <v>7985634441</v>
          </cell>
          <cell r="CA8">
            <v>46023</v>
          </cell>
        </row>
        <row r="9">
          <cell r="D9" t="str">
            <v>Gramedia Banjarmasin Veteran</v>
          </cell>
          <cell r="F9" t="str">
            <v>6304060505030001</v>
          </cell>
          <cell r="I9" t="str">
            <v>Security Guard (Anggota)</v>
          </cell>
          <cell r="Z9" t="str">
            <v>AKHMAD DANI</v>
          </cell>
          <cell r="AA9" t="str">
            <v>BCA</v>
          </cell>
          <cell r="AB9">
            <v>512800261</v>
          </cell>
          <cell r="CA9">
            <v>46024</v>
          </cell>
        </row>
        <row r="10">
          <cell r="D10" t="str">
            <v>Gramedia Lembuswana</v>
          </cell>
          <cell r="F10" t="str">
            <v>6472022111000006</v>
          </cell>
          <cell r="I10" t="str">
            <v>Security Guard (Anggota)</v>
          </cell>
          <cell r="Z10" t="str">
            <v>Novan Kusuma Atmaja</v>
          </cell>
          <cell r="AA10" t="str">
            <v>BNI</v>
          </cell>
          <cell r="AB10">
            <v>1917645432</v>
          </cell>
          <cell r="CA10">
            <v>46023</v>
          </cell>
        </row>
        <row r="11">
          <cell r="D11">
            <v>0</v>
          </cell>
          <cell r="F11" t="str">
            <v>1217044709980001</v>
          </cell>
          <cell r="I11" t="str">
            <v>Accounting</v>
          </cell>
          <cell r="Z11" t="str">
            <v>DEVI SONYA GULTOM</v>
          </cell>
          <cell r="AA11" t="str">
            <v>BRI</v>
          </cell>
          <cell r="AB11">
            <v>325601038981531</v>
          </cell>
          <cell r="CA11">
            <v>45461</v>
          </cell>
        </row>
        <row r="12">
          <cell r="D12" t="str">
            <v>GRAMEDIA SUDIRMAN PEKANBARU</v>
          </cell>
          <cell r="F12" t="str">
            <v>1371060507000005</v>
          </cell>
          <cell r="I12" t="str">
            <v>Security Guard (Anggota)</v>
          </cell>
          <cell r="Z12" t="str">
            <v>GILANG BRAHMANA PUTRA</v>
          </cell>
          <cell r="AA12" t="str">
            <v>BCA DIGITAL</v>
          </cell>
          <cell r="AB12">
            <v>7458651585</v>
          </cell>
          <cell r="CA12">
            <v>46023</v>
          </cell>
        </row>
        <row r="13">
          <cell r="D13" t="str">
            <v>GRAMEDIA SUDIRMAN PEKANBARU</v>
          </cell>
          <cell r="F13" t="str">
            <v>1401170211030003</v>
          </cell>
          <cell r="I13" t="str">
            <v>Security (Danru)</v>
          </cell>
          <cell r="Z13" t="str">
            <v>IHSAN ROMADON</v>
          </cell>
          <cell r="AA13" t="str">
            <v>BCA</v>
          </cell>
          <cell r="AB13">
            <v>8456105403</v>
          </cell>
          <cell r="CA13">
            <v>46023</v>
          </cell>
        </row>
        <row r="14">
          <cell r="D14" t="str">
            <v>GRAMEDIA SUDIRMAN PEKANBARU</v>
          </cell>
          <cell r="F14" t="str">
            <v>1401171306940002</v>
          </cell>
          <cell r="I14" t="str">
            <v>Security Guard (Anggota)</v>
          </cell>
          <cell r="Z14" t="str">
            <v>GENI SILVIA</v>
          </cell>
          <cell r="AA14" t="str">
            <v>BRI</v>
          </cell>
          <cell r="AB14">
            <v>335901005011503</v>
          </cell>
          <cell r="CA14">
            <v>46023</v>
          </cell>
        </row>
        <row r="15">
          <cell r="D15" t="str">
            <v>Gramedia Sudirman Pekanbaru</v>
          </cell>
          <cell r="F15" t="str">
            <v>1304030409980002</v>
          </cell>
          <cell r="I15" t="str">
            <v>Cleaning Services (Anggota)</v>
          </cell>
          <cell r="Z15" t="str">
            <v>Giofani</v>
          </cell>
          <cell r="AA15" t="str">
            <v>BCA</v>
          </cell>
          <cell r="AB15">
            <v>2201190101</v>
          </cell>
          <cell r="CA15">
            <v>46023</v>
          </cell>
        </row>
        <row r="16">
          <cell r="D16" t="str">
            <v>Gramedia sudirman pekanbaru</v>
          </cell>
          <cell r="F16" t="str">
            <v>1401040110970001</v>
          </cell>
          <cell r="I16" t="str">
            <v>Cleaning Services (Anggota)</v>
          </cell>
          <cell r="Z16" t="str">
            <v>Ahmad hapizoh</v>
          </cell>
          <cell r="AA16" t="str">
            <v>BNI</v>
          </cell>
          <cell r="AB16">
            <v>1918801435</v>
          </cell>
          <cell r="CA16">
            <v>46023</v>
          </cell>
        </row>
        <row r="17">
          <cell r="D17" t="str">
            <v>Gramedia sudirman pekanbaru</v>
          </cell>
          <cell r="F17" t="str">
            <v>1471030804030001</v>
          </cell>
          <cell r="I17" t="str">
            <v>Cleaning Services (Anggota)</v>
          </cell>
          <cell r="Z17" t="str">
            <v>azzikri</v>
          </cell>
          <cell r="AA17" t="str">
            <v>BCA</v>
          </cell>
          <cell r="AB17">
            <v>343505709</v>
          </cell>
          <cell r="CA17">
            <v>46023</v>
          </cell>
        </row>
        <row r="18">
          <cell r="D18" t="str">
            <v>GRAMEDIA MANADO SAM RATULANGI</v>
          </cell>
          <cell r="F18" t="str">
            <v>7501042402070001</v>
          </cell>
          <cell r="I18" t="str">
            <v>Cleaning Services (Anggota)</v>
          </cell>
          <cell r="Z18" t="str">
            <v>ADRIANUS STEFAN M RAMBI</v>
          </cell>
          <cell r="AA18" t="str">
            <v>BCA</v>
          </cell>
          <cell r="AB18">
            <v>5115026353</v>
          </cell>
          <cell r="CA18">
            <v>46024</v>
          </cell>
        </row>
        <row r="19">
          <cell r="D19" t="str">
            <v>Gramedia Jogja City Mall</v>
          </cell>
          <cell r="F19" t="str">
            <v>3404021108990001</v>
          </cell>
          <cell r="I19" t="str">
            <v>Warehouse Assosiate (Ex SOA)</v>
          </cell>
          <cell r="Z19" t="str">
            <v>Very agus nugroho</v>
          </cell>
          <cell r="AA19" t="str">
            <v>BCA</v>
          </cell>
          <cell r="AB19">
            <v>8020502577</v>
          </cell>
          <cell r="CA19">
            <v>43774</v>
          </cell>
        </row>
        <row r="20">
          <cell r="D20" t="str">
            <v>Gramedia Pontianak Ayani</v>
          </cell>
          <cell r="F20" t="str">
            <v>6108021205040002</v>
          </cell>
          <cell r="I20" t="str">
            <v>Security Guard (Anggota)</v>
          </cell>
          <cell r="Z20" t="str">
            <v>NIKOLIUS SAPUTRA</v>
          </cell>
          <cell r="AA20" t="str">
            <v>BCA</v>
          </cell>
          <cell r="AB20">
            <v>5125431795</v>
          </cell>
          <cell r="CA20">
            <v>46028</v>
          </cell>
        </row>
        <row r="21">
          <cell r="D21" t="str">
            <v>GORP</v>
          </cell>
          <cell r="F21" t="str">
            <v>3,67403E+15</v>
          </cell>
          <cell r="I21" t="str">
            <v>Accounting</v>
          </cell>
          <cell r="Z21" t="str">
            <v>Revina Wulandari</v>
          </cell>
          <cell r="AA21" t="str">
            <v>BCA</v>
          </cell>
          <cell r="AB21">
            <v>6030655191</v>
          </cell>
          <cell r="CA21">
            <v>46022</v>
          </cell>
        </row>
        <row r="22">
          <cell r="D22" t="str">
            <v>GRAMEDIA MT HARYONO BALIKPAPAN</v>
          </cell>
          <cell r="F22" t="str">
            <v>7315041709020003</v>
          </cell>
          <cell r="I22" t="str">
            <v>General Service Attendant</v>
          </cell>
          <cell r="Z22" t="str">
            <v>MUH GILANG HANIF MAFUD</v>
          </cell>
          <cell r="AA22" t="str">
            <v>BCA</v>
          </cell>
          <cell r="AB22">
            <v>6965211547</v>
          </cell>
          <cell r="CA22">
            <v>46024</v>
          </cell>
        </row>
        <row r="23">
          <cell r="D23" t="str">
            <v>Kompas</v>
          </cell>
          <cell r="F23" t="str">
            <v>3175055304000002</v>
          </cell>
          <cell r="I23" t="str">
            <v>Administrator</v>
          </cell>
          <cell r="Z23" t="str">
            <v>Megan Nataya Rocklie</v>
          </cell>
          <cell r="AA23" t="str">
            <v>MANDIRI</v>
          </cell>
          <cell r="AB23">
            <v>1520033441755</v>
          </cell>
          <cell r="CA23">
            <v>46041</v>
          </cell>
        </row>
        <row r="24">
          <cell r="D24" t="str">
            <v>GRAMEDIA BANDUNG MERDEKA</v>
          </cell>
          <cell r="F24" t="str">
            <v>3204464101000078</v>
          </cell>
          <cell r="I24" t="str">
            <v>Front Officer</v>
          </cell>
          <cell r="Z24" t="str">
            <v>AA RENDI AKBAR</v>
          </cell>
          <cell r="AA24" t="str">
            <v>BCA</v>
          </cell>
          <cell r="AB24">
            <v>7840343931</v>
          </cell>
          <cell r="CA24">
            <v>44914</v>
          </cell>
        </row>
        <row r="25">
          <cell r="D25" t="str">
            <v>Kompas Media Nusantara</v>
          </cell>
          <cell r="F25" t="str">
            <v>3674052201890006</v>
          </cell>
          <cell r="I25" t="str">
            <v>Office Boy</v>
          </cell>
          <cell r="Z25" t="str">
            <v>AWAN IRAWAN</v>
          </cell>
          <cell r="AA25" t="str">
            <v>BCA</v>
          </cell>
          <cell r="AB25" t="str">
            <v>-</v>
          </cell>
          <cell r="CA25">
            <v>46023</v>
          </cell>
        </row>
        <row r="26">
          <cell r="D26" t="str">
            <v>Kompas media nusantara</v>
          </cell>
          <cell r="F26" t="str">
            <v>3174030910860011</v>
          </cell>
          <cell r="I26" t="str">
            <v>Office Boy</v>
          </cell>
          <cell r="Z26" t="str">
            <v>Okky triyandanu</v>
          </cell>
          <cell r="AA26" t="str">
            <v>BCA</v>
          </cell>
          <cell r="AB26">
            <v>2291779150</v>
          </cell>
          <cell r="CA26">
            <v>46023</v>
          </cell>
        </row>
        <row r="27">
          <cell r="D27" t="str">
            <v>Kompas Media Nusantara</v>
          </cell>
          <cell r="F27" t="str">
            <v>3216060807870009</v>
          </cell>
          <cell r="I27" t="str">
            <v>Ware House Attendant</v>
          </cell>
          <cell r="Z27" t="str">
            <v>Suweno</v>
          </cell>
          <cell r="AA27" t="str">
            <v>BCA</v>
          </cell>
          <cell r="AB27">
            <v>1780111182</v>
          </cell>
          <cell r="CA27">
            <v>46023</v>
          </cell>
        </row>
        <row r="28">
          <cell r="D28" t="str">
            <v>Kompas</v>
          </cell>
          <cell r="F28" t="str">
            <v>3201131512700003</v>
          </cell>
          <cell r="I28" t="str">
            <v>Petugas Gudang</v>
          </cell>
          <cell r="Z28" t="str">
            <v>Slamet riyadi</v>
          </cell>
          <cell r="AA28" t="str">
            <v>BCA</v>
          </cell>
          <cell r="AB28" t="str">
            <v>-</v>
          </cell>
          <cell r="CA28">
            <v>46023</v>
          </cell>
        </row>
        <row r="29">
          <cell r="D29" t="str">
            <v>Kompas Media Nusantara yogya</v>
          </cell>
          <cell r="F29" t="str">
            <v>3404111012910001</v>
          </cell>
          <cell r="I29" t="str">
            <v>Security Guard (Anggota)</v>
          </cell>
          <cell r="Z29" t="str">
            <v>Dedi Triyono</v>
          </cell>
          <cell r="AA29" t="str">
            <v>BNI</v>
          </cell>
          <cell r="AB29">
            <v>1237899385</v>
          </cell>
          <cell r="CA29">
            <v>43040</v>
          </cell>
        </row>
        <row r="30">
          <cell r="D30" t="str">
            <v>Harian Kompas</v>
          </cell>
          <cell r="F30" t="str">
            <v>1205091009970004</v>
          </cell>
          <cell r="I30" t="str">
            <v>Office Boy</v>
          </cell>
          <cell r="Z30" t="str">
            <v>Deni Pengestu</v>
          </cell>
          <cell r="AA30" t="str">
            <v>BCA</v>
          </cell>
          <cell r="AB30">
            <v>6475266441</v>
          </cell>
          <cell r="CA30">
            <v>42583</v>
          </cell>
        </row>
        <row r="31">
          <cell r="D31" t="str">
            <v>Kompas bali</v>
          </cell>
          <cell r="F31" t="str">
            <v>5104010607880002</v>
          </cell>
          <cell r="I31" t="str">
            <v>Security Guard (Anggota)</v>
          </cell>
          <cell r="Z31" t="str">
            <v>I Made Juliata</v>
          </cell>
          <cell r="AA31" t="str">
            <v>BRI</v>
          </cell>
          <cell r="AB31">
            <v>59101022114507</v>
          </cell>
          <cell r="CA31">
            <v>40335</v>
          </cell>
        </row>
        <row r="32">
          <cell r="D32" t="str">
            <v>Unit GORP - Publishing 2</v>
          </cell>
          <cell r="F32" t="str">
            <v>3671114503010002</v>
          </cell>
          <cell r="I32" t="str">
            <v>Designer</v>
          </cell>
          <cell r="Z32" t="str">
            <v>Alya Rahmawati</v>
          </cell>
          <cell r="AA32" t="str">
            <v>BNI</v>
          </cell>
          <cell r="AB32">
            <v>858932721</v>
          </cell>
          <cell r="CA32">
            <v>45992</v>
          </cell>
        </row>
        <row r="33">
          <cell r="D33" t="str">
            <v>Gramedia Sudirman Jogja</v>
          </cell>
          <cell r="F33" t="str">
            <v>3402042009060001</v>
          </cell>
          <cell r="I33" t="str">
            <v>Security Guard (Anggota)</v>
          </cell>
          <cell r="Z33" t="str">
            <v>Zulfan Arya Albertino</v>
          </cell>
          <cell r="AA33" t="str">
            <v>BRI</v>
          </cell>
          <cell r="AB33">
            <v>664301039885532</v>
          </cell>
          <cell r="CA33">
            <v>46036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F2" t="str">
            <v>3404115702920001</v>
          </cell>
          <cell r="J2">
            <v>0</v>
          </cell>
          <cell r="L2">
            <v>0</v>
          </cell>
        </row>
        <row r="3">
          <cell r="F3" t="str">
            <v>3402094808080004</v>
          </cell>
          <cell r="J3">
            <v>0</v>
          </cell>
          <cell r="L3">
            <v>0</v>
          </cell>
        </row>
        <row r="4">
          <cell r="F4" t="str">
            <v>3307046002000004</v>
          </cell>
          <cell r="J4">
            <v>0</v>
          </cell>
          <cell r="L4">
            <v>0</v>
          </cell>
        </row>
        <row r="5">
          <cell r="F5" t="str">
            <v>3209052404930002</v>
          </cell>
          <cell r="J5">
            <v>0</v>
          </cell>
          <cell r="L5">
            <v>0</v>
          </cell>
        </row>
        <row r="6">
          <cell r="F6" t="str">
            <v>3404024410930003</v>
          </cell>
          <cell r="J6">
            <v>0</v>
          </cell>
          <cell r="L6">
            <v>0</v>
          </cell>
        </row>
        <row r="7">
          <cell r="F7" t="str">
            <v>3372056712840006</v>
          </cell>
          <cell r="J7">
            <v>0</v>
          </cell>
          <cell r="L7">
            <v>0</v>
          </cell>
        </row>
        <row r="8">
          <cell r="F8" t="str">
            <v>3313132204880001</v>
          </cell>
          <cell r="J8">
            <v>0</v>
          </cell>
          <cell r="L8">
            <v>0</v>
          </cell>
        </row>
        <row r="9">
          <cell r="F9" t="str">
            <v>3372051610840004</v>
          </cell>
          <cell r="J9">
            <v>0</v>
          </cell>
          <cell r="L9">
            <v>0</v>
          </cell>
        </row>
        <row r="10">
          <cell r="F10" t="str">
            <v>3302194401980001</v>
          </cell>
          <cell r="J10">
            <v>0</v>
          </cell>
          <cell r="L10">
            <v>0</v>
          </cell>
        </row>
        <row r="11">
          <cell r="F11" t="str">
            <v>3320025404000006</v>
          </cell>
          <cell r="J11">
            <v>0</v>
          </cell>
          <cell r="L11">
            <v>0</v>
          </cell>
        </row>
        <row r="12">
          <cell r="F12" t="str">
            <v>3172024905940001</v>
          </cell>
          <cell r="J12">
            <v>0</v>
          </cell>
          <cell r="L12">
            <v>0</v>
          </cell>
        </row>
        <row r="13">
          <cell r="F13" t="str">
            <v>3202120510850001</v>
          </cell>
          <cell r="J13">
            <v>0</v>
          </cell>
          <cell r="L13">
            <v>0</v>
          </cell>
        </row>
        <row r="14">
          <cell r="F14" t="str">
            <v>3175031507830019</v>
          </cell>
          <cell r="J14">
            <v>0</v>
          </cell>
          <cell r="L14">
            <v>0</v>
          </cell>
        </row>
        <row r="15">
          <cell r="F15" t="str">
            <v>3529080205940003</v>
          </cell>
          <cell r="J15">
            <v>0</v>
          </cell>
          <cell r="L15">
            <v>0</v>
          </cell>
        </row>
        <row r="16">
          <cell r="F16" t="str">
            <v>3302271008970002</v>
          </cell>
          <cell r="J16">
            <v>0</v>
          </cell>
          <cell r="L16">
            <v>0</v>
          </cell>
        </row>
        <row r="17">
          <cell r="F17" t="str">
            <v>3321011002820008</v>
          </cell>
          <cell r="J17">
            <v>0</v>
          </cell>
          <cell r="L17">
            <v>0</v>
          </cell>
        </row>
        <row r="18">
          <cell r="F18" t="str">
            <v>3173033108891001</v>
          </cell>
          <cell r="J18">
            <v>0</v>
          </cell>
          <cell r="L18">
            <v>0</v>
          </cell>
        </row>
        <row r="19">
          <cell r="F19" t="str">
            <v>3321070306890001</v>
          </cell>
          <cell r="J19">
            <v>0</v>
          </cell>
          <cell r="L19">
            <v>0</v>
          </cell>
        </row>
        <row r="20">
          <cell r="F20" t="str">
            <v>3374131304870002</v>
          </cell>
          <cell r="J20">
            <v>0</v>
          </cell>
          <cell r="L20">
            <v>0</v>
          </cell>
        </row>
        <row r="21">
          <cell r="F21" t="str">
            <v>3324092804870004</v>
          </cell>
          <cell r="J21">
            <v>0</v>
          </cell>
          <cell r="L21">
            <v>0</v>
          </cell>
        </row>
        <row r="22">
          <cell r="F22" t="str">
            <v>3309072901950001</v>
          </cell>
          <cell r="J22">
            <v>251479.76878612716</v>
          </cell>
          <cell r="L22">
            <v>0</v>
          </cell>
        </row>
        <row r="23">
          <cell r="F23" t="str">
            <v>3311072511940003</v>
          </cell>
          <cell r="J23">
            <v>377219.6531791907</v>
          </cell>
          <cell r="L23">
            <v>0</v>
          </cell>
        </row>
        <row r="24">
          <cell r="F24" t="str">
            <v>3309052505959004</v>
          </cell>
          <cell r="J24">
            <v>377219.6531791907</v>
          </cell>
          <cell r="L24">
            <v>0</v>
          </cell>
        </row>
        <row r="25">
          <cell r="F25" t="str">
            <v>3310162706940004</v>
          </cell>
          <cell r="J25">
            <v>377219.6531791907</v>
          </cell>
          <cell r="L25">
            <v>0</v>
          </cell>
        </row>
        <row r="26">
          <cell r="F26" t="str">
            <v>3404161005020002</v>
          </cell>
          <cell r="J26">
            <v>0</v>
          </cell>
          <cell r="L26">
            <v>0</v>
          </cell>
        </row>
        <row r="27">
          <cell r="F27" t="str">
            <v>3404144309950002</v>
          </cell>
          <cell r="J27">
            <v>0</v>
          </cell>
          <cell r="L27">
            <v>0</v>
          </cell>
        </row>
        <row r="28">
          <cell r="F28" t="str">
            <v>3404051704970001</v>
          </cell>
          <cell r="J28">
            <v>0</v>
          </cell>
          <cell r="L28">
            <v>0</v>
          </cell>
        </row>
        <row r="29">
          <cell r="F29" t="str">
            <v>3404052606900002</v>
          </cell>
          <cell r="J29">
            <v>0</v>
          </cell>
          <cell r="L29">
            <v>0</v>
          </cell>
        </row>
        <row r="30">
          <cell r="F30" t="str">
            <v>3310011807030001</v>
          </cell>
          <cell r="J30">
            <v>0</v>
          </cell>
          <cell r="L30">
            <v>0</v>
          </cell>
        </row>
        <row r="31">
          <cell r="F31" t="str">
            <v>3404022506030006</v>
          </cell>
          <cell r="J31">
            <v>0</v>
          </cell>
          <cell r="L31">
            <v>0</v>
          </cell>
        </row>
        <row r="32">
          <cell r="F32" t="str">
            <v>3404131706020001</v>
          </cell>
          <cell r="J32">
            <v>0</v>
          </cell>
          <cell r="L32">
            <v>0</v>
          </cell>
        </row>
        <row r="33">
          <cell r="F33" t="str">
            <v>3674061610990010</v>
          </cell>
          <cell r="J33">
            <v>0</v>
          </cell>
          <cell r="L33">
            <v>0</v>
          </cell>
        </row>
        <row r="34">
          <cell r="F34" t="str">
            <v>3603171508010006</v>
          </cell>
          <cell r="J34">
            <v>0</v>
          </cell>
          <cell r="L34">
            <v>0</v>
          </cell>
        </row>
        <row r="35">
          <cell r="F35" t="str">
            <v>3172011110030004</v>
          </cell>
          <cell r="J35">
            <v>0</v>
          </cell>
          <cell r="L35">
            <v>0</v>
          </cell>
        </row>
        <row r="36">
          <cell r="F36" t="str">
            <v>3171080707670001</v>
          </cell>
          <cell r="J36">
            <v>0</v>
          </cell>
          <cell r="L36">
            <v>0</v>
          </cell>
        </row>
        <row r="37">
          <cell r="F37" t="str">
            <v>3174082603840001</v>
          </cell>
          <cell r="J37">
            <v>0</v>
          </cell>
          <cell r="L37">
            <v>0</v>
          </cell>
        </row>
        <row r="38">
          <cell r="F38" t="str">
            <v>3216061911710011</v>
          </cell>
          <cell r="J38">
            <v>0</v>
          </cell>
          <cell r="L38">
            <v>0</v>
          </cell>
        </row>
        <row r="39">
          <cell r="F39" t="str">
            <v>3173081601780004</v>
          </cell>
          <cell r="J39">
            <v>0</v>
          </cell>
          <cell r="L39">
            <v>0</v>
          </cell>
        </row>
        <row r="40">
          <cell r="F40" t="str">
            <v>3402120810740001</v>
          </cell>
          <cell r="J40">
            <v>0</v>
          </cell>
          <cell r="L40">
            <v>0</v>
          </cell>
        </row>
        <row r="41">
          <cell r="F41" t="str">
            <v>3402121008840006</v>
          </cell>
          <cell r="J41">
            <v>0</v>
          </cell>
          <cell r="L41">
            <v>0</v>
          </cell>
        </row>
        <row r="42">
          <cell r="F42" t="str">
            <v>3320021909900003</v>
          </cell>
          <cell r="J42">
            <v>0</v>
          </cell>
          <cell r="L42">
            <v>0</v>
          </cell>
        </row>
        <row r="43">
          <cell r="F43" t="str">
            <v>3276081604820001</v>
          </cell>
          <cell r="J43">
            <v>0</v>
          </cell>
          <cell r="L43">
            <v>0</v>
          </cell>
        </row>
        <row r="44">
          <cell r="F44" t="str">
            <v>3276012105020001</v>
          </cell>
          <cell r="J44">
            <v>0</v>
          </cell>
          <cell r="L44">
            <v>0</v>
          </cell>
        </row>
        <row r="45">
          <cell r="F45" t="str">
            <v>3206282211990004</v>
          </cell>
          <cell r="J45">
            <v>0</v>
          </cell>
          <cell r="L45">
            <v>0</v>
          </cell>
        </row>
        <row r="46">
          <cell r="F46" t="str">
            <v>3202051607940002</v>
          </cell>
          <cell r="J46">
            <v>0</v>
          </cell>
          <cell r="L46">
            <v>0</v>
          </cell>
        </row>
        <row r="47">
          <cell r="F47" t="str">
            <v>1371103001900005</v>
          </cell>
          <cell r="J47">
            <v>0</v>
          </cell>
          <cell r="L47">
            <v>0</v>
          </cell>
        </row>
        <row r="48">
          <cell r="F48" t="str">
            <v>3276040707800001</v>
          </cell>
          <cell r="J48">
            <v>0</v>
          </cell>
          <cell r="L48">
            <v>0</v>
          </cell>
        </row>
        <row r="49">
          <cell r="F49" t="str">
            <v>3201390806890006</v>
          </cell>
          <cell r="J49">
            <v>0</v>
          </cell>
          <cell r="L49">
            <v>0</v>
          </cell>
        </row>
        <row r="50">
          <cell r="F50" t="str">
            <v>8101140309900006</v>
          </cell>
          <cell r="J50">
            <v>0</v>
          </cell>
          <cell r="L50">
            <v>0</v>
          </cell>
        </row>
        <row r="51">
          <cell r="F51" t="str">
            <v>9106022711000002</v>
          </cell>
          <cell r="J51">
            <v>0</v>
          </cell>
          <cell r="L51">
            <v>0</v>
          </cell>
        </row>
        <row r="52">
          <cell r="F52" t="str">
            <v>8101090801000004</v>
          </cell>
          <cell r="J52">
            <v>0</v>
          </cell>
          <cell r="L52">
            <v>0</v>
          </cell>
        </row>
        <row r="53">
          <cell r="F53" t="str">
            <v>5301100501990001</v>
          </cell>
          <cell r="J53">
            <v>0</v>
          </cell>
          <cell r="L53">
            <v>0</v>
          </cell>
        </row>
        <row r="54">
          <cell r="F54" t="str">
            <v>9171032203980003</v>
          </cell>
          <cell r="J54">
            <v>0</v>
          </cell>
          <cell r="L54">
            <v>0</v>
          </cell>
        </row>
        <row r="55">
          <cell r="F55" t="str">
            <v>5371041312910006</v>
          </cell>
          <cell r="J55">
            <v>0</v>
          </cell>
          <cell r="L55">
            <v>0</v>
          </cell>
        </row>
        <row r="56">
          <cell r="F56" t="str">
            <v>5371040310860005</v>
          </cell>
          <cell r="J56">
            <v>0</v>
          </cell>
          <cell r="L56">
            <v>0</v>
          </cell>
        </row>
        <row r="57">
          <cell r="F57" t="str">
            <v>5301052009930002</v>
          </cell>
          <cell r="J57">
            <v>0</v>
          </cell>
          <cell r="L57">
            <v>0</v>
          </cell>
        </row>
        <row r="58">
          <cell r="F58" t="str">
            <v>5271031702910004</v>
          </cell>
          <cell r="J58">
            <v>0</v>
          </cell>
          <cell r="L58">
            <v>0</v>
          </cell>
        </row>
        <row r="59">
          <cell r="F59" t="str">
            <v>5202050605000002</v>
          </cell>
          <cell r="J59">
            <v>0</v>
          </cell>
          <cell r="L59">
            <v>0</v>
          </cell>
        </row>
        <row r="60">
          <cell r="F60" t="str">
            <v>5271012904020001</v>
          </cell>
          <cell r="J60">
            <v>0</v>
          </cell>
          <cell r="L60">
            <v>0</v>
          </cell>
        </row>
        <row r="61">
          <cell r="F61" t="str">
            <v>5271051310920002</v>
          </cell>
          <cell r="J61">
            <v>0</v>
          </cell>
          <cell r="L61">
            <v>0</v>
          </cell>
        </row>
        <row r="62">
          <cell r="F62" t="str">
            <v>5203040107810503</v>
          </cell>
          <cell r="J62">
            <v>0</v>
          </cell>
          <cell r="L62">
            <v>0</v>
          </cell>
        </row>
        <row r="63">
          <cell r="F63" t="str">
            <v>5201021404990004</v>
          </cell>
          <cell r="J63">
            <v>0</v>
          </cell>
          <cell r="L63">
            <v>0</v>
          </cell>
        </row>
        <row r="64">
          <cell r="F64" t="str">
            <v>5307100411850004</v>
          </cell>
          <cell r="J64">
            <v>0</v>
          </cell>
          <cell r="L64">
            <v>0</v>
          </cell>
        </row>
        <row r="65">
          <cell r="F65" t="str">
            <v>5307050909890004</v>
          </cell>
          <cell r="J65">
            <v>0</v>
          </cell>
          <cell r="L65">
            <v>0</v>
          </cell>
        </row>
        <row r="66">
          <cell r="F66" t="str">
            <v>5307151009810001</v>
          </cell>
          <cell r="J66">
            <v>0</v>
          </cell>
          <cell r="L66">
            <v>0</v>
          </cell>
        </row>
        <row r="67">
          <cell r="F67" t="str">
            <v>5307072003810002</v>
          </cell>
          <cell r="J67">
            <v>0</v>
          </cell>
          <cell r="L67">
            <v>0</v>
          </cell>
        </row>
        <row r="68">
          <cell r="F68" t="str">
            <v>7306012002000002</v>
          </cell>
          <cell r="J68">
            <v>0</v>
          </cell>
          <cell r="L68">
            <v>0</v>
          </cell>
        </row>
        <row r="69">
          <cell r="F69" t="str">
            <v>7306162108950003</v>
          </cell>
          <cell r="J69">
            <v>0</v>
          </cell>
          <cell r="L69">
            <v>0</v>
          </cell>
        </row>
        <row r="70">
          <cell r="F70" t="str">
            <v>7371130205820007</v>
          </cell>
          <cell r="J70">
            <v>0</v>
          </cell>
          <cell r="L70">
            <v>0</v>
          </cell>
        </row>
        <row r="71">
          <cell r="F71" t="str">
            <v>3275092306910007</v>
          </cell>
          <cell r="J71">
            <v>0</v>
          </cell>
          <cell r="L71">
            <v>0</v>
          </cell>
        </row>
        <row r="72">
          <cell r="F72" t="str">
            <v>1801130609980009</v>
          </cell>
          <cell r="J72">
            <v>218375.7225433526</v>
          </cell>
          <cell r="L72">
            <v>0</v>
          </cell>
        </row>
        <row r="73">
          <cell r="F73" t="str">
            <v>3174090804790002</v>
          </cell>
          <cell r="J73">
            <v>0</v>
          </cell>
          <cell r="L73">
            <v>0</v>
          </cell>
        </row>
        <row r="74">
          <cell r="F74" t="str">
            <v>3520111407940001</v>
          </cell>
          <cell r="J74">
            <v>0</v>
          </cell>
          <cell r="L74">
            <v>0</v>
          </cell>
        </row>
        <row r="75">
          <cell r="F75" t="str">
            <v>3172027003860006</v>
          </cell>
          <cell r="J75">
            <v>0</v>
          </cell>
          <cell r="L75">
            <v>0</v>
          </cell>
        </row>
        <row r="76">
          <cell r="F76" t="str">
            <v>3175072105790001</v>
          </cell>
          <cell r="J76">
            <v>0</v>
          </cell>
          <cell r="L76">
            <v>0</v>
          </cell>
        </row>
        <row r="77">
          <cell r="F77" t="str">
            <v>3310251601890001</v>
          </cell>
          <cell r="J77">
            <v>249572.25433526011</v>
          </cell>
          <cell r="L77">
            <v>0</v>
          </cell>
        </row>
        <row r="78">
          <cell r="F78" t="str">
            <v>3404111108800002</v>
          </cell>
          <cell r="J78">
            <v>0</v>
          </cell>
          <cell r="L78">
            <v>0</v>
          </cell>
        </row>
        <row r="79">
          <cell r="F79" t="str">
            <v>3671074306920001</v>
          </cell>
          <cell r="J79">
            <v>0</v>
          </cell>
          <cell r="L79">
            <v>0</v>
          </cell>
        </row>
        <row r="80">
          <cell r="F80" t="str">
            <v>3175100412820005</v>
          </cell>
          <cell r="J80">
            <v>0</v>
          </cell>
          <cell r="L80">
            <v>0</v>
          </cell>
        </row>
        <row r="81">
          <cell r="F81" t="str">
            <v>1301040607840003</v>
          </cell>
          <cell r="J81">
            <v>0</v>
          </cell>
          <cell r="L81">
            <v>0</v>
          </cell>
        </row>
        <row r="82">
          <cell r="F82" t="str">
            <v>3175070608830004</v>
          </cell>
          <cell r="J82">
            <v>0</v>
          </cell>
          <cell r="L82">
            <v>0</v>
          </cell>
        </row>
        <row r="83">
          <cell r="F83" t="str">
            <v>3175103009910002</v>
          </cell>
          <cell r="J83">
            <v>623930.63583815028</v>
          </cell>
          <cell r="L83">
            <v>0</v>
          </cell>
        </row>
        <row r="84">
          <cell r="F84" t="str">
            <v>3175011912900002</v>
          </cell>
          <cell r="J84">
            <v>0</v>
          </cell>
          <cell r="L84">
            <v>0</v>
          </cell>
        </row>
        <row r="85">
          <cell r="F85" t="str">
            <v>5371012802000003</v>
          </cell>
          <cell r="J85">
            <v>0</v>
          </cell>
          <cell r="L85">
            <v>0</v>
          </cell>
        </row>
        <row r="86">
          <cell r="F86" t="str">
            <v>7306071302820003</v>
          </cell>
          <cell r="J86">
            <v>0</v>
          </cell>
          <cell r="L86">
            <v>0</v>
          </cell>
        </row>
        <row r="87">
          <cell r="F87" t="str">
            <v>8104061303950005</v>
          </cell>
          <cell r="J87">
            <v>0</v>
          </cell>
          <cell r="L87">
            <v>0</v>
          </cell>
        </row>
        <row r="88">
          <cell r="F88" t="str">
            <v>8171021011860010</v>
          </cell>
          <cell r="J88">
            <v>0</v>
          </cell>
          <cell r="L88">
            <v>0</v>
          </cell>
        </row>
        <row r="89">
          <cell r="F89" t="str">
            <v>8205180507920001</v>
          </cell>
          <cell r="J89">
            <v>0</v>
          </cell>
          <cell r="L89">
            <v>0</v>
          </cell>
        </row>
        <row r="90">
          <cell r="F90" t="str">
            <v>6310032309010002</v>
          </cell>
          <cell r="J90">
            <v>0</v>
          </cell>
          <cell r="L90">
            <v>0</v>
          </cell>
        </row>
        <row r="91">
          <cell r="F91" t="str">
            <v>6303040802030005</v>
          </cell>
          <cell r="J91">
            <v>0</v>
          </cell>
          <cell r="L91">
            <v>0</v>
          </cell>
        </row>
        <row r="92">
          <cell r="F92" t="str">
            <v>6304050107060006</v>
          </cell>
          <cell r="J92">
            <v>0</v>
          </cell>
          <cell r="L92">
            <v>0</v>
          </cell>
        </row>
        <row r="93">
          <cell r="F93" t="str">
            <v>6304055408850002</v>
          </cell>
          <cell r="J93">
            <v>0</v>
          </cell>
          <cell r="L93">
            <v>0</v>
          </cell>
        </row>
        <row r="94">
          <cell r="F94" t="str">
            <v>3209391701920001</v>
          </cell>
          <cell r="J94">
            <v>0</v>
          </cell>
          <cell r="L94">
            <v>0</v>
          </cell>
        </row>
        <row r="95">
          <cell r="F95" t="str">
            <v>3274012110900004</v>
          </cell>
          <cell r="J95">
            <v>0</v>
          </cell>
          <cell r="L95">
            <v>0</v>
          </cell>
        </row>
        <row r="96">
          <cell r="F96" t="str">
            <v>3209131609940002</v>
          </cell>
          <cell r="J96">
            <v>0</v>
          </cell>
          <cell r="L96">
            <v>0</v>
          </cell>
        </row>
        <row r="97">
          <cell r="F97" t="str">
            <v>3209182006980008</v>
          </cell>
          <cell r="J97">
            <v>0</v>
          </cell>
          <cell r="L97">
            <v>0</v>
          </cell>
        </row>
        <row r="98">
          <cell r="F98" t="str">
            <v>3208141704950003</v>
          </cell>
          <cell r="J98">
            <v>0</v>
          </cell>
          <cell r="L98">
            <v>0</v>
          </cell>
        </row>
        <row r="99">
          <cell r="F99" t="str">
            <v>3302181211890001</v>
          </cell>
          <cell r="J99">
            <v>0</v>
          </cell>
          <cell r="L99">
            <v>0</v>
          </cell>
        </row>
        <row r="100">
          <cell r="F100" t="str">
            <v>3402172101950001</v>
          </cell>
          <cell r="J100">
            <v>537341.04046242777</v>
          </cell>
          <cell r="L100">
            <v>0</v>
          </cell>
        </row>
        <row r="101">
          <cell r="F101" t="str">
            <v>1201101505000003</v>
          </cell>
          <cell r="J101">
            <v>0</v>
          </cell>
          <cell r="L101">
            <v>0</v>
          </cell>
        </row>
        <row r="102">
          <cell r="F102" t="str">
            <v>2171021501939004</v>
          </cell>
          <cell r="J102">
            <v>0</v>
          </cell>
          <cell r="L102">
            <v>0</v>
          </cell>
        </row>
        <row r="103">
          <cell r="F103" t="str">
            <v>1210182802040003</v>
          </cell>
          <cell r="J103">
            <v>0</v>
          </cell>
          <cell r="L103">
            <v>0</v>
          </cell>
        </row>
        <row r="104">
          <cell r="F104" t="str">
            <v>1804041304960004</v>
          </cell>
          <cell r="J104">
            <v>0</v>
          </cell>
          <cell r="L104">
            <v>0</v>
          </cell>
        </row>
        <row r="105">
          <cell r="F105" t="str">
            <v>1809050104990002</v>
          </cell>
          <cell r="J105">
            <v>0</v>
          </cell>
          <cell r="L105">
            <v>0</v>
          </cell>
        </row>
        <row r="106">
          <cell r="F106" t="str">
            <v>1801051508930003</v>
          </cell>
          <cell r="J106">
            <v>0</v>
          </cell>
          <cell r="L106">
            <v>0</v>
          </cell>
        </row>
        <row r="107">
          <cell r="F107" t="str">
            <v>1809011012020009</v>
          </cell>
          <cell r="J107">
            <v>0</v>
          </cell>
          <cell r="L107">
            <v>0</v>
          </cell>
        </row>
        <row r="108">
          <cell r="F108" t="str">
            <v>1809020604950001</v>
          </cell>
          <cell r="J108">
            <v>0</v>
          </cell>
          <cell r="L108">
            <v>0</v>
          </cell>
        </row>
        <row r="109">
          <cell r="F109" t="str">
            <v>1809012202790002</v>
          </cell>
          <cell r="J109">
            <v>0</v>
          </cell>
          <cell r="L109">
            <v>0</v>
          </cell>
        </row>
        <row r="110">
          <cell r="F110" t="str">
            <v>1311021112930001</v>
          </cell>
          <cell r="J110">
            <v>0</v>
          </cell>
          <cell r="L110">
            <v>0</v>
          </cell>
        </row>
        <row r="111">
          <cell r="F111" t="str">
            <v>1305041503030001</v>
          </cell>
          <cell r="J111">
            <v>0</v>
          </cell>
          <cell r="L111">
            <v>0</v>
          </cell>
        </row>
        <row r="112">
          <cell r="F112" t="str">
            <v>1301060305030003</v>
          </cell>
          <cell r="J112">
            <v>0</v>
          </cell>
          <cell r="L112">
            <v>0</v>
          </cell>
        </row>
        <row r="113">
          <cell r="F113" t="str">
            <v>1371111702930004</v>
          </cell>
          <cell r="J113">
            <v>0</v>
          </cell>
          <cell r="L113">
            <v>0</v>
          </cell>
        </row>
        <row r="114">
          <cell r="F114" t="str">
            <v>1304032706010003</v>
          </cell>
          <cell r="J114">
            <v>0</v>
          </cell>
          <cell r="L114">
            <v>0</v>
          </cell>
        </row>
        <row r="115">
          <cell r="F115" t="str">
            <v>1401162005990001</v>
          </cell>
          <cell r="J115">
            <v>0</v>
          </cell>
          <cell r="L115">
            <v>0</v>
          </cell>
        </row>
        <row r="116">
          <cell r="F116" t="str">
            <v>1402061506990007</v>
          </cell>
          <cell r="J116">
            <v>0</v>
          </cell>
          <cell r="L116">
            <v>0</v>
          </cell>
        </row>
        <row r="117">
          <cell r="F117" t="str">
            <v>1371060507000005</v>
          </cell>
          <cell r="J117">
            <v>0</v>
          </cell>
          <cell r="L117">
            <v>0</v>
          </cell>
        </row>
        <row r="118">
          <cell r="F118" t="str">
            <v>1401171901030001</v>
          </cell>
          <cell r="J118">
            <v>0</v>
          </cell>
          <cell r="L118">
            <v>0</v>
          </cell>
        </row>
        <row r="119">
          <cell r="F119" t="str">
            <v>1401170211030003</v>
          </cell>
          <cell r="J119">
            <v>0</v>
          </cell>
          <cell r="L119">
            <v>0</v>
          </cell>
        </row>
        <row r="120">
          <cell r="F120" t="str">
            <v>3603111102060003</v>
          </cell>
          <cell r="J120">
            <v>143786.12716763007</v>
          </cell>
          <cell r="L120">
            <v>0</v>
          </cell>
        </row>
        <row r="121">
          <cell r="F121" t="str">
            <v>3202321008980002</v>
          </cell>
          <cell r="J121">
            <v>0</v>
          </cell>
          <cell r="L121">
            <v>0</v>
          </cell>
        </row>
        <row r="122">
          <cell r="F122" t="str">
            <v>3201112705860001</v>
          </cell>
          <cell r="J122">
            <v>0</v>
          </cell>
          <cell r="L122">
            <v>0</v>
          </cell>
        </row>
        <row r="123">
          <cell r="F123" t="str">
            <v>3212310511920002</v>
          </cell>
          <cell r="J123">
            <v>0</v>
          </cell>
          <cell r="L123">
            <v>0</v>
          </cell>
        </row>
        <row r="124">
          <cell r="F124" t="str">
            <v>3212011009930001</v>
          </cell>
          <cell r="J124">
            <v>661416.18497109821</v>
          </cell>
          <cell r="L124">
            <v>0</v>
          </cell>
        </row>
        <row r="125">
          <cell r="F125" t="str">
            <v>3674020801000006</v>
          </cell>
          <cell r="J125">
            <v>0</v>
          </cell>
          <cell r="L125">
            <v>0</v>
          </cell>
        </row>
        <row r="126">
          <cell r="F126" t="str">
            <v>3603230202860007</v>
          </cell>
          <cell r="J126">
            <v>0</v>
          </cell>
          <cell r="L126">
            <v>0</v>
          </cell>
        </row>
        <row r="127">
          <cell r="F127" t="str">
            <v>3603280506800015</v>
          </cell>
          <cell r="J127">
            <v>0</v>
          </cell>
          <cell r="L127">
            <v>0</v>
          </cell>
        </row>
        <row r="128">
          <cell r="F128" t="str">
            <v>3603032910860002</v>
          </cell>
          <cell r="J128">
            <v>0</v>
          </cell>
          <cell r="L128">
            <v>0</v>
          </cell>
        </row>
        <row r="129">
          <cell r="F129" t="str">
            <v>3603220311820001</v>
          </cell>
          <cell r="J129">
            <v>0</v>
          </cell>
          <cell r="L129">
            <v>0</v>
          </cell>
        </row>
        <row r="130">
          <cell r="F130" t="str">
            <v>6471041704970004</v>
          </cell>
          <cell r="J130">
            <v>0</v>
          </cell>
          <cell r="L130">
            <v>0</v>
          </cell>
        </row>
        <row r="131">
          <cell r="F131" t="str">
            <v>6471055202980004</v>
          </cell>
          <cell r="J131">
            <v>0</v>
          </cell>
          <cell r="L131">
            <v>0</v>
          </cell>
        </row>
        <row r="132">
          <cell r="F132" t="str">
            <v>6471030702730001</v>
          </cell>
          <cell r="J132">
            <v>0</v>
          </cell>
          <cell r="L132">
            <v>0</v>
          </cell>
        </row>
        <row r="133">
          <cell r="F133" t="str">
            <v>1771031008960002</v>
          </cell>
          <cell r="J133">
            <v>0</v>
          </cell>
          <cell r="L133">
            <v>0</v>
          </cell>
        </row>
        <row r="134">
          <cell r="F134" t="str">
            <v>1708052205980001</v>
          </cell>
          <cell r="J134">
            <v>0</v>
          </cell>
          <cell r="L134">
            <v>0</v>
          </cell>
        </row>
        <row r="135">
          <cell r="F135" t="str">
            <v>1771062903010004</v>
          </cell>
          <cell r="J135">
            <v>0</v>
          </cell>
          <cell r="L135">
            <v>0</v>
          </cell>
        </row>
        <row r="136">
          <cell r="F136" t="str">
            <v>1709010707970001</v>
          </cell>
          <cell r="J136">
            <v>0</v>
          </cell>
          <cell r="L136">
            <v>0</v>
          </cell>
        </row>
        <row r="137">
          <cell r="F137" t="str">
            <v>6471051111000002</v>
          </cell>
          <cell r="J137">
            <v>0</v>
          </cell>
          <cell r="L137">
            <v>0</v>
          </cell>
        </row>
        <row r="138">
          <cell r="F138" t="str">
            <v>6471010602970001</v>
          </cell>
          <cell r="J138">
            <v>0</v>
          </cell>
          <cell r="L138">
            <v>0</v>
          </cell>
        </row>
        <row r="139">
          <cell r="F139" t="str">
            <v>6471020111970002</v>
          </cell>
          <cell r="J139">
            <v>0</v>
          </cell>
          <cell r="L139">
            <v>0</v>
          </cell>
        </row>
        <row r="140">
          <cell r="F140" t="str">
            <v>1571030806010021</v>
          </cell>
          <cell r="J140">
            <v>0</v>
          </cell>
          <cell r="L140">
            <v>0</v>
          </cell>
        </row>
        <row r="141">
          <cell r="F141" t="str">
            <v>1501171006980001</v>
          </cell>
          <cell r="J141">
            <v>0</v>
          </cell>
          <cell r="L141">
            <v>0</v>
          </cell>
        </row>
        <row r="142">
          <cell r="F142" t="str">
            <v>1671140612920007</v>
          </cell>
          <cell r="J142">
            <v>0</v>
          </cell>
          <cell r="L142">
            <v>0</v>
          </cell>
        </row>
        <row r="143">
          <cell r="F143" t="str">
            <v>1671021204980014</v>
          </cell>
          <cell r="J143">
            <v>0</v>
          </cell>
          <cell r="L143">
            <v>0</v>
          </cell>
        </row>
        <row r="144">
          <cell r="F144" t="str">
            <v>1602151712760004</v>
          </cell>
          <cell r="J144">
            <v>0</v>
          </cell>
          <cell r="L144">
            <v>0</v>
          </cell>
        </row>
        <row r="145">
          <cell r="F145" t="str">
            <v>1671131808890005</v>
          </cell>
          <cell r="J145">
            <v>0</v>
          </cell>
          <cell r="L145">
            <v>0</v>
          </cell>
        </row>
        <row r="146">
          <cell r="F146" t="str">
            <v>1671142303710005</v>
          </cell>
          <cell r="J146">
            <v>0</v>
          </cell>
          <cell r="L146">
            <v>0</v>
          </cell>
        </row>
        <row r="147">
          <cell r="F147" t="str">
            <v>1671071306880003</v>
          </cell>
          <cell r="J147">
            <v>0</v>
          </cell>
          <cell r="L147">
            <v>0</v>
          </cell>
        </row>
        <row r="148">
          <cell r="F148" t="str">
            <v>1673081210780003</v>
          </cell>
          <cell r="J148">
            <v>0</v>
          </cell>
          <cell r="L148">
            <v>0</v>
          </cell>
        </row>
        <row r="149">
          <cell r="F149" t="str">
            <v>1809010810810002</v>
          </cell>
          <cell r="J149">
            <v>0</v>
          </cell>
          <cell r="L149">
            <v>0</v>
          </cell>
        </row>
        <row r="150">
          <cell r="F150" t="str">
            <v>1671141707980005</v>
          </cell>
          <cell r="J150">
            <v>0</v>
          </cell>
          <cell r="L150">
            <v>0</v>
          </cell>
        </row>
        <row r="151">
          <cell r="F151" t="str">
            <v>1671071810770015</v>
          </cell>
          <cell r="J151">
            <v>0</v>
          </cell>
          <cell r="L151">
            <v>0</v>
          </cell>
        </row>
        <row r="152">
          <cell r="F152" t="str">
            <v>1671070408790013</v>
          </cell>
          <cell r="J152">
            <v>0</v>
          </cell>
          <cell r="L152">
            <v>0</v>
          </cell>
        </row>
        <row r="153">
          <cell r="F153" t="str">
            <v>1671071412760010</v>
          </cell>
          <cell r="J153">
            <v>0</v>
          </cell>
          <cell r="L153">
            <v>0</v>
          </cell>
        </row>
        <row r="154">
          <cell r="F154" t="str">
            <v>6112015711960010</v>
          </cell>
          <cell r="J154">
            <v>0</v>
          </cell>
          <cell r="L154">
            <v>0</v>
          </cell>
        </row>
        <row r="155">
          <cell r="F155" t="str">
            <v>6108020512050003</v>
          </cell>
          <cell r="J155">
            <v>0</v>
          </cell>
          <cell r="L155">
            <v>0</v>
          </cell>
        </row>
        <row r="156">
          <cell r="F156" t="str">
            <v>6112051310010001</v>
          </cell>
          <cell r="J156">
            <v>0</v>
          </cell>
          <cell r="L156">
            <v>0</v>
          </cell>
        </row>
        <row r="157">
          <cell r="F157" t="str">
            <v>6472052006000006</v>
          </cell>
          <cell r="J157">
            <v>0</v>
          </cell>
          <cell r="L157">
            <v>0</v>
          </cell>
        </row>
        <row r="158">
          <cell r="F158" t="str">
            <v>6472040206990003</v>
          </cell>
          <cell r="J158">
            <v>0</v>
          </cell>
          <cell r="L158">
            <v>0</v>
          </cell>
        </row>
        <row r="159">
          <cell r="F159" t="str">
            <v>3201041708940017</v>
          </cell>
          <cell r="J159">
            <v>0</v>
          </cell>
          <cell r="L159">
            <v>0</v>
          </cell>
        </row>
        <row r="160">
          <cell r="F160" t="str">
            <v>3201331011010003</v>
          </cell>
          <cell r="J160">
            <v>0</v>
          </cell>
          <cell r="L160">
            <v>0</v>
          </cell>
        </row>
        <row r="161">
          <cell r="F161" t="str">
            <v>3674030304910009</v>
          </cell>
          <cell r="J161">
            <v>0</v>
          </cell>
          <cell r="L161">
            <v>0</v>
          </cell>
        </row>
        <row r="162">
          <cell r="F162" t="str">
            <v>1812032807970002</v>
          </cell>
          <cell r="J162">
            <v>0</v>
          </cell>
          <cell r="L162">
            <v>0</v>
          </cell>
        </row>
        <row r="163">
          <cell r="F163" t="str">
            <v>3316042103000004</v>
          </cell>
          <cell r="J163">
            <v>0</v>
          </cell>
          <cell r="L163">
            <v>0</v>
          </cell>
        </row>
        <row r="164">
          <cell r="F164" t="str">
            <v>1803021712960003</v>
          </cell>
          <cell r="J164">
            <v>0</v>
          </cell>
          <cell r="L164">
            <v>0</v>
          </cell>
        </row>
        <row r="165">
          <cell r="F165" t="str">
            <v>1801101009860005</v>
          </cell>
          <cell r="J165">
            <v>0</v>
          </cell>
          <cell r="L165">
            <v>0</v>
          </cell>
        </row>
        <row r="166">
          <cell r="F166" t="str">
            <v>5309012908970002</v>
          </cell>
          <cell r="J166">
            <v>0</v>
          </cell>
          <cell r="L166">
            <v>0</v>
          </cell>
        </row>
        <row r="167">
          <cell r="F167" t="str">
            <v>1903031104940002</v>
          </cell>
          <cell r="J167">
            <v>0</v>
          </cell>
          <cell r="L167">
            <v>0</v>
          </cell>
        </row>
        <row r="168">
          <cell r="F168" t="str">
            <v>1971042004930002</v>
          </cell>
          <cell r="J168">
            <v>0</v>
          </cell>
          <cell r="L168">
            <v>0</v>
          </cell>
        </row>
        <row r="169">
          <cell r="F169" t="str">
            <v>1904040808850001</v>
          </cell>
          <cell r="J169">
            <v>0</v>
          </cell>
          <cell r="L169">
            <v>0</v>
          </cell>
        </row>
        <row r="170">
          <cell r="F170" t="str">
            <v>1971010707970001</v>
          </cell>
          <cell r="J170">
            <v>0</v>
          </cell>
          <cell r="L170">
            <v>155080</v>
          </cell>
        </row>
        <row r="171">
          <cell r="F171" t="str">
            <v>1971010409000003</v>
          </cell>
          <cell r="J171">
            <v>0</v>
          </cell>
          <cell r="L171">
            <v>0</v>
          </cell>
        </row>
        <row r="172">
          <cell r="F172" t="str">
            <v>1102072303970002</v>
          </cell>
          <cell r="J172">
            <v>0</v>
          </cell>
          <cell r="L172">
            <v>0</v>
          </cell>
        </row>
        <row r="173">
          <cell r="F173" t="str">
            <v>1106100101830010</v>
          </cell>
          <cell r="J173">
            <v>0</v>
          </cell>
          <cell r="L173">
            <v>0</v>
          </cell>
        </row>
        <row r="174">
          <cell r="F174" t="str">
            <v>1106050105820003</v>
          </cell>
          <cell r="J174">
            <v>0</v>
          </cell>
          <cell r="L174">
            <v>0</v>
          </cell>
        </row>
        <row r="175">
          <cell r="F175" t="str">
            <v>1106071301980004</v>
          </cell>
          <cell r="J175">
            <v>0</v>
          </cell>
          <cell r="L175">
            <v>0</v>
          </cell>
        </row>
        <row r="176">
          <cell r="F176" t="str">
            <v>1107161312000002</v>
          </cell>
          <cell r="J176">
            <v>0</v>
          </cell>
          <cell r="L176">
            <v>0</v>
          </cell>
        </row>
        <row r="177">
          <cell r="F177" t="str">
            <v>1171041208830002</v>
          </cell>
          <cell r="J177">
            <v>0</v>
          </cell>
          <cell r="L177">
            <v>0</v>
          </cell>
        </row>
        <row r="178">
          <cell r="F178" t="str">
            <v>1106082810970002</v>
          </cell>
          <cell r="J178">
            <v>0</v>
          </cell>
          <cell r="L178">
            <v>0</v>
          </cell>
        </row>
        <row r="179">
          <cell r="F179" t="str">
            <v>1171041212750004</v>
          </cell>
          <cell r="J179">
            <v>0</v>
          </cell>
          <cell r="L179">
            <v>0</v>
          </cell>
        </row>
        <row r="180">
          <cell r="F180" t="str">
            <v>3217080111900003</v>
          </cell>
          <cell r="J180">
            <v>0</v>
          </cell>
          <cell r="L180">
            <v>0</v>
          </cell>
        </row>
        <row r="181">
          <cell r="F181" t="str">
            <v>3201170306910004</v>
          </cell>
          <cell r="J181">
            <v>0</v>
          </cell>
          <cell r="L181">
            <v>0</v>
          </cell>
        </row>
        <row r="182">
          <cell r="F182" t="str">
            <v>3206020807930005</v>
          </cell>
          <cell r="J182">
            <v>0</v>
          </cell>
          <cell r="L182">
            <v>0</v>
          </cell>
        </row>
        <row r="183">
          <cell r="F183" t="str">
            <v>3273030505910005</v>
          </cell>
          <cell r="J183">
            <v>0</v>
          </cell>
          <cell r="L183">
            <v>0</v>
          </cell>
        </row>
        <row r="184">
          <cell r="F184" t="str">
            <v>3204160902860003</v>
          </cell>
          <cell r="J184">
            <v>0</v>
          </cell>
          <cell r="L184">
            <v>0</v>
          </cell>
        </row>
        <row r="185">
          <cell r="F185" t="str">
            <v>3273052701940003</v>
          </cell>
          <cell r="J185">
            <v>0</v>
          </cell>
          <cell r="L185">
            <v>0</v>
          </cell>
        </row>
        <row r="186">
          <cell r="F186" t="str">
            <v>3273160108750008</v>
          </cell>
          <cell r="J186">
            <v>0</v>
          </cell>
          <cell r="L186">
            <v>0</v>
          </cell>
        </row>
        <row r="187">
          <cell r="F187" t="str">
            <v>8171021801960006</v>
          </cell>
          <cell r="J187">
            <v>0</v>
          </cell>
          <cell r="L187">
            <v>0</v>
          </cell>
        </row>
        <row r="188">
          <cell r="F188" t="str">
            <v>3273150808880001</v>
          </cell>
          <cell r="J188">
            <v>0</v>
          </cell>
          <cell r="L188">
            <v>0</v>
          </cell>
        </row>
        <row r="189">
          <cell r="F189" t="str">
            <v>3273152004800015</v>
          </cell>
          <cell r="J189">
            <v>0</v>
          </cell>
          <cell r="L189">
            <v>0</v>
          </cell>
        </row>
        <row r="190">
          <cell r="F190" t="str">
            <v>3211262207000002</v>
          </cell>
          <cell r="J190">
            <v>0</v>
          </cell>
          <cell r="L190">
            <v>0</v>
          </cell>
        </row>
        <row r="191">
          <cell r="F191" t="str">
            <v>3273016603980001</v>
          </cell>
          <cell r="J191">
            <v>0</v>
          </cell>
          <cell r="L191">
            <v>0</v>
          </cell>
        </row>
        <row r="192">
          <cell r="F192" t="str">
            <v>3175070503750022</v>
          </cell>
          <cell r="J192">
            <v>0</v>
          </cell>
          <cell r="L192">
            <v>0</v>
          </cell>
        </row>
        <row r="193">
          <cell r="F193" t="str">
            <v>3301060104880005</v>
          </cell>
          <cell r="J193">
            <v>0</v>
          </cell>
          <cell r="L193">
            <v>0</v>
          </cell>
        </row>
        <row r="194">
          <cell r="F194" t="str">
            <v>3172022901790002</v>
          </cell>
          <cell r="J194">
            <v>0</v>
          </cell>
          <cell r="L194">
            <v>0</v>
          </cell>
        </row>
        <row r="195">
          <cell r="F195" t="str">
            <v>3601170103980001</v>
          </cell>
          <cell r="J195">
            <v>0</v>
          </cell>
          <cell r="L195">
            <v>0</v>
          </cell>
        </row>
        <row r="196">
          <cell r="F196" t="str">
            <v>3215170912780001</v>
          </cell>
          <cell r="J196">
            <v>0</v>
          </cell>
          <cell r="L196">
            <v>0</v>
          </cell>
        </row>
        <row r="197">
          <cell r="F197" t="str">
            <v>7271031307830003</v>
          </cell>
          <cell r="J197">
            <v>0</v>
          </cell>
          <cell r="L197">
            <v>0</v>
          </cell>
        </row>
        <row r="198">
          <cell r="F198" t="str">
            <v>3215030402840003</v>
          </cell>
          <cell r="J198">
            <v>0</v>
          </cell>
          <cell r="L198">
            <v>0</v>
          </cell>
        </row>
        <row r="199">
          <cell r="F199" t="str">
            <v>3216031012790005</v>
          </cell>
          <cell r="J199">
            <v>0</v>
          </cell>
          <cell r="L199">
            <v>0</v>
          </cell>
        </row>
        <row r="200">
          <cell r="F200" t="str">
            <v>3215274701900001</v>
          </cell>
          <cell r="J200">
            <v>0</v>
          </cell>
          <cell r="L200">
            <v>0</v>
          </cell>
        </row>
        <row r="201">
          <cell r="F201" t="str">
            <v>3215030906920003</v>
          </cell>
          <cell r="J201">
            <v>0</v>
          </cell>
          <cell r="L201">
            <v>0</v>
          </cell>
        </row>
        <row r="202">
          <cell r="F202" t="str">
            <v>3215012908810002</v>
          </cell>
          <cell r="J202">
            <v>0</v>
          </cell>
          <cell r="L202">
            <v>0</v>
          </cell>
        </row>
        <row r="203">
          <cell r="F203" t="str">
            <v>3215030704900001</v>
          </cell>
          <cell r="J203">
            <v>0</v>
          </cell>
          <cell r="L203">
            <v>0</v>
          </cell>
        </row>
        <row r="204">
          <cell r="F204" t="str">
            <v>1275011205980002</v>
          </cell>
          <cell r="J204">
            <v>0</v>
          </cell>
          <cell r="L204">
            <v>0</v>
          </cell>
        </row>
        <row r="205">
          <cell r="F205" t="str">
            <v>1271032508790006</v>
          </cell>
          <cell r="J205">
            <v>0</v>
          </cell>
          <cell r="L205">
            <v>0</v>
          </cell>
        </row>
        <row r="206">
          <cell r="F206" t="str">
            <v>1213012310920003</v>
          </cell>
          <cell r="J206">
            <v>0</v>
          </cell>
          <cell r="L206">
            <v>0</v>
          </cell>
        </row>
        <row r="207">
          <cell r="F207" t="str">
            <v>1207244105000010</v>
          </cell>
          <cell r="J207">
            <v>0</v>
          </cell>
          <cell r="L207">
            <v>0</v>
          </cell>
        </row>
        <row r="208">
          <cell r="F208" t="str">
            <v>1224090708960001</v>
          </cell>
          <cell r="J208">
            <v>0</v>
          </cell>
          <cell r="L208">
            <v>0</v>
          </cell>
        </row>
        <row r="209">
          <cell r="F209" t="str">
            <v>1271011906860002</v>
          </cell>
          <cell r="J209">
            <v>0</v>
          </cell>
          <cell r="L209">
            <v>0</v>
          </cell>
        </row>
        <row r="210">
          <cell r="F210" t="str">
            <v>1271160407870003</v>
          </cell>
          <cell r="J210">
            <v>0</v>
          </cell>
          <cell r="L210">
            <v>0</v>
          </cell>
        </row>
        <row r="211">
          <cell r="F211" t="str">
            <v>1205041704870005</v>
          </cell>
          <cell r="J211">
            <v>0</v>
          </cell>
          <cell r="L211">
            <v>0</v>
          </cell>
        </row>
        <row r="212">
          <cell r="F212" t="str">
            <v>5308191111930002</v>
          </cell>
          <cell r="J212">
            <v>0</v>
          </cell>
          <cell r="L212">
            <v>0</v>
          </cell>
        </row>
        <row r="213">
          <cell r="F213" t="str">
            <v>5371013107970001</v>
          </cell>
          <cell r="J213">
            <v>0</v>
          </cell>
          <cell r="L213">
            <v>0</v>
          </cell>
        </row>
        <row r="214">
          <cell r="F214" t="str">
            <v>5315022212970004</v>
          </cell>
          <cell r="J214">
            <v>0</v>
          </cell>
          <cell r="L214">
            <v>0</v>
          </cell>
        </row>
        <row r="215">
          <cell r="F215" t="str">
            <v>7571021902930002</v>
          </cell>
          <cell r="J215">
            <v>0</v>
          </cell>
          <cell r="L215">
            <v>0</v>
          </cell>
        </row>
        <row r="216">
          <cell r="F216" t="str">
            <v>3306150208920001</v>
          </cell>
          <cell r="J216">
            <v>0</v>
          </cell>
          <cell r="L216">
            <v>0</v>
          </cell>
        </row>
        <row r="217">
          <cell r="F217" t="str">
            <v>3509223008920001</v>
          </cell>
          <cell r="J217">
            <v>0</v>
          </cell>
          <cell r="L217">
            <v>0</v>
          </cell>
        </row>
        <row r="218">
          <cell r="F218" t="str">
            <v>3509180204990005</v>
          </cell>
          <cell r="J218">
            <v>0</v>
          </cell>
          <cell r="L218">
            <v>0</v>
          </cell>
        </row>
        <row r="219">
          <cell r="F219" t="str">
            <v>3509230311950004</v>
          </cell>
          <cell r="J219">
            <v>0</v>
          </cell>
          <cell r="L219">
            <v>0</v>
          </cell>
        </row>
        <row r="220">
          <cell r="F220" t="str">
            <v>3509191905000004</v>
          </cell>
          <cell r="J220">
            <v>0</v>
          </cell>
          <cell r="L220">
            <v>0</v>
          </cell>
        </row>
        <row r="221">
          <cell r="F221" t="str">
            <v>3506041312000002</v>
          </cell>
          <cell r="J221">
            <v>0</v>
          </cell>
          <cell r="L221">
            <v>0</v>
          </cell>
        </row>
        <row r="222">
          <cell r="F222" t="str">
            <v>3506041911980001</v>
          </cell>
          <cell r="J222">
            <v>0</v>
          </cell>
          <cell r="L222">
            <v>0</v>
          </cell>
        </row>
        <row r="223">
          <cell r="F223" t="str">
            <v>3507101608830005</v>
          </cell>
          <cell r="J223">
            <v>0</v>
          </cell>
          <cell r="L223">
            <v>0</v>
          </cell>
        </row>
        <row r="224">
          <cell r="F224" t="str">
            <v>3573010511780005</v>
          </cell>
          <cell r="J224">
            <v>0</v>
          </cell>
          <cell r="L224">
            <v>0</v>
          </cell>
        </row>
        <row r="225">
          <cell r="F225" t="str">
            <v>3514072911930001</v>
          </cell>
          <cell r="J225">
            <v>0</v>
          </cell>
          <cell r="L225">
            <v>0</v>
          </cell>
        </row>
        <row r="226">
          <cell r="F226" t="str">
            <v>3573031205890002</v>
          </cell>
          <cell r="J226">
            <v>0</v>
          </cell>
          <cell r="L226">
            <v>0</v>
          </cell>
        </row>
        <row r="227">
          <cell r="F227" t="str">
            <v>3573021005800009</v>
          </cell>
          <cell r="J227">
            <v>0</v>
          </cell>
          <cell r="L227">
            <v>0</v>
          </cell>
        </row>
        <row r="228">
          <cell r="F228" t="str">
            <v>3507310205970002</v>
          </cell>
          <cell r="J228">
            <v>0</v>
          </cell>
          <cell r="L228">
            <v>0</v>
          </cell>
        </row>
        <row r="229">
          <cell r="F229" t="str">
            <v>3507192308820005</v>
          </cell>
          <cell r="J229">
            <v>0</v>
          </cell>
          <cell r="L229">
            <v>0</v>
          </cell>
        </row>
        <row r="230">
          <cell r="F230" t="str">
            <v>7207070801030001</v>
          </cell>
          <cell r="J230">
            <v>198988.4393063584</v>
          </cell>
          <cell r="L230">
            <v>0</v>
          </cell>
        </row>
        <row r="231">
          <cell r="F231" t="str">
            <v>7106060508920003</v>
          </cell>
          <cell r="J231">
            <v>66329.479768786128</v>
          </cell>
          <cell r="L231">
            <v>0</v>
          </cell>
        </row>
        <row r="232">
          <cell r="F232" t="str">
            <v>7171041706920001</v>
          </cell>
          <cell r="J232">
            <v>265317.91907514451</v>
          </cell>
          <cell r="L232">
            <v>0</v>
          </cell>
        </row>
        <row r="233">
          <cell r="F233" t="str">
            <v>7106013004960001</v>
          </cell>
          <cell r="J233">
            <v>0</v>
          </cell>
          <cell r="L233">
            <v>0</v>
          </cell>
        </row>
        <row r="234">
          <cell r="F234" t="str">
            <v>7171051607990021</v>
          </cell>
          <cell r="J234">
            <v>0</v>
          </cell>
          <cell r="L234">
            <v>0</v>
          </cell>
        </row>
        <row r="235">
          <cell r="F235" t="str">
            <v>7171032409800001</v>
          </cell>
          <cell r="J235">
            <v>0</v>
          </cell>
          <cell r="L235">
            <v>0</v>
          </cell>
        </row>
        <row r="236">
          <cell r="F236" t="str">
            <v>7104062112930001</v>
          </cell>
          <cell r="J236">
            <v>0</v>
          </cell>
          <cell r="L236">
            <v>0</v>
          </cell>
        </row>
        <row r="237">
          <cell r="F237" t="str">
            <v>7103241412760001</v>
          </cell>
          <cell r="J237">
            <v>0</v>
          </cell>
          <cell r="L237">
            <v>0</v>
          </cell>
        </row>
        <row r="238">
          <cell r="F238" t="str">
            <v>3578062605810007</v>
          </cell>
          <cell r="J238">
            <v>0</v>
          </cell>
          <cell r="L238">
            <v>0</v>
          </cell>
        </row>
        <row r="239">
          <cell r="F239" t="str">
            <v>3519120306910001</v>
          </cell>
          <cell r="J239">
            <v>0</v>
          </cell>
          <cell r="L239">
            <v>0</v>
          </cell>
        </row>
        <row r="240">
          <cell r="F240" t="str">
            <v>3578102003950001</v>
          </cell>
          <cell r="J240">
            <v>0</v>
          </cell>
          <cell r="L240">
            <v>0</v>
          </cell>
        </row>
        <row r="241">
          <cell r="F241" t="str">
            <v>3578312205920001</v>
          </cell>
          <cell r="J241">
            <v>0</v>
          </cell>
          <cell r="L241">
            <v>0</v>
          </cell>
        </row>
        <row r="242">
          <cell r="F242" t="str">
            <v>3577012804850002</v>
          </cell>
          <cell r="J242">
            <v>0</v>
          </cell>
          <cell r="L242">
            <v>0</v>
          </cell>
        </row>
        <row r="243">
          <cell r="F243" t="str">
            <v>3522021607940002</v>
          </cell>
          <cell r="J243">
            <v>0</v>
          </cell>
          <cell r="L243">
            <v>0</v>
          </cell>
        </row>
        <row r="244">
          <cell r="F244" t="str">
            <v>3519152009850002</v>
          </cell>
          <cell r="J244">
            <v>0</v>
          </cell>
          <cell r="L244">
            <v>0</v>
          </cell>
        </row>
        <row r="245">
          <cell r="F245" t="str">
            <v>3524260101870015</v>
          </cell>
          <cell r="J245">
            <v>0</v>
          </cell>
          <cell r="L245">
            <v>0</v>
          </cell>
        </row>
        <row r="246">
          <cell r="F246" t="str">
            <v>3521162511830001</v>
          </cell>
          <cell r="J246">
            <v>0</v>
          </cell>
          <cell r="L246">
            <v>0</v>
          </cell>
        </row>
        <row r="247">
          <cell r="F247" t="str">
            <v>3515181109870004</v>
          </cell>
          <cell r="J247">
            <v>0</v>
          </cell>
          <cell r="L247">
            <v>0</v>
          </cell>
        </row>
        <row r="248">
          <cell r="F248" t="str">
            <v>3578131112860001</v>
          </cell>
          <cell r="J248">
            <v>0</v>
          </cell>
          <cell r="L248">
            <v>0</v>
          </cell>
        </row>
        <row r="249">
          <cell r="F249" t="str">
            <v>3674032707760008</v>
          </cell>
          <cell r="J249">
            <v>0</v>
          </cell>
          <cell r="L249">
            <v>0</v>
          </cell>
        </row>
        <row r="250">
          <cell r="F250" t="str">
            <v>8101120805010003</v>
          </cell>
          <cell r="J250">
            <v>0</v>
          </cell>
          <cell r="L250">
            <v>0</v>
          </cell>
        </row>
        <row r="251">
          <cell r="F251" t="str">
            <v>5310121807950006</v>
          </cell>
          <cell r="J251">
            <v>0</v>
          </cell>
          <cell r="L251">
            <v>0</v>
          </cell>
        </row>
        <row r="252">
          <cell r="F252" t="str">
            <v>9171012807960004</v>
          </cell>
          <cell r="J252">
            <v>0</v>
          </cell>
          <cell r="L252">
            <v>0</v>
          </cell>
        </row>
        <row r="253">
          <cell r="F253" t="str">
            <v>3321020506050002</v>
          </cell>
          <cell r="J253">
            <v>0</v>
          </cell>
          <cell r="L253">
            <v>0</v>
          </cell>
        </row>
        <row r="254">
          <cell r="F254" t="str">
            <v>3276021207710002</v>
          </cell>
          <cell r="J254">
            <v>0</v>
          </cell>
          <cell r="L254">
            <v>0</v>
          </cell>
        </row>
        <row r="255">
          <cell r="F255" t="str">
            <v>3471071903990001</v>
          </cell>
          <cell r="J255">
            <v>0</v>
          </cell>
          <cell r="L255">
            <v>0</v>
          </cell>
        </row>
        <row r="256">
          <cell r="F256" t="str">
            <v>3471131803040001</v>
          </cell>
          <cell r="J256">
            <v>0</v>
          </cell>
          <cell r="L256">
            <v>0</v>
          </cell>
        </row>
        <row r="257">
          <cell r="F257" t="str">
            <v>3278044101050003</v>
          </cell>
          <cell r="J257">
            <v>0</v>
          </cell>
          <cell r="L257">
            <v>0</v>
          </cell>
        </row>
        <row r="258">
          <cell r="F258" t="str">
            <v>3402102707040001</v>
          </cell>
          <cell r="J258">
            <v>299375.72254335257</v>
          </cell>
          <cell r="L258">
            <v>0</v>
          </cell>
        </row>
        <row r="259">
          <cell r="F259" t="str">
            <v>3310012511990002</v>
          </cell>
          <cell r="J259">
            <v>291699.42196531792</v>
          </cell>
          <cell r="L259">
            <v>0</v>
          </cell>
        </row>
        <row r="260">
          <cell r="F260" t="str">
            <v>3403074906000001</v>
          </cell>
          <cell r="J260">
            <v>314728.32369942195</v>
          </cell>
          <cell r="L260">
            <v>0</v>
          </cell>
        </row>
        <row r="261">
          <cell r="F261" t="str">
            <v>3403122007000001</v>
          </cell>
          <cell r="J261">
            <v>291699.42196531792</v>
          </cell>
          <cell r="L261">
            <v>212480</v>
          </cell>
        </row>
        <row r="262">
          <cell r="F262" t="str">
            <v>3404102211040003</v>
          </cell>
          <cell r="J262">
            <v>253317.91907514451</v>
          </cell>
          <cell r="L262">
            <v>0</v>
          </cell>
        </row>
        <row r="263">
          <cell r="F263" t="str">
            <v>3403122811050004</v>
          </cell>
          <cell r="J263">
            <v>253317.91907514451</v>
          </cell>
          <cell r="L263">
            <v>0</v>
          </cell>
        </row>
        <row r="264">
          <cell r="F264" t="str">
            <v>3174095601020006</v>
          </cell>
          <cell r="J264">
            <v>0</v>
          </cell>
          <cell r="L264">
            <v>0</v>
          </cell>
        </row>
        <row r="265">
          <cell r="F265" t="str">
            <v>3275044105010013</v>
          </cell>
          <cell r="J265">
            <v>0</v>
          </cell>
          <cell r="L265">
            <v>0</v>
          </cell>
        </row>
        <row r="266">
          <cell r="F266" t="str">
            <v>7371121512880004</v>
          </cell>
          <cell r="J266">
            <v>0</v>
          </cell>
          <cell r="L266">
            <v>0</v>
          </cell>
        </row>
        <row r="267">
          <cell r="F267" t="str">
            <v>3404110210000001</v>
          </cell>
          <cell r="J267">
            <v>253317.91907514451</v>
          </cell>
          <cell r="L267">
            <v>0</v>
          </cell>
        </row>
        <row r="268">
          <cell r="F268" t="str">
            <v>3674031409890007</v>
          </cell>
          <cell r="J268">
            <v>0</v>
          </cell>
          <cell r="L268">
            <v>0</v>
          </cell>
        </row>
        <row r="269">
          <cell r="F269" t="str">
            <v>3174032809840005</v>
          </cell>
          <cell r="J269">
            <v>0</v>
          </cell>
          <cell r="L269">
            <v>0</v>
          </cell>
        </row>
        <row r="270">
          <cell r="F270" t="str">
            <v>3671060201770004</v>
          </cell>
          <cell r="J270">
            <v>0</v>
          </cell>
          <cell r="L270">
            <v>0</v>
          </cell>
        </row>
        <row r="271">
          <cell r="F271" t="str">
            <v>3174031701810002</v>
          </cell>
          <cell r="J271">
            <v>0</v>
          </cell>
          <cell r="L271">
            <v>0</v>
          </cell>
        </row>
        <row r="272">
          <cell r="F272" t="str">
            <v>3173052611890010</v>
          </cell>
          <cell r="J272">
            <v>0</v>
          </cell>
          <cell r="L272">
            <v>0</v>
          </cell>
        </row>
        <row r="273">
          <cell r="F273" t="str">
            <v>3173070711890003</v>
          </cell>
          <cell r="J273">
            <v>0</v>
          </cell>
          <cell r="L273">
            <v>0</v>
          </cell>
        </row>
        <row r="274">
          <cell r="F274" t="str">
            <v>3171080206820001</v>
          </cell>
          <cell r="J274">
            <v>0</v>
          </cell>
          <cell r="L274">
            <v>0</v>
          </cell>
        </row>
        <row r="275">
          <cell r="F275" t="str">
            <v>3171071904720003</v>
          </cell>
          <cell r="J275">
            <v>0</v>
          </cell>
          <cell r="L275">
            <v>0</v>
          </cell>
        </row>
        <row r="276">
          <cell r="F276" t="str">
            <v>3172041705870006</v>
          </cell>
          <cell r="J276">
            <v>1965381.5028901733</v>
          </cell>
          <cell r="L276">
            <v>0</v>
          </cell>
        </row>
        <row r="277">
          <cell r="F277" t="str">
            <v>3173051101790011</v>
          </cell>
          <cell r="J277">
            <v>1481835.2601156069</v>
          </cell>
          <cell r="L277">
            <v>0</v>
          </cell>
        </row>
        <row r="278">
          <cell r="F278" t="str">
            <v>3275032306820027</v>
          </cell>
          <cell r="J278">
            <v>2511320.809248555</v>
          </cell>
          <cell r="L278">
            <v>0</v>
          </cell>
        </row>
        <row r="279">
          <cell r="F279" t="str">
            <v>3216011309970002</v>
          </cell>
          <cell r="J279">
            <v>1637817.9190751445</v>
          </cell>
          <cell r="L279">
            <v>0</v>
          </cell>
        </row>
        <row r="280">
          <cell r="F280" t="str">
            <v>3275092912950019</v>
          </cell>
          <cell r="J280">
            <v>2027774.5664739884</v>
          </cell>
          <cell r="L280">
            <v>215880</v>
          </cell>
        </row>
        <row r="281">
          <cell r="F281" t="str">
            <v>3209340305950001</v>
          </cell>
          <cell r="J281">
            <v>1980979.768786127</v>
          </cell>
          <cell r="L281">
            <v>0</v>
          </cell>
        </row>
        <row r="282">
          <cell r="F282" t="str">
            <v>3175072104930009</v>
          </cell>
          <cell r="J282">
            <v>1793800.578034682</v>
          </cell>
          <cell r="L282">
            <v>0</v>
          </cell>
        </row>
        <row r="283">
          <cell r="F283" t="str">
            <v>3204321007990009</v>
          </cell>
          <cell r="J283">
            <v>1310254.3352601156</v>
          </cell>
          <cell r="L283">
            <v>0</v>
          </cell>
        </row>
        <row r="284">
          <cell r="F284" t="str">
            <v>3275120511850007</v>
          </cell>
          <cell r="J284">
            <v>1606621.387283237</v>
          </cell>
          <cell r="L284">
            <v>0</v>
          </cell>
        </row>
        <row r="285">
          <cell r="F285" t="str">
            <v>3175062606840013</v>
          </cell>
          <cell r="J285">
            <v>2355338.1502890172</v>
          </cell>
          <cell r="L285">
            <v>0</v>
          </cell>
        </row>
        <row r="286">
          <cell r="F286" t="str">
            <v>3172041509930008</v>
          </cell>
          <cell r="J286">
            <v>1840595.3757225433</v>
          </cell>
          <cell r="L286">
            <v>0</v>
          </cell>
        </row>
        <row r="287">
          <cell r="F287" t="str">
            <v>3216012709900007</v>
          </cell>
          <cell r="J287">
            <v>1606621.387283237</v>
          </cell>
          <cell r="L287">
            <v>0</v>
          </cell>
        </row>
        <row r="288">
          <cell r="F288" t="str">
            <v>3602080401920005</v>
          </cell>
          <cell r="J288">
            <v>1513031.7919075144</v>
          </cell>
          <cell r="L288">
            <v>0</v>
          </cell>
        </row>
        <row r="289">
          <cell r="F289" t="str">
            <v>3171032304830012</v>
          </cell>
          <cell r="J289">
            <v>436751.44508670521</v>
          </cell>
          <cell r="L289">
            <v>0</v>
          </cell>
        </row>
        <row r="290">
          <cell r="F290" t="str">
            <v>3604212101050002</v>
          </cell>
          <cell r="J290">
            <v>1840595.3757225433</v>
          </cell>
          <cell r="L290">
            <v>0</v>
          </cell>
        </row>
        <row r="291">
          <cell r="F291" t="str">
            <v>3216022603020003</v>
          </cell>
          <cell r="J291">
            <v>1700210.9826589595</v>
          </cell>
          <cell r="L291">
            <v>0</v>
          </cell>
        </row>
        <row r="292">
          <cell r="F292" t="str">
            <v>3174050711790010</v>
          </cell>
          <cell r="J292">
            <v>1887390.1734104045</v>
          </cell>
          <cell r="L292">
            <v>431760</v>
          </cell>
        </row>
        <row r="293">
          <cell r="F293" t="str">
            <v>3175052903010001</v>
          </cell>
          <cell r="J293">
            <v>1013887.2832369942</v>
          </cell>
          <cell r="L293">
            <v>0</v>
          </cell>
        </row>
        <row r="294">
          <cell r="F294" t="str">
            <v>3216020302030011</v>
          </cell>
          <cell r="J294">
            <v>717520.23121387279</v>
          </cell>
          <cell r="L294">
            <v>0</v>
          </cell>
        </row>
        <row r="295">
          <cell r="F295" t="str">
            <v>3172040809980011</v>
          </cell>
          <cell r="J295">
            <v>280768.78612716764</v>
          </cell>
          <cell r="L295">
            <v>0</v>
          </cell>
        </row>
        <row r="296">
          <cell r="F296" t="str">
            <v>3175086807940001</v>
          </cell>
          <cell r="J296">
            <v>0</v>
          </cell>
          <cell r="L296">
            <v>0</v>
          </cell>
        </row>
        <row r="297">
          <cell r="F297" t="str">
            <v>3172046008940008</v>
          </cell>
          <cell r="J297">
            <v>0</v>
          </cell>
          <cell r="L297">
            <v>0</v>
          </cell>
        </row>
        <row r="298">
          <cell r="F298" t="str">
            <v>3175032506960004</v>
          </cell>
          <cell r="J298">
            <v>0</v>
          </cell>
          <cell r="L298">
            <v>0</v>
          </cell>
        </row>
        <row r="299">
          <cell r="F299" t="str">
            <v>3671135104890005</v>
          </cell>
          <cell r="J299">
            <v>0</v>
          </cell>
          <cell r="L299">
            <v>0</v>
          </cell>
        </row>
        <row r="300">
          <cell r="F300" t="str">
            <v>3174021606960001</v>
          </cell>
          <cell r="J300">
            <v>701921.96531791904</v>
          </cell>
          <cell r="L300">
            <v>0</v>
          </cell>
        </row>
        <row r="301">
          <cell r="F301" t="str">
            <v>3172040704910003</v>
          </cell>
          <cell r="J301">
            <v>857904.62427745666</v>
          </cell>
          <cell r="L301">
            <v>0</v>
          </cell>
        </row>
        <row r="302">
          <cell r="F302" t="str">
            <v>3172041402960008</v>
          </cell>
          <cell r="J302">
            <v>311965.31791907514</v>
          </cell>
          <cell r="L302">
            <v>0</v>
          </cell>
        </row>
        <row r="303">
          <cell r="F303" t="str">
            <v>7106022907940002</v>
          </cell>
          <cell r="J303">
            <v>733118.49710982654</v>
          </cell>
          <cell r="L303">
            <v>0</v>
          </cell>
        </row>
        <row r="304">
          <cell r="F304" t="str">
            <v>3174081308980001</v>
          </cell>
          <cell r="J304">
            <v>374358.38150289014</v>
          </cell>
          <cell r="L304">
            <v>0</v>
          </cell>
        </row>
        <row r="305">
          <cell r="F305" t="str">
            <v>3172041108930004</v>
          </cell>
          <cell r="J305">
            <v>280768.78612716764</v>
          </cell>
          <cell r="L305">
            <v>0</v>
          </cell>
        </row>
        <row r="306">
          <cell r="F306" t="str">
            <v>3175013107940001</v>
          </cell>
          <cell r="J306">
            <v>530341.04046242777</v>
          </cell>
          <cell r="L306">
            <v>0</v>
          </cell>
        </row>
        <row r="307">
          <cell r="F307" t="str">
            <v>3171074110010005</v>
          </cell>
          <cell r="J307">
            <v>249572.25433526011</v>
          </cell>
          <cell r="L307">
            <v>0</v>
          </cell>
        </row>
        <row r="308">
          <cell r="F308" t="str">
            <v>3175061201790002</v>
          </cell>
          <cell r="J308">
            <v>374358.38150289014</v>
          </cell>
          <cell r="L308">
            <v>0</v>
          </cell>
        </row>
        <row r="309">
          <cell r="F309" t="str">
            <v>3172042702920003</v>
          </cell>
          <cell r="J309">
            <v>311965.31791907514</v>
          </cell>
          <cell r="L309">
            <v>0</v>
          </cell>
        </row>
        <row r="310">
          <cell r="F310" t="str">
            <v>3172040403981001</v>
          </cell>
          <cell r="J310">
            <v>187179.19075144507</v>
          </cell>
          <cell r="L310">
            <v>0</v>
          </cell>
        </row>
        <row r="311">
          <cell r="F311" t="str">
            <v>3174015309970008</v>
          </cell>
          <cell r="J311">
            <v>0</v>
          </cell>
          <cell r="L311">
            <v>0</v>
          </cell>
        </row>
        <row r="312">
          <cell r="F312" t="str">
            <v>3174011911960003</v>
          </cell>
          <cell r="J312">
            <v>280768.78612716764</v>
          </cell>
          <cell r="L312">
            <v>0</v>
          </cell>
        </row>
        <row r="313">
          <cell r="F313" t="str">
            <v>3172041903990007</v>
          </cell>
          <cell r="J313">
            <v>374358.38150289014</v>
          </cell>
          <cell r="L313">
            <v>0</v>
          </cell>
        </row>
        <row r="314">
          <cell r="F314" t="str">
            <v>3172041209940003</v>
          </cell>
          <cell r="J314">
            <v>249572.25433526011</v>
          </cell>
          <cell r="L314">
            <v>0</v>
          </cell>
        </row>
        <row r="315">
          <cell r="F315" t="str">
            <v>3175061008900008</v>
          </cell>
          <cell r="J315">
            <v>280768.78612716764</v>
          </cell>
          <cell r="L315">
            <v>0</v>
          </cell>
        </row>
        <row r="316">
          <cell r="F316" t="str">
            <v>3175022308990006</v>
          </cell>
          <cell r="J316">
            <v>343161.84971098264</v>
          </cell>
          <cell r="L316">
            <v>0</v>
          </cell>
        </row>
        <row r="317">
          <cell r="F317" t="str">
            <v>3325082003920001</v>
          </cell>
          <cell r="J317">
            <v>249572.25433526011</v>
          </cell>
          <cell r="L317">
            <v>0</v>
          </cell>
        </row>
        <row r="318">
          <cell r="F318" t="str">
            <v>3174012606920006</v>
          </cell>
          <cell r="J318">
            <v>623930.63583815028</v>
          </cell>
          <cell r="L318">
            <v>0</v>
          </cell>
        </row>
        <row r="319">
          <cell r="F319" t="str">
            <v>3175020604880002</v>
          </cell>
          <cell r="J319">
            <v>530341.04046242777</v>
          </cell>
          <cell r="L319">
            <v>0</v>
          </cell>
        </row>
        <row r="320">
          <cell r="F320" t="str">
            <v>3275122709010003</v>
          </cell>
          <cell r="J320">
            <v>280768.78612716764</v>
          </cell>
          <cell r="L320">
            <v>0</v>
          </cell>
        </row>
        <row r="321">
          <cell r="F321" t="str">
            <v>3206102006940001</v>
          </cell>
          <cell r="J321">
            <v>93589.595375722536</v>
          </cell>
          <cell r="L321">
            <v>0</v>
          </cell>
        </row>
        <row r="322">
          <cell r="F322" t="str">
            <v>3175062204760022</v>
          </cell>
          <cell r="J322">
            <v>218375.7225433526</v>
          </cell>
          <cell r="L322">
            <v>0</v>
          </cell>
        </row>
        <row r="323">
          <cell r="F323" t="str">
            <v>3275051006990020</v>
          </cell>
          <cell r="J323">
            <v>0</v>
          </cell>
          <cell r="L323">
            <v>0</v>
          </cell>
        </row>
        <row r="324">
          <cell r="F324" t="str">
            <v>3327066502990002</v>
          </cell>
          <cell r="J324">
            <v>0</v>
          </cell>
          <cell r="L324">
            <v>0</v>
          </cell>
        </row>
        <row r="325">
          <cell r="F325" t="str">
            <v>3216062206700004</v>
          </cell>
          <cell r="J325">
            <v>0</v>
          </cell>
          <cell r="L325">
            <v>0</v>
          </cell>
        </row>
        <row r="326">
          <cell r="F326" t="str">
            <v>3328026902040001</v>
          </cell>
          <cell r="J326">
            <v>0</v>
          </cell>
          <cell r="L326">
            <v>0</v>
          </cell>
        </row>
        <row r="327">
          <cell r="F327" t="str">
            <v>3173071108980001</v>
          </cell>
          <cell r="J327">
            <v>0</v>
          </cell>
          <cell r="L327">
            <v>0</v>
          </cell>
        </row>
        <row r="328">
          <cell r="F328" t="str">
            <v>3211172909930005</v>
          </cell>
          <cell r="J328">
            <v>0</v>
          </cell>
          <cell r="L328">
            <v>0</v>
          </cell>
        </row>
        <row r="329">
          <cell r="F329" t="str">
            <v>3201370709900001</v>
          </cell>
          <cell r="J329">
            <v>0</v>
          </cell>
          <cell r="L329">
            <v>0</v>
          </cell>
        </row>
        <row r="330">
          <cell r="F330" t="str">
            <v>3174092504850013</v>
          </cell>
          <cell r="J330">
            <v>0</v>
          </cell>
          <cell r="L330">
            <v>0</v>
          </cell>
        </row>
        <row r="331">
          <cell r="F331" t="str">
            <v>3309162607969001</v>
          </cell>
          <cell r="J331">
            <v>0</v>
          </cell>
          <cell r="L331">
            <v>0</v>
          </cell>
        </row>
        <row r="332">
          <cell r="F332" t="str">
            <v>3201130603950011</v>
          </cell>
          <cell r="J332">
            <v>0</v>
          </cell>
          <cell r="L332">
            <v>0</v>
          </cell>
        </row>
        <row r="333">
          <cell r="F333" t="str">
            <v>3271021202980003</v>
          </cell>
          <cell r="J333">
            <v>1381595.3757225433</v>
          </cell>
          <cell r="L333">
            <v>0</v>
          </cell>
        </row>
        <row r="334">
          <cell r="F334" t="str">
            <v>3271042507960002</v>
          </cell>
          <cell r="J334">
            <v>690797.68786127167</v>
          </cell>
          <cell r="L334">
            <v>0</v>
          </cell>
        </row>
        <row r="335">
          <cell r="F335" t="str">
            <v>5271023105030001</v>
          </cell>
          <cell r="J335">
            <v>0</v>
          </cell>
          <cell r="L335">
            <v>0</v>
          </cell>
        </row>
        <row r="336">
          <cell r="F336" t="str">
            <v>5271021307930004</v>
          </cell>
          <cell r="J336">
            <v>0</v>
          </cell>
          <cell r="L336">
            <v>0</v>
          </cell>
        </row>
        <row r="337">
          <cell r="F337" t="str">
            <v>5271012408970002</v>
          </cell>
          <cell r="J337">
            <v>0</v>
          </cell>
          <cell r="L337">
            <v>0</v>
          </cell>
        </row>
        <row r="338">
          <cell r="F338" t="str">
            <v>5271050901960002</v>
          </cell>
          <cell r="J338">
            <v>0</v>
          </cell>
          <cell r="L338">
            <v>0</v>
          </cell>
        </row>
        <row r="339">
          <cell r="F339" t="str">
            <v>5201092512960002</v>
          </cell>
          <cell r="J339">
            <v>0</v>
          </cell>
          <cell r="L339">
            <v>0</v>
          </cell>
        </row>
        <row r="340">
          <cell r="F340" t="str">
            <v>5202020202950008</v>
          </cell>
          <cell r="J340">
            <v>0</v>
          </cell>
          <cell r="L340">
            <v>0</v>
          </cell>
        </row>
        <row r="341">
          <cell r="F341" t="str">
            <v>7371060203910005</v>
          </cell>
          <cell r="J341">
            <v>0</v>
          </cell>
          <cell r="L341">
            <v>0</v>
          </cell>
        </row>
        <row r="342">
          <cell r="F342" t="str">
            <v>3674030705850012</v>
          </cell>
          <cell r="J342">
            <v>0</v>
          </cell>
          <cell r="L342">
            <v>0</v>
          </cell>
        </row>
        <row r="343">
          <cell r="F343" t="str">
            <v>3201400809870006</v>
          </cell>
          <cell r="J343">
            <v>280768.78612716764</v>
          </cell>
          <cell r="L343">
            <v>0</v>
          </cell>
        </row>
        <row r="344">
          <cell r="F344" t="str">
            <v>3202331001940009</v>
          </cell>
          <cell r="J344">
            <v>124786.12716763005</v>
          </cell>
          <cell r="L344">
            <v>0</v>
          </cell>
        </row>
        <row r="345">
          <cell r="F345" t="str">
            <v>3174021303890002</v>
          </cell>
          <cell r="J345">
            <v>327563.58381502889</v>
          </cell>
          <cell r="L345">
            <v>0</v>
          </cell>
        </row>
        <row r="346">
          <cell r="F346" t="str">
            <v>3171031511800007</v>
          </cell>
          <cell r="J346">
            <v>124786.12716763005</v>
          </cell>
          <cell r="L346">
            <v>0</v>
          </cell>
        </row>
        <row r="347">
          <cell r="F347" t="str">
            <v>3172020101950006</v>
          </cell>
          <cell r="J347">
            <v>93589.595375722536</v>
          </cell>
          <cell r="L347">
            <v>0</v>
          </cell>
        </row>
        <row r="348">
          <cell r="F348" t="str">
            <v>3329072207880001</v>
          </cell>
          <cell r="J348">
            <v>280768.78612716764</v>
          </cell>
          <cell r="L348">
            <v>0</v>
          </cell>
        </row>
        <row r="349">
          <cell r="F349" t="str">
            <v>3601295006970002</v>
          </cell>
          <cell r="J349">
            <v>0</v>
          </cell>
          <cell r="L349">
            <v>0</v>
          </cell>
        </row>
        <row r="350">
          <cell r="F350" t="str">
            <v>3279042507910001</v>
          </cell>
          <cell r="J350">
            <v>124786.12716763005</v>
          </cell>
          <cell r="L350">
            <v>0</v>
          </cell>
        </row>
        <row r="351">
          <cell r="F351" t="str">
            <v>3212282405890001</v>
          </cell>
          <cell r="J351">
            <v>77991.329479768785</v>
          </cell>
          <cell r="L351">
            <v>0</v>
          </cell>
        </row>
        <row r="352">
          <cell r="F352" t="str">
            <v>3171060806800002</v>
          </cell>
          <cell r="J352">
            <v>0</v>
          </cell>
          <cell r="L352">
            <v>0</v>
          </cell>
        </row>
        <row r="353">
          <cell r="F353" t="str">
            <v>3316081603910002</v>
          </cell>
          <cell r="J353">
            <v>0</v>
          </cell>
          <cell r="L353">
            <v>0</v>
          </cell>
        </row>
        <row r="354">
          <cell r="F354" t="str">
            <v>3175082512970006</v>
          </cell>
          <cell r="J354">
            <v>1169869.9421965317</v>
          </cell>
          <cell r="L354">
            <v>0</v>
          </cell>
        </row>
        <row r="355">
          <cell r="F355" t="str">
            <v>6371032810990005</v>
          </cell>
          <cell r="J355">
            <v>0</v>
          </cell>
          <cell r="L355">
            <v>0</v>
          </cell>
        </row>
        <row r="356">
          <cell r="F356" t="str">
            <v>6304041108920001</v>
          </cell>
          <cell r="J356">
            <v>0</v>
          </cell>
          <cell r="L356">
            <v>0</v>
          </cell>
        </row>
        <row r="357">
          <cell r="F357" t="str">
            <v>6303141712880001</v>
          </cell>
          <cell r="J357">
            <v>0</v>
          </cell>
          <cell r="L357">
            <v>0</v>
          </cell>
        </row>
        <row r="358">
          <cell r="F358" t="str">
            <v>3209221008960004</v>
          </cell>
          <cell r="J358">
            <v>0</v>
          </cell>
          <cell r="L358">
            <v>0</v>
          </cell>
        </row>
        <row r="359">
          <cell r="F359" t="str">
            <v>3209192001870004</v>
          </cell>
          <cell r="J359">
            <v>0</v>
          </cell>
          <cell r="L359">
            <v>0</v>
          </cell>
        </row>
        <row r="360">
          <cell r="F360" t="str">
            <v>3209081702990004</v>
          </cell>
          <cell r="J360">
            <v>0</v>
          </cell>
          <cell r="L360">
            <v>0</v>
          </cell>
        </row>
        <row r="361">
          <cell r="F361" t="str">
            <v>3209221604960005</v>
          </cell>
          <cell r="J361">
            <v>0</v>
          </cell>
          <cell r="L361">
            <v>0</v>
          </cell>
        </row>
        <row r="362">
          <cell r="F362" t="str">
            <v>3209202410980008</v>
          </cell>
          <cell r="J362">
            <v>0</v>
          </cell>
          <cell r="L362">
            <v>0</v>
          </cell>
        </row>
        <row r="363">
          <cell r="F363" t="str">
            <v>3209201812040002</v>
          </cell>
          <cell r="J363">
            <v>0</v>
          </cell>
          <cell r="L363">
            <v>0</v>
          </cell>
        </row>
        <row r="364">
          <cell r="F364" t="str">
            <v>3209352812980002</v>
          </cell>
          <cell r="J364">
            <v>0</v>
          </cell>
          <cell r="L364">
            <v>0</v>
          </cell>
        </row>
        <row r="365">
          <cell r="F365" t="str">
            <v>3302272005860005</v>
          </cell>
          <cell r="J365">
            <v>0</v>
          </cell>
          <cell r="L365">
            <v>0</v>
          </cell>
        </row>
        <row r="366">
          <cell r="F366" t="str">
            <v>3374043101000003</v>
          </cell>
          <cell r="J366">
            <v>669031.79190751445</v>
          </cell>
          <cell r="L366">
            <v>0</v>
          </cell>
        </row>
        <row r="367">
          <cell r="F367" t="str">
            <v>3374092809920001</v>
          </cell>
          <cell r="J367">
            <v>0</v>
          </cell>
          <cell r="L367">
            <v>0</v>
          </cell>
        </row>
        <row r="368">
          <cell r="F368" t="str">
            <v>3321021703990001</v>
          </cell>
          <cell r="J368">
            <v>639075.14450867055</v>
          </cell>
          <cell r="L368">
            <v>0</v>
          </cell>
        </row>
        <row r="369">
          <cell r="F369" t="str">
            <v>3374132410950001</v>
          </cell>
          <cell r="J369">
            <v>0</v>
          </cell>
          <cell r="L369">
            <v>0</v>
          </cell>
        </row>
        <row r="370">
          <cell r="F370" t="str">
            <v>3374061810970006</v>
          </cell>
          <cell r="J370">
            <v>639075.14450867055</v>
          </cell>
          <cell r="L370">
            <v>0</v>
          </cell>
        </row>
        <row r="371">
          <cell r="F371" t="str">
            <v>3374112409760004</v>
          </cell>
          <cell r="J371">
            <v>0</v>
          </cell>
          <cell r="L371">
            <v>0</v>
          </cell>
        </row>
        <row r="372">
          <cell r="F372" t="str">
            <v>3374081210910003</v>
          </cell>
          <cell r="J372">
            <v>0</v>
          </cell>
          <cell r="L372">
            <v>0</v>
          </cell>
        </row>
        <row r="373">
          <cell r="F373" t="str">
            <v>3374061308830011</v>
          </cell>
          <cell r="J373">
            <v>0</v>
          </cell>
          <cell r="L373">
            <v>0</v>
          </cell>
        </row>
        <row r="374">
          <cell r="F374" t="str">
            <v>3313110702900001</v>
          </cell>
          <cell r="J374">
            <v>0</v>
          </cell>
          <cell r="L374">
            <v>0</v>
          </cell>
        </row>
        <row r="375">
          <cell r="F375" t="str">
            <v>3372020606810002</v>
          </cell>
          <cell r="J375">
            <v>0</v>
          </cell>
          <cell r="L375">
            <v>0</v>
          </cell>
        </row>
        <row r="376">
          <cell r="F376" t="str">
            <v>3311101407980002</v>
          </cell>
          <cell r="J376">
            <v>0</v>
          </cell>
          <cell r="L376">
            <v>0</v>
          </cell>
        </row>
        <row r="377">
          <cell r="F377" t="str">
            <v>3317071011910004</v>
          </cell>
          <cell r="J377">
            <v>0</v>
          </cell>
          <cell r="L377">
            <v>0</v>
          </cell>
        </row>
        <row r="378">
          <cell r="F378" t="str">
            <v>3313090308000001</v>
          </cell>
          <cell r="J378">
            <v>272436.41618497111</v>
          </cell>
          <cell r="L378">
            <v>0</v>
          </cell>
        </row>
        <row r="379">
          <cell r="F379" t="str">
            <v>3311101212970003</v>
          </cell>
          <cell r="J379">
            <v>300378.61271676299</v>
          </cell>
          <cell r="L379">
            <v>0</v>
          </cell>
        </row>
        <row r="380">
          <cell r="F380" t="str">
            <v>3404062702960006</v>
          </cell>
          <cell r="J380">
            <v>0</v>
          </cell>
          <cell r="L380">
            <v>0</v>
          </cell>
        </row>
        <row r="381">
          <cell r="F381" t="str">
            <v>3402052602910001</v>
          </cell>
          <cell r="J381">
            <v>0</v>
          </cell>
          <cell r="L381">
            <v>0</v>
          </cell>
        </row>
        <row r="382">
          <cell r="F382" t="str">
            <v>3402141208850001</v>
          </cell>
          <cell r="J382">
            <v>0</v>
          </cell>
          <cell r="L382">
            <v>0</v>
          </cell>
        </row>
        <row r="383">
          <cell r="F383" t="str">
            <v>3402143001840001</v>
          </cell>
          <cell r="J383">
            <v>0</v>
          </cell>
          <cell r="L383">
            <v>0</v>
          </cell>
        </row>
        <row r="384">
          <cell r="F384" t="str">
            <v>3404130602870002</v>
          </cell>
          <cell r="J384">
            <v>0</v>
          </cell>
          <cell r="L384">
            <v>0</v>
          </cell>
        </row>
        <row r="385">
          <cell r="F385" t="str">
            <v>3471031210800001</v>
          </cell>
          <cell r="J385">
            <v>0</v>
          </cell>
          <cell r="L385">
            <v>0</v>
          </cell>
        </row>
        <row r="386">
          <cell r="F386" t="str">
            <v>1371024608980007</v>
          </cell>
          <cell r="J386">
            <v>0</v>
          </cell>
          <cell r="L386">
            <v>0</v>
          </cell>
        </row>
        <row r="387">
          <cell r="F387" t="str">
            <v>1371112502020010</v>
          </cell>
          <cell r="J387">
            <v>0</v>
          </cell>
          <cell r="L387">
            <v>0</v>
          </cell>
        </row>
        <row r="388">
          <cell r="F388" t="str">
            <v>1371060105040005</v>
          </cell>
          <cell r="J388">
            <v>0</v>
          </cell>
          <cell r="L388">
            <v>0</v>
          </cell>
        </row>
        <row r="389">
          <cell r="F389" t="str">
            <v>1471030804030001</v>
          </cell>
          <cell r="J389">
            <v>0</v>
          </cell>
          <cell r="L389">
            <v>0</v>
          </cell>
        </row>
        <row r="390">
          <cell r="F390" t="str">
            <v>1304030409980002</v>
          </cell>
          <cell r="J390">
            <v>0</v>
          </cell>
          <cell r="L390">
            <v>0</v>
          </cell>
        </row>
        <row r="391">
          <cell r="F391" t="str">
            <v>1401040110970001</v>
          </cell>
          <cell r="J391">
            <v>0</v>
          </cell>
          <cell r="L391">
            <v>0</v>
          </cell>
        </row>
        <row r="392">
          <cell r="F392" t="str">
            <v>3603222706890003</v>
          </cell>
          <cell r="J392">
            <v>143786.12716763007</v>
          </cell>
          <cell r="L392">
            <v>0</v>
          </cell>
        </row>
        <row r="393">
          <cell r="F393" t="str">
            <v>3674012810020003</v>
          </cell>
          <cell r="J393">
            <v>603901.73410404625</v>
          </cell>
          <cell r="L393">
            <v>0</v>
          </cell>
        </row>
        <row r="394">
          <cell r="F394" t="str">
            <v>3674062703990004</v>
          </cell>
          <cell r="J394">
            <v>373843.93063583813</v>
          </cell>
          <cell r="L394">
            <v>0</v>
          </cell>
        </row>
        <row r="395">
          <cell r="F395" t="str">
            <v>3201205208960010</v>
          </cell>
          <cell r="J395">
            <v>0</v>
          </cell>
          <cell r="L395">
            <v>0</v>
          </cell>
        </row>
        <row r="396">
          <cell r="F396" t="str">
            <v>3603220304910001</v>
          </cell>
          <cell r="J396">
            <v>0</v>
          </cell>
          <cell r="L396">
            <v>0</v>
          </cell>
        </row>
        <row r="397">
          <cell r="F397" t="str">
            <v>3201111409990002</v>
          </cell>
          <cell r="J397">
            <v>718930.63583815028</v>
          </cell>
          <cell r="L397">
            <v>0</v>
          </cell>
        </row>
        <row r="398">
          <cell r="F398" t="str">
            <v>3674071803000001</v>
          </cell>
          <cell r="J398">
            <v>517630.0578034682</v>
          </cell>
          <cell r="L398">
            <v>0</v>
          </cell>
        </row>
        <row r="399">
          <cell r="F399" t="str">
            <v>3276031504020001</v>
          </cell>
          <cell r="J399">
            <v>345086.70520231215</v>
          </cell>
          <cell r="L399">
            <v>0</v>
          </cell>
        </row>
        <row r="400">
          <cell r="F400" t="str">
            <v>3673012308980002</v>
          </cell>
          <cell r="J400">
            <v>0</v>
          </cell>
          <cell r="L400">
            <v>0</v>
          </cell>
        </row>
        <row r="401">
          <cell r="F401" t="str">
            <v>3671011405990009</v>
          </cell>
          <cell r="J401">
            <v>0</v>
          </cell>
          <cell r="L401">
            <v>0</v>
          </cell>
        </row>
        <row r="402">
          <cell r="F402" t="str">
            <v>3603200202920003</v>
          </cell>
          <cell r="J402">
            <v>0</v>
          </cell>
          <cell r="L402">
            <v>0</v>
          </cell>
        </row>
        <row r="403">
          <cell r="F403" t="str">
            <v>3603202403920003</v>
          </cell>
          <cell r="J403">
            <v>0</v>
          </cell>
          <cell r="L403">
            <v>0</v>
          </cell>
        </row>
        <row r="404">
          <cell r="F404" t="str">
            <v>6471055501010002</v>
          </cell>
          <cell r="J404">
            <v>0</v>
          </cell>
          <cell r="L404">
            <v>0</v>
          </cell>
        </row>
        <row r="405">
          <cell r="F405" t="str">
            <v>1611022301970002</v>
          </cell>
          <cell r="J405">
            <v>0</v>
          </cell>
          <cell r="L405">
            <v>0</v>
          </cell>
        </row>
        <row r="406">
          <cell r="F406" t="str">
            <v>1705052010060002</v>
          </cell>
          <cell r="J406">
            <v>0</v>
          </cell>
          <cell r="L406">
            <v>0</v>
          </cell>
        </row>
        <row r="407">
          <cell r="F407" t="str">
            <v>1704080404980001</v>
          </cell>
          <cell r="J407">
            <v>0</v>
          </cell>
          <cell r="L407">
            <v>0</v>
          </cell>
        </row>
        <row r="408">
          <cell r="F408" t="str">
            <v>1771060503970002</v>
          </cell>
          <cell r="J408">
            <v>0</v>
          </cell>
          <cell r="L408">
            <v>0</v>
          </cell>
        </row>
        <row r="409">
          <cell r="F409" t="str">
            <v>6471026603950002</v>
          </cell>
          <cell r="J409">
            <v>0</v>
          </cell>
          <cell r="L409">
            <v>0</v>
          </cell>
        </row>
        <row r="410">
          <cell r="F410" t="str">
            <v>6471022310010002</v>
          </cell>
          <cell r="J410">
            <v>0</v>
          </cell>
          <cell r="L410">
            <v>0</v>
          </cell>
        </row>
        <row r="411">
          <cell r="F411" t="str">
            <v>6471020906020003</v>
          </cell>
          <cell r="J411">
            <v>0</v>
          </cell>
          <cell r="L411">
            <v>0</v>
          </cell>
        </row>
        <row r="412">
          <cell r="F412" t="str">
            <v>6471012307980001</v>
          </cell>
          <cell r="J412">
            <v>0</v>
          </cell>
          <cell r="L412">
            <v>0</v>
          </cell>
        </row>
        <row r="413">
          <cell r="F413" t="str">
            <v>1505062611990006</v>
          </cell>
          <cell r="J413">
            <v>0</v>
          </cell>
          <cell r="L413">
            <v>0</v>
          </cell>
        </row>
        <row r="414">
          <cell r="F414" t="str">
            <v>1571072710030121</v>
          </cell>
          <cell r="J414">
            <v>0</v>
          </cell>
          <cell r="L414">
            <v>0</v>
          </cell>
        </row>
        <row r="415">
          <cell r="F415" t="str">
            <v>1571020902020042</v>
          </cell>
          <cell r="J415">
            <v>0</v>
          </cell>
          <cell r="L415">
            <v>0</v>
          </cell>
        </row>
        <row r="416">
          <cell r="F416" t="str">
            <v>3276021610940014</v>
          </cell>
          <cell r="J416">
            <v>0</v>
          </cell>
          <cell r="L416">
            <v>0</v>
          </cell>
        </row>
        <row r="417">
          <cell r="F417" t="str">
            <v>3201371901970004</v>
          </cell>
          <cell r="J417">
            <v>0</v>
          </cell>
          <cell r="L417">
            <v>0</v>
          </cell>
        </row>
        <row r="418">
          <cell r="F418" t="str">
            <v>1671140712870006</v>
          </cell>
          <cell r="J418">
            <v>0</v>
          </cell>
          <cell r="L418">
            <v>0</v>
          </cell>
        </row>
        <row r="419">
          <cell r="F419" t="str">
            <v>1671072101030007</v>
          </cell>
          <cell r="J419">
            <v>0</v>
          </cell>
          <cell r="L419">
            <v>0</v>
          </cell>
        </row>
        <row r="420">
          <cell r="F420" t="str">
            <v>1671031701960007</v>
          </cell>
          <cell r="J420">
            <v>0</v>
          </cell>
          <cell r="L420">
            <v>0</v>
          </cell>
        </row>
        <row r="421">
          <cell r="F421" t="str">
            <v>1671060304960008</v>
          </cell>
          <cell r="J421">
            <v>0</v>
          </cell>
          <cell r="L421">
            <v>0</v>
          </cell>
        </row>
        <row r="422">
          <cell r="F422" t="str">
            <v>1607010204970004</v>
          </cell>
          <cell r="J422">
            <v>0</v>
          </cell>
          <cell r="L422">
            <v>0</v>
          </cell>
        </row>
        <row r="423">
          <cell r="F423" t="str">
            <v>1607012605970005</v>
          </cell>
          <cell r="J423">
            <v>0</v>
          </cell>
          <cell r="L423">
            <v>0</v>
          </cell>
        </row>
        <row r="424">
          <cell r="F424" t="str">
            <v>1607100609950005</v>
          </cell>
          <cell r="J424">
            <v>0</v>
          </cell>
          <cell r="L424">
            <v>0</v>
          </cell>
        </row>
        <row r="425">
          <cell r="F425" t="str">
            <v>1671064507870011</v>
          </cell>
          <cell r="J425">
            <v>0</v>
          </cell>
          <cell r="L425">
            <v>0</v>
          </cell>
        </row>
        <row r="426">
          <cell r="F426" t="str">
            <v>6171041204010007</v>
          </cell>
          <cell r="J426">
            <v>0</v>
          </cell>
          <cell r="L426">
            <v>0</v>
          </cell>
        </row>
        <row r="427">
          <cell r="F427" t="str">
            <v>6472050202940007</v>
          </cell>
          <cell r="J427">
            <v>0</v>
          </cell>
          <cell r="L427">
            <v>0</v>
          </cell>
        </row>
        <row r="428">
          <cell r="F428" t="str">
            <v>6472052106060007</v>
          </cell>
          <cell r="J428">
            <v>0</v>
          </cell>
          <cell r="L428">
            <v>0</v>
          </cell>
        </row>
        <row r="429">
          <cell r="F429" t="str">
            <v>3174060802750004</v>
          </cell>
          <cell r="J429">
            <v>0</v>
          </cell>
          <cell r="L429">
            <v>0</v>
          </cell>
        </row>
        <row r="430">
          <cell r="F430" t="str">
            <v>3674062811990004</v>
          </cell>
          <cell r="J430">
            <v>244436.41618497111</v>
          </cell>
          <cell r="L430">
            <v>0</v>
          </cell>
        </row>
        <row r="431">
          <cell r="F431" t="str">
            <v>3201342609030001</v>
          </cell>
          <cell r="J431">
            <v>0</v>
          </cell>
          <cell r="L431">
            <v>0</v>
          </cell>
        </row>
        <row r="432">
          <cell r="F432" t="str">
            <v>3175081806950004</v>
          </cell>
          <cell r="J432">
            <v>0</v>
          </cell>
          <cell r="L432">
            <v>0</v>
          </cell>
        </row>
        <row r="433">
          <cell r="F433" t="str">
            <v>6473033003030007</v>
          </cell>
          <cell r="J433">
            <v>0</v>
          </cell>
          <cell r="L433">
            <v>0</v>
          </cell>
        </row>
        <row r="434">
          <cell r="F434" t="str">
            <v>1971031111920001</v>
          </cell>
          <cell r="J434">
            <v>0</v>
          </cell>
          <cell r="L434">
            <v>0</v>
          </cell>
        </row>
        <row r="435">
          <cell r="F435" t="str">
            <v>1971051011000003</v>
          </cell>
          <cell r="J435">
            <v>0</v>
          </cell>
          <cell r="L435">
            <v>0</v>
          </cell>
        </row>
        <row r="436">
          <cell r="F436" t="str">
            <v>1971031906050001</v>
          </cell>
          <cell r="J436">
            <v>0</v>
          </cell>
          <cell r="L436">
            <v>0</v>
          </cell>
        </row>
        <row r="437">
          <cell r="F437" t="str">
            <v>1171042404830001</v>
          </cell>
          <cell r="J437">
            <v>0</v>
          </cell>
          <cell r="L437">
            <v>0</v>
          </cell>
        </row>
        <row r="438">
          <cell r="F438" t="str">
            <v>1171070906040001</v>
          </cell>
          <cell r="J438">
            <v>0</v>
          </cell>
          <cell r="L438">
            <v>0</v>
          </cell>
        </row>
        <row r="439">
          <cell r="F439" t="str">
            <v>1171042904870001</v>
          </cell>
          <cell r="J439">
            <v>0</v>
          </cell>
          <cell r="L439">
            <v>0</v>
          </cell>
        </row>
        <row r="440">
          <cell r="F440" t="str">
            <v>1171042612870002</v>
          </cell>
          <cell r="J440">
            <v>0</v>
          </cell>
          <cell r="L440">
            <v>0</v>
          </cell>
        </row>
        <row r="441">
          <cell r="F441" t="str">
            <v>1106070506960005</v>
          </cell>
          <cell r="J441">
            <v>0</v>
          </cell>
          <cell r="L441">
            <v>0</v>
          </cell>
        </row>
        <row r="442">
          <cell r="F442" t="str">
            <v>3273242705930005</v>
          </cell>
          <cell r="J442">
            <v>0</v>
          </cell>
          <cell r="L442">
            <v>0</v>
          </cell>
        </row>
        <row r="443">
          <cell r="F443" t="str">
            <v>3273082703900004</v>
          </cell>
          <cell r="J443">
            <v>0</v>
          </cell>
          <cell r="L443">
            <v>0</v>
          </cell>
        </row>
        <row r="444">
          <cell r="F444" t="str">
            <v>3273180507850002</v>
          </cell>
          <cell r="J444">
            <v>0</v>
          </cell>
          <cell r="L444">
            <v>0</v>
          </cell>
        </row>
        <row r="445">
          <cell r="F445" t="str">
            <v>3307140204920004</v>
          </cell>
          <cell r="J445">
            <v>0</v>
          </cell>
          <cell r="L445">
            <v>0</v>
          </cell>
        </row>
        <row r="446">
          <cell r="F446" t="str">
            <v>3216025202950006</v>
          </cell>
          <cell r="J446">
            <v>0</v>
          </cell>
          <cell r="L446">
            <v>0</v>
          </cell>
        </row>
        <row r="447">
          <cell r="F447" t="str">
            <v>3216022209850010</v>
          </cell>
          <cell r="J447">
            <v>0</v>
          </cell>
          <cell r="L447">
            <v>0</v>
          </cell>
        </row>
        <row r="448">
          <cell r="F448" t="str">
            <v>3275041508820047</v>
          </cell>
          <cell r="J448">
            <v>0</v>
          </cell>
          <cell r="L448">
            <v>0</v>
          </cell>
        </row>
        <row r="449">
          <cell r="F449" t="str">
            <v>3275060510950029</v>
          </cell>
          <cell r="J449">
            <v>0</v>
          </cell>
          <cell r="L449">
            <v>0</v>
          </cell>
        </row>
        <row r="450">
          <cell r="F450" t="str">
            <v>3175060807920003</v>
          </cell>
          <cell r="J450">
            <v>0</v>
          </cell>
          <cell r="L450">
            <v>0</v>
          </cell>
        </row>
        <row r="451">
          <cell r="F451" t="str">
            <v>3175064210931004</v>
          </cell>
          <cell r="J451">
            <v>0</v>
          </cell>
          <cell r="L451">
            <v>0</v>
          </cell>
        </row>
        <row r="452">
          <cell r="F452" t="str">
            <v>3215260208820001</v>
          </cell>
          <cell r="J452">
            <v>0</v>
          </cell>
          <cell r="L452">
            <v>0</v>
          </cell>
        </row>
        <row r="453">
          <cell r="F453" t="str">
            <v>3215032212900001</v>
          </cell>
          <cell r="J453">
            <v>0</v>
          </cell>
          <cell r="L453">
            <v>0</v>
          </cell>
        </row>
        <row r="454">
          <cell r="F454" t="str">
            <v>3215032812830001</v>
          </cell>
          <cell r="J454">
            <v>0</v>
          </cell>
          <cell r="L454">
            <v>0</v>
          </cell>
        </row>
        <row r="455">
          <cell r="F455" t="str">
            <v>3312110903960001</v>
          </cell>
          <cell r="J455">
            <v>0</v>
          </cell>
          <cell r="L455">
            <v>0</v>
          </cell>
        </row>
        <row r="456">
          <cell r="F456" t="str">
            <v>3328011911950006</v>
          </cell>
          <cell r="J456">
            <v>1618497.1098265897</v>
          </cell>
          <cell r="L456">
            <v>0</v>
          </cell>
        </row>
        <row r="457">
          <cell r="F457" t="str">
            <v>3271012212830014</v>
          </cell>
          <cell r="J457">
            <v>2023121.387283237</v>
          </cell>
          <cell r="L457">
            <v>0</v>
          </cell>
        </row>
        <row r="458">
          <cell r="F458" t="str">
            <v>1211103007960001</v>
          </cell>
          <cell r="J458">
            <v>0</v>
          </cell>
          <cell r="L458">
            <v>0</v>
          </cell>
        </row>
        <row r="459">
          <cell r="F459" t="str">
            <v>1271152102920003</v>
          </cell>
          <cell r="J459">
            <v>0</v>
          </cell>
          <cell r="L459">
            <v>0</v>
          </cell>
        </row>
        <row r="460">
          <cell r="F460" t="str">
            <v>1271150804900001</v>
          </cell>
          <cell r="J460">
            <v>0</v>
          </cell>
          <cell r="L460">
            <v>0</v>
          </cell>
        </row>
        <row r="461">
          <cell r="F461" t="str">
            <v>1271050507960001</v>
          </cell>
          <cell r="J461">
            <v>0</v>
          </cell>
          <cell r="L461">
            <v>0</v>
          </cell>
        </row>
        <row r="462">
          <cell r="F462" t="str">
            <v>1174041909950001</v>
          </cell>
          <cell r="J462">
            <v>0</v>
          </cell>
          <cell r="L462">
            <v>0</v>
          </cell>
        </row>
        <row r="463">
          <cell r="F463" t="str">
            <v>1271060306910008</v>
          </cell>
          <cell r="J463">
            <v>0</v>
          </cell>
          <cell r="L463">
            <v>0</v>
          </cell>
        </row>
        <row r="464">
          <cell r="F464" t="str">
            <v>1207232812930008</v>
          </cell>
          <cell r="J464">
            <v>0</v>
          </cell>
          <cell r="L464">
            <v>0</v>
          </cell>
        </row>
        <row r="465">
          <cell r="F465" t="str">
            <v>5315062809030002</v>
          </cell>
          <cell r="J465">
            <v>0</v>
          </cell>
          <cell r="L465">
            <v>0</v>
          </cell>
        </row>
        <row r="466">
          <cell r="F466" t="str">
            <v>3509170111920002</v>
          </cell>
          <cell r="J466">
            <v>0</v>
          </cell>
          <cell r="L466">
            <v>0</v>
          </cell>
        </row>
        <row r="467">
          <cell r="F467" t="str">
            <v>3509213103990004</v>
          </cell>
          <cell r="J467">
            <v>0</v>
          </cell>
          <cell r="L467">
            <v>0</v>
          </cell>
        </row>
        <row r="468">
          <cell r="F468" t="str">
            <v>3509131608860003</v>
          </cell>
          <cell r="J468">
            <v>0</v>
          </cell>
          <cell r="L468">
            <v>0</v>
          </cell>
        </row>
        <row r="469">
          <cell r="F469" t="str">
            <v>3571011406850006</v>
          </cell>
          <cell r="J469">
            <v>0</v>
          </cell>
          <cell r="L469">
            <v>0</v>
          </cell>
        </row>
        <row r="470">
          <cell r="F470" t="str">
            <v>3573051010700008</v>
          </cell>
          <cell r="J470">
            <v>0</v>
          </cell>
          <cell r="L470">
            <v>0</v>
          </cell>
        </row>
        <row r="471">
          <cell r="F471" t="str">
            <v>3507242707980002</v>
          </cell>
          <cell r="J471">
            <v>0</v>
          </cell>
          <cell r="L471">
            <v>0</v>
          </cell>
        </row>
        <row r="472">
          <cell r="F472" t="str">
            <v>3507171009950001</v>
          </cell>
          <cell r="J472">
            <v>0</v>
          </cell>
          <cell r="L472">
            <v>0</v>
          </cell>
        </row>
        <row r="473">
          <cell r="F473" t="str">
            <v>3573021205820003</v>
          </cell>
          <cell r="J473">
            <v>0</v>
          </cell>
          <cell r="L473">
            <v>0</v>
          </cell>
        </row>
        <row r="474">
          <cell r="F474" t="str">
            <v>3573031304920003</v>
          </cell>
          <cell r="J474">
            <v>0</v>
          </cell>
          <cell r="L474">
            <v>0</v>
          </cell>
        </row>
        <row r="475">
          <cell r="F475" t="str">
            <v>3573021209860002</v>
          </cell>
          <cell r="J475">
            <v>0</v>
          </cell>
          <cell r="L475">
            <v>0</v>
          </cell>
        </row>
        <row r="476">
          <cell r="F476" t="str">
            <v>3578100509920003</v>
          </cell>
          <cell r="J476">
            <v>0</v>
          </cell>
          <cell r="L476">
            <v>0</v>
          </cell>
        </row>
        <row r="477">
          <cell r="F477" t="str">
            <v>3515112305980003</v>
          </cell>
          <cell r="J477">
            <v>0</v>
          </cell>
          <cell r="L477">
            <v>0</v>
          </cell>
        </row>
        <row r="478">
          <cell r="F478" t="str">
            <v>3504110405980002</v>
          </cell>
          <cell r="J478">
            <v>0</v>
          </cell>
          <cell r="L478">
            <v>0</v>
          </cell>
        </row>
        <row r="479">
          <cell r="F479" t="str">
            <v>3517111501920001</v>
          </cell>
          <cell r="J479">
            <v>0</v>
          </cell>
          <cell r="L479">
            <v>0</v>
          </cell>
        </row>
        <row r="480">
          <cell r="F480" t="str">
            <v>3316040912810002</v>
          </cell>
          <cell r="J480">
            <v>0</v>
          </cell>
          <cell r="L480">
            <v>0</v>
          </cell>
        </row>
        <row r="481">
          <cell r="F481" t="str">
            <v>3515010304880001</v>
          </cell>
          <cell r="J481">
            <v>0</v>
          </cell>
          <cell r="L481">
            <v>0</v>
          </cell>
        </row>
        <row r="482">
          <cell r="F482" t="str">
            <v>3578251605970001</v>
          </cell>
          <cell r="J482">
            <v>0</v>
          </cell>
          <cell r="L482">
            <v>0</v>
          </cell>
        </row>
        <row r="483">
          <cell r="F483" t="str">
            <v>3506210403840002</v>
          </cell>
          <cell r="J483">
            <v>0</v>
          </cell>
          <cell r="L483">
            <v>0</v>
          </cell>
        </row>
        <row r="484">
          <cell r="F484" t="str">
            <v>3515032306880002</v>
          </cell>
          <cell r="J484">
            <v>0</v>
          </cell>
          <cell r="L484">
            <v>0</v>
          </cell>
        </row>
        <row r="485">
          <cell r="F485" t="str">
            <v>3526110705890002</v>
          </cell>
          <cell r="J485">
            <v>0</v>
          </cell>
          <cell r="L485">
            <v>0</v>
          </cell>
        </row>
        <row r="486">
          <cell r="F486" t="str">
            <v>3175093012870005</v>
          </cell>
          <cell r="J486">
            <v>0</v>
          </cell>
          <cell r="L486">
            <v>0</v>
          </cell>
        </row>
        <row r="487">
          <cell r="F487" t="str">
            <v>3175015503990005</v>
          </cell>
          <cell r="J487">
            <v>0</v>
          </cell>
          <cell r="L487">
            <v>0</v>
          </cell>
        </row>
        <row r="488">
          <cell r="F488" t="str">
            <v>3175036303990010</v>
          </cell>
          <cell r="J488">
            <v>0</v>
          </cell>
          <cell r="L488">
            <v>0</v>
          </cell>
        </row>
        <row r="489">
          <cell r="F489" t="str">
            <v>3275022506990013</v>
          </cell>
          <cell r="J489">
            <v>0</v>
          </cell>
          <cell r="L489">
            <v>0</v>
          </cell>
        </row>
        <row r="490">
          <cell r="F490" t="str">
            <v>3174082610960002</v>
          </cell>
          <cell r="J490">
            <v>0</v>
          </cell>
          <cell r="L490">
            <v>0</v>
          </cell>
        </row>
        <row r="491">
          <cell r="F491" t="str">
            <v>3172042611941003</v>
          </cell>
          <cell r="J491">
            <v>0</v>
          </cell>
          <cell r="L491">
            <v>0</v>
          </cell>
        </row>
        <row r="492">
          <cell r="F492" t="str">
            <v>3171043108970001</v>
          </cell>
          <cell r="J492">
            <v>670725.43352601153</v>
          </cell>
          <cell r="L492">
            <v>0</v>
          </cell>
        </row>
        <row r="493">
          <cell r="F493" t="str">
            <v>3209391903950002</v>
          </cell>
          <cell r="J493">
            <v>0</v>
          </cell>
          <cell r="L493">
            <v>0</v>
          </cell>
        </row>
        <row r="494">
          <cell r="F494" t="str">
            <v>3172045103940003</v>
          </cell>
          <cell r="J494">
            <v>0</v>
          </cell>
          <cell r="L494">
            <v>0</v>
          </cell>
        </row>
        <row r="495">
          <cell r="F495" t="str">
            <v>3171080405940001</v>
          </cell>
          <cell r="J495">
            <v>0</v>
          </cell>
          <cell r="L495">
            <v>0</v>
          </cell>
        </row>
        <row r="496">
          <cell r="F496" t="str">
            <v>3175061101800023</v>
          </cell>
          <cell r="J496">
            <v>530341.04046242777</v>
          </cell>
          <cell r="L496">
            <v>0</v>
          </cell>
        </row>
        <row r="497">
          <cell r="F497" t="str">
            <v>3208150401930003</v>
          </cell>
          <cell r="J497">
            <v>0</v>
          </cell>
          <cell r="L497">
            <v>0</v>
          </cell>
        </row>
        <row r="498">
          <cell r="F498" t="str">
            <v>1505012707010001</v>
          </cell>
          <cell r="J498">
            <v>0</v>
          </cell>
          <cell r="L498">
            <v>0</v>
          </cell>
        </row>
        <row r="499">
          <cell r="F499" t="str">
            <v>1101061111030002</v>
          </cell>
          <cell r="J499">
            <v>0</v>
          </cell>
          <cell r="L499">
            <v>0</v>
          </cell>
        </row>
        <row r="500">
          <cell r="F500" t="str">
            <v>3275115704020013</v>
          </cell>
          <cell r="J500">
            <v>0</v>
          </cell>
          <cell r="L500">
            <v>0</v>
          </cell>
        </row>
        <row r="501">
          <cell r="F501" t="str">
            <v>3175032105990002</v>
          </cell>
          <cell r="J501">
            <v>857904.62427745666</v>
          </cell>
          <cell r="L501">
            <v>0</v>
          </cell>
        </row>
        <row r="502">
          <cell r="F502" t="str">
            <v>3305261011970001</v>
          </cell>
          <cell r="J502">
            <v>0</v>
          </cell>
          <cell r="L502">
            <v>0</v>
          </cell>
        </row>
        <row r="503">
          <cell r="F503" t="str">
            <v>5103025008820012</v>
          </cell>
          <cell r="J503">
            <v>0</v>
          </cell>
          <cell r="L503">
            <v>0</v>
          </cell>
        </row>
        <row r="504">
          <cell r="F504" t="str">
            <v>3603232808010004</v>
          </cell>
          <cell r="J504">
            <v>0</v>
          </cell>
          <cell r="L504">
            <v>0</v>
          </cell>
        </row>
        <row r="505">
          <cell r="F505" t="str">
            <v>3601090107950209</v>
          </cell>
          <cell r="J505">
            <v>0</v>
          </cell>
          <cell r="L505">
            <v>0</v>
          </cell>
        </row>
        <row r="506">
          <cell r="F506" t="str">
            <v>6473032212970003</v>
          </cell>
          <cell r="J506">
            <v>0</v>
          </cell>
          <cell r="L506">
            <v>0</v>
          </cell>
        </row>
        <row r="507">
          <cell r="F507" t="str">
            <v>3671081602990005</v>
          </cell>
          <cell r="J507">
            <v>0</v>
          </cell>
          <cell r="L507">
            <v>0</v>
          </cell>
        </row>
        <row r="508">
          <cell r="F508" t="str">
            <v>6471030204830003</v>
          </cell>
          <cell r="J508">
            <v>0</v>
          </cell>
          <cell r="L508">
            <v>0</v>
          </cell>
        </row>
        <row r="509">
          <cell r="F509" t="str">
            <v>3215265408910005</v>
          </cell>
          <cell r="J509">
            <v>0</v>
          </cell>
          <cell r="L509">
            <v>0</v>
          </cell>
        </row>
        <row r="510">
          <cell r="F510" t="str">
            <v>3175030203960006</v>
          </cell>
          <cell r="J510">
            <v>0</v>
          </cell>
          <cell r="L510">
            <v>0</v>
          </cell>
        </row>
        <row r="511">
          <cell r="F511" t="str">
            <v>3175076202971002</v>
          </cell>
          <cell r="J511">
            <v>0</v>
          </cell>
          <cell r="L511">
            <v>0</v>
          </cell>
        </row>
        <row r="512">
          <cell r="F512" t="str">
            <v>3311090901020001</v>
          </cell>
          <cell r="J512">
            <v>0</v>
          </cell>
          <cell r="L512">
            <v>0</v>
          </cell>
        </row>
        <row r="513">
          <cell r="F513" t="str">
            <v>1608160905050001</v>
          </cell>
          <cell r="J513">
            <v>0</v>
          </cell>
          <cell r="L513">
            <v>0</v>
          </cell>
        </row>
        <row r="514">
          <cell r="F514" t="str">
            <v>5315062406020002</v>
          </cell>
          <cell r="J514">
            <v>0</v>
          </cell>
          <cell r="L514">
            <v>0</v>
          </cell>
        </row>
        <row r="515">
          <cell r="F515" t="str">
            <v>1113021505920001</v>
          </cell>
          <cell r="J515">
            <v>0</v>
          </cell>
          <cell r="L515">
            <v>0</v>
          </cell>
        </row>
        <row r="516">
          <cell r="F516" t="str">
            <v>3374060109060002</v>
          </cell>
          <cell r="J516">
            <v>369465.31791907514</v>
          </cell>
          <cell r="L516">
            <v>0</v>
          </cell>
        </row>
        <row r="517">
          <cell r="F517" t="str">
            <v>6371031509990005</v>
          </cell>
          <cell r="J517">
            <v>0</v>
          </cell>
          <cell r="L517">
            <v>0</v>
          </cell>
        </row>
        <row r="518">
          <cell r="F518" t="str">
            <v>3201122111990004</v>
          </cell>
          <cell r="J518">
            <v>0</v>
          </cell>
          <cell r="L518">
            <v>0</v>
          </cell>
        </row>
        <row r="519">
          <cell r="F519" t="str">
            <v>6471012512010001</v>
          </cell>
          <cell r="J519">
            <v>0</v>
          </cell>
          <cell r="L519">
            <v>0</v>
          </cell>
        </row>
        <row r="520">
          <cell r="F520" t="str">
            <v>3174072904960002</v>
          </cell>
          <cell r="J520">
            <v>0</v>
          </cell>
          <cell r="L520">
            <v>0</v>
          </cell>
        </row>
        <row r="521">
          <cell r="F521" t="str">
            <v>3514120906990002</v>
          </cell>
          <cell r="J521">
            <v>0</v>
          </cell>
          <cell r="L521">
            <v>0</v>
          </cell>
        </row>
        <row r="522">
          <cell r="F522" t="str">
            <v>1601091605960001</v>
          </cell>
          <cell r="J522">
            <v>0</v>
          </cell>
          <cell r="L522">
            <v>0</v>
          </cell>
        </row>
        <row r="523">
          <cell r="F523" t="str">
            <v>6402131706970001</v>
          </cell>
          <cell r="J523">
            <v>0</v>
          </cell>
          <cell r="L523">
            <v>0</v>
          </cell>
        </row>
        <row r="524">
          <cell r="F524" t="str">
            <v>3524101211000003</v>
          </cell>
          <cell r="J524">
            <v>0</v>
          </cell>
          <cell r="L524">
            <v>0</v>
          </cell>
        </row>
        <row r="525">
          <cell r="F525" t="str">
            <v>1611042212020003</v>
          </cell>
          <cell r="J525">
            <v>0</v>
          </cell>
          <cell r="L525">
            <v>0</v>
          </cell>
        </row>
        <row r="526">
          <cell r="F526" t="str">
            <v>3601194805000001</v>
          </cell>
          <cell r="J526">
            <v>0</v>
          </cell>
          <cell r="L526">
            <v>0</v>
          </cell>
        </row>
        <row r="527">
          <cell r="F527" t="str">
            <v>1371111402020013</v>
          </cell>
          <cell r="J527">
            <v>0</v>
          </cell>
          <cell r="L527">
            <v>0</v>
          </cell>
        </row>
        <row r="528">
          <cell r="F528" t="str">
            <v>3276102701810001</v>
          </cell>
          <cell r="J528">
            <v>0</v>
          </cell>
          <cell r="L528">
            <v>0</v>
          </cell>
        </row>
        <row r="529">
          <cell r="F529" t="str">
            <v>3521092607960001</v>
          </cell>
          <cell r="J529">
            <v>0</v>
          </cell>
          <cell r="L529">
            <v>0</v>
          </cell>
        </row>
        <row r="530">
          <cell r="F530" t="str">
            <v>3272030610960001</v>
          </cell>
          <cell r="J530">
            <v>0</v>
          </cell>
          <cell r="L530">
            <v>0</v>
          </cell>
        </row>
        <row r="531">
          <cell r="F531" t="str">
            <v>3312082401000001</v>
          </cell>
          <cell r="J531">
            <v>0</v>
          </cell>
          <cell r="L531">
            <v>0</v>
          </cell>
        </row>
        <row r="532">
          <cell r="F532" t="str">
            <v>3403096303030004</v>
          </cell>
          <cell r="J532">
            <v>0</v>
          </cell>
          <cell r="L532">
            <v>0</v>
          </cell>
        </row>
        <row r="533">
          <cell r="F533" t="str">
            <v>3301177009000001</v>
          </cell>
          <cell r="J533">
            <v>0</v>
          </cell>
          <cell r="L533">
            <v>0</v>
          </cell>
        </row>
        <row r="534">
          <cell r="F534" t="str">
            <v>3175016301980003</v>
          </cell>
          <cell r="J534">
            <v>0</v>
          </cell>
          <cell r="L534">
            <v>0</v>
          </cell>
        </row>
        <row r="535">
          <cell r="F535" t="str">
            <v>3311062509010003</v>
          </cell>
          <cell r="J535">
            <v>293393.063583815</v>
          </cell>
          <cell r="L535">
            <v>0</v>
          </cell>
        </row>
        <row r="536">
          <cell r="F536" t="str">
            <v>3321021507960003</v>
          </cell>
          <cell r="J536">
            <v>0</v>
          </cell>
          <cell r="L536">
            <v>0</v>
          </cell>
        </row>
        <row r="537">
          <cell r="F537" t="str">
            <v>3311070605040001</v>
          </cell>
          <cell r="J537">
            <v>335306.35838150285</v>
          </cell>
          <cell r="L537">
            <v>0</v>
          </cell>
        </row>
        <row r="538">
          <cell r="F538" t="str">
            <v>1571021206030001</v>
          </cell>
          <cell r="J538">
            <v>0</v>
          </cell>
          <cell r="L538">
            <v>0</v>
          </cell>
        </row>
        <row r="539">
          <cell r="F539" t="str">
            <v>1571072606060181</v>
          </cell>
          <cell r="J539">
            <v>0</v>
          </cell>
          <cell r="L539">
            <v>0</v>
          </cell>
        </row>
        <row r="540">
          <cell r="F540" t="str">
            <v>3175080611010006</v>
          </cell>
          <cell r="J540">
            <v>0</v>
          </cell>
          <cell r="L540">
            <v>0</v>
          </cell>
        </row>
        <row r="541">
          <cell r="F541" t="str">
            <v>7171070705030001</v>
          </cell>
          <cell r="J541">
            <v>0</v>
          </cell>
          <cell r="L541">
            <v>0</v>
          </cell>
        </row>
        <row r="542">
          <cell r="F542" t="str">
            <v>1104172308990001</v>
          </cell>
          <cell r="J542">
            <v>0</v>
          </cell>
          <cell r="L542">
            <v>0</v>
          </cell>
        </row>
        <row r="543">
          <cell r="F543" t="str">
            <v>7171031206990002</v>
          </cell>
          <cell r="J543">
            <v>0</v>
          </cell>
          <cell r="L543">
            <v>0</v>
          </cell>
        </row>
        <row r="544">
          <cell r="F544" t="str">
            <v>3401122605960001</v>
          </cell>
          <cell r="J544">
            <v>0</v>
          </cell>
          <cell r="L544">
            <v>0</v>
          </cell>
        </row>
        <row r="545">
          <cell r="F545" t="str">
            <v>3404021001010001</v>
          </cell>
          <cell r="J545">
            <v>0</v>
          </cell>
          <cell r="L545">
            <v>0</v>
          </cell>
        </row>
        <row r="546">
          <cell r="F546" t="str">
            <v>3174054603040008</v>
          </cell>
          <cell r="J546">
            <v>0</v>
          </cell>
          <cell r="L546">
            <v>0</v>
          </cell>
        </row>
        <row r="547">
          <cell r="F547" t="str">
            <v>5271021709990001</v>
          </cell>
          <cell r="J547">
            <v>0</v>
          </cell>
          <cell r="L547">
            <v>0</v>
          </cell>
        </row>
        <row r="548">
          <cell r="F548" t="str">
            <v>3173010205870010</v>
          </cell>
          <cell r="J548">
            <v>0</v>
          </cell>
          <cell r="L548">
            <v>0</v>
          </cell>
        </row>
        <row r="549">
          <cell r="F549" t="str">
            <v>3173072305020005</v>
          </cell>
          <cell r="J549">
            <v>0</v>
          </cell>
          <cell r="L549">
            <v>0</v>
          </cell>
        </row>
        <row r="550">
          <cell r="F550" t="str">
            <v>3275026410030003</v>
          </cell>
          <cell r="J550">
            <v>0</v>
          </cell>
          <cell r="L550">
            <v>0</v>
          </cell>
        </row>
        <row r="551">
          <cell r="F551" t="str">
            <v>3173022703040004</v>
          </cell>
          <cell r="J551">
            <v>0</v>
          </cell>
          <cell r="L551">
            <v>0</v>
          </cell>
        </row>
        <row r="552">
          <cell r="F552" t="str">
            <v>3313111101970002</v>
          </cell>
          <cell r="J552">
            <v>0</v>
          </cell>
          <cell r="L552">
            <v>0</v>
          </cell>
        </row>
        <row r="553">
          <cell r="F553" t="str">
            <v>1610102909030002</v>
          </cell>
          <cell r="J553">
            <v>0</v>
          </cell>
          <cell r="L553">
            <v>0</v>
          </cell>
        </row>
        <row r="554">
          <cell r="F554" t="str">
            <v>3602130501030002</v>
          </cell>
          <cell r="J554">
            <v>0</v>
          </cell>
          <cell r="L554">
            <v>0</v>
          </cell>
        </row>
        <row r="555">
          <cell r="F555" t="str">
            <v>3578081012020002</v>
          </cell>
          <cell r="J555">
            <v>0</v>
          </cell>
          <cell r="L555">
            <v>0</v>
          </cell>
        </row>
        <row r="556">
          <cell r="F556" t="str">
            <v>3578040212900004</v>
          </cell>
          <cell r="J556">
            <v>0</v>
          </cell>
          <cell r="L556">
            <v>0</v>
          </cell>
        </row>
        <row r="557">
          <cell r="F557" t="str">
            <v>1404201711010001</v>
          </cell>
          <cell r="J557">
            <v>0</v>
          </cell>
          <cell r="L557">
            <v>0</v>
          </cell>
        </row>
        <row r="558">
          <cell r="F558" t="str">
            <v>3573042011890004</v>
          </cell>
          <cell r="J558">
            <v>0</v>
          </cell>
          <cell r="L558">
            <v>0</v>
          </cell>
        </row>
        <row r="559">
          <cell r="F559" t="str">
            <v>3515141909000003</v>
          </cell>
          <cell r="J559">
            <v>0</v>
          </cell>
          <cell r="L559">
            <v>0</v>
          </cell>
        </row>
        <row r="560">
          <cell r="F560" t="str">
            <v>3603280410000005</v>
          </cell>
          <cell r="J560">
            <v>0</v>
          </cell>
          <cell r="L560">
            <v>0</v>
          </cell>
        </row>
        <row r="561">
          <cell r="F561" t="str">
            <v>3578286612980001</v>
          </cell>
          <cell r="J561">
            <v>0</v>
          </cell>
          <cell r="L561">
            <v>0</v>
          </cell>
        </row>
        <row r="562">
          <cell r="F562" t="str">
            <v>1204094212990001</v>
          </cell>
          <cell r="J562">
            <v>0</v>
          </cell>
          <cell r="L562">
            <v>0</v>
          </cell>
        </row>
        <row r="563">
          <cell r="F563" t="str">
            <v>3175041107750011</v>
          </cell>
          <cell r="J563">
            <v>0</v>
          </cell>
          <cell r="L563">
            <v>0</v>
          </cell>
        </row>
        <row r="564">
          <cell r="F564" t="str">
            <v>3671061101750004</v>
          </cell>
          <cell r="J564">
            <v>0</v>
          </cell>
          <cell r="L564">
            <v>0</v>
          </cell>
        </row>
        <row r="565">
          <cell r="F565" t="str">
            <v>3173072503780005</v>
          </cell>
          <cell r="J565">
            <v>0</v>
          </cell>
          <cell r="L565">
            <v>0</v>
          </cell>
        </row>
        <row r="566">
          <cell r="F566" t="str">
            <v>3216020507770019</v>
          </cell>
          <cell r="J566">
            <v>0</v>
          </cell>
          <cell r="L566">
            <v>0</v>
          </cell>
        </row>
        <row r="567">
          <cell r="F567" t="str">
            <v>3674032104730001</v>
          </cell>
          <cell r="J567">
            <v>0</v>
          </cell>
          <cell r="L567">
            <v>0</v>
          </cell>
        </row>
        <row r="568">
          <cell r="F568" t="str">
            <v>3671062203790006</v>
          </cell>
          <cell r="J568">
            <v>1560693.6416184972</v>
          </cell>
          <cell r="L568">
            <v>0</v>
          </cell>
        </row>
        <row r="569">
          <cell r="F569" t="str">
            <v>3275050112790008</v>
          </cell>
          <cell r="J569">
            <v>0</v>
          </cell>
          <cell r="L569">
            <v>0</v>
          </cell>
        </row>
        <row r="570">
          <cell r="F570" t="str">
            <v>3674031806800015</v>
          </cell>
          <cell r="J570">
            <v>2141618.4971098267</v>
          </cell>
          <cell r="L570">
            <v>0</v>
          </cell>
        </row>
        <row r="571">
          <cell r="F571" t="str">
            <v>3671062909030004</v>
          </cell>
          <cell r="J571">
            <v>530341.04046242777</v>
          </cell>
          <cell r="L571">
            <v>0</v>
          </cell>
        </row>
        <row r="572">
          <cell r="F572" t="str">
            <v>3201220111970001</v>
          </cell>
          <cell r="J572">
            <v>0</v>
          </cell>
          <cell r="L572">
            <v>0</v>
          </cell>
        </row>
        <row r="573">
          <cell r="F573" t="str">
            <v>3208220703920001</v>
          </cell>
          <cell r="J573">
            <v>2277346.8208092484</v>
          </cell>
          <cell r="L573">
            <v>0</v>
          </cell>
        </row>
        <row r="574">
          <cell r="F574" t="str">
            <v>3602141609910001</v>
          </cell>
          <cell r="J574">
            <v>1591023.1213872831</v>
          </cell>
          <cell r="L574">
            <v>0</v>
          </cell>
        </row>
        <row r="575">
          <cell r="F575" t="str">
            <v>3602142311950003</v>
          </cell>
          <cell r="J575">
            <v>93589.595375722536</v>
          </cell>
          <cell r="L575">
            <v>0</v>
          </cell>
        </row>
        <row r="576">
          <cell r="F576" t="str">
            <v>3172042502991001</v>
          </cell>
          <cell r="J576">
            <v>1934184.9710982658</v>
          </cell>
          <cell r="L576">
            <v>0</v>
          </cell>
        </row>
        <row r="577">
          <cell r="F577" t="str">
            <v>3305070209870001</v>
          </cell>
          <cell r="J577">
            <v>1310254.3352601156</v>
          </cell>
          <cell r="L577">
            <v>0</v>
          </cell>
        </row>
        <row r="578">
          <cell r="F578" t="str">
            <v>3175022905840009</v>
          </cell>
          <cell r="J578">
            <v>1871791.9075144508</v>
          </cell>
          <cell r="L578">
            <v>0</v>
          </cell>
        </row>
        <row r="579">
          <cell r="F579" t="str">
            <v>3275121607810007</v>
          </cell>
          <cell r="J579">
            <v>1466236.9942196531</v>
          </cell>
          <cell r="L579">
            <v>0</v>
          </cell>
        </row>
        <row r="580">
          <cell r="F580" t="str">
            <v>3704211509780346</v>
          </cell>
          <cell r="J580">
            <v>1279057.8034682081</v>
          </cell>
          <cell r="L580">
            <v>0</v>
          </cell>
        </row>
        <row r="581">
          <cell r="F581" t="str">
            <v>3275011408850032</v>
          </cell>
          <cell r="J581">
            <v>1996578.0346820808</v>
          </cell>
          <cell r="L581">
            <v>0</v>
          </cell>
        </row>
        <row r="582">
          <cell r="F582" t="str">
            <v>3175060510850020</v>
          </cell>
          <cell r="J582">
            <v>2526919.0751445084</v>
          </cell>
          <cell r="L582">
            <v>0</v>
          </cell>
        </row>
        <row r="583">
          <cell r="F583" t="str">
            <v>3305260511890001</v>
          </cell>
          <cell r="J583">
            <v>2339739.8843930634</v>
          </cell>
          <cell r="L583">
            <v>0</v>
          </cell>
        </row>
        <row r="584">
          <cell r="F584" t="str">
            <v>3172041503890004</v>
          </cell>
          <cell r="J584">
            <v>1934184.9710982658</v>
          </cell>
          <cell r="L584">
            <v>0</v>
          </cell>
        </row>
        <row r="585">
          <cell r="F585" t="str">
            <v>3175020811780007</v>
          </cell>
          <cell r="J585">
            <v>2121364.1618497111</v>
          </cell>
          <cell r="L585">
            <v>0</v>
          </cell>
        </row>
        <row r="586">
          <cell r="F586" t="str">
            <v>3602142108840002</v>
          </cell>
          <cell r="J586">
            <v>2433329.4797687861</v>
          </cell>
          <cell r="L586">
            <v>0</v>
          </cell>
        </row>
        <row r="587">
          <cell r="F587" t="str">
            <v>3175061303970011</v>
          </cell>
          <cell r="J587">
            <v>2292945.0867052022</v>
          </cell>
          <cell r="L587">
            <v>0</v>
          </cell>
        </row>
        <row r="588">
          <cell r="F588" t="str">
            <v>3172041109950006</v>
          </cell>
          <cell r="J588">
            <v>1684612.7167630058</v>
          </cell>
          <cell r="L588">
            <v>0</v>
          </cell>
        </row>
        <row r="589">
          <cell r="F589" t="str">
            <v>3172042404890012</v>
          </cell>
          <cell r="J589">
            <v>2277346.8208092484</v>
          </cell>
          <cell r="L589">
            <v>0</v>
          </cell>
        </row>
        <row r="590">
          <cell r="F590" t="str">
            <v>3172041906971001</v>
          </cell>
          <cell r="J590">
            <v>1279057.8034682081</v>
          </cell>
          <cell r="L590">
            <v>0</v>
          </cell>
        </row>
        <row r="591">
          <cell r="F591" t="str">
            <v>3602140610950003</v>
          </cell>
          <cell r="J591">
            <v>2246150.2890173411</v>
          </cell>
          <cell r="L591">
            <v>0</v>
          </cell>
        </row>
        <row r="592">
          <cell r="F592" t="str">
            <v>1672052306940001</v>
          </cell>
          <cell r="J592">
            <v>2152560.6936416184</v>
          </cell>
          <cell r="L592">
            <v>0</v>
          </cell>
        </row>
        <row r="593">
          <cell r="F593" t="str">
            <v>3524091006930002</v>
          </cell>
          <cell r="J593">
            <v>3182046.2427745662</v>
          </cell>
          <cell r="L593">
            <v>0</v>
          </cell>
        </row>
        <row r="594">
          <cell r="F594" t="str">
            <v>3172040307001001</v>
          </cell>
          <cell r="J594">
            <v>2464526.0115606934</v>
          </cell>
          <cell r="L594">
            <v>0</v>
          </cell>
        </row>
        <row r="595">
          <cell r="F595" t="str">
            <v>3175070707840019</v>
          </cell>
          <cell r="J595">
            <v>1622219.6531791906</v>
          </cell>
          <cell r="L595">
            <v>0</v>
          </cell>
        </row>
        <row r="596">
          <cell r="F596" t="str">
            <v>3172041905860012</v>
          </cell>
          <cell r="J596">
            <v>1060682.0809248555</v>
          </cell>
          <cell r="L596">
            <v>0</v>
          </cell>
        </row>
        <row r="597">
          <cell r="F597" t="str">
            <v>3216022608980012</v>
          </cell>
          <cell r="J597">
            <v>1871791.9075144508</v>
          </cell>
          <cell r="L597">
            <v>0</v>
          </cell>
        </row>
        <row r="598">
          <cell r="F598" t="str">
            <v>3213261111860007</v>
          </cell>
          <cell r="J598">
            <v>1559826.5895953756</v>
          </cell>
          <cell r="L598">
            <v>0</v>
          </cell>
        </row>
        <row r="599">
          <cell r="F599" t="str">
            <v>3207150505810003</v>
          </cell>
          <cell r="J599">
            <v>2370936.4161849711</v>
          </cell>
          <cell r="L599">
            <v>0</v>
          </cell>
        </row>
        <row r="600">
          <cell r="F600" t="str">
            <v>3216011311940001</v>
          </cell>
          <cell r="J600">
            <v>1965381.5028901733</v>
          </cell>
          <cell r="L600">
            <v>0</v>
          </cell>
        </row>
        <row r="601">
          <cell r="F601" t="str">
            <v>3175082310850001</v>
          </cell>
          <cell r="J601">
            <v>187179.19075144507</v>
          </cell>
          <cell r="L601">
            <v>215880</v>
          </cell>
        </row>
        <row r="602">
          <cell r="F602" t="str">
            <v>3174081106750001</v>
          </cell>
          <cell r="J602">
            <v>280768.78612716764</v>
          </cell>
          <cell r="L602">
            <v>0</v>
          </cell>
        </row>
        <row r="603">
          <cell r="F603" t="str">
            <v>3275040710830019</v>
          </cell>
          <cell r="J603">
            <v>623930.63583815028</v>
          </cell>
          <cell r="L603">
            <v>0</v>
          </cell>
        </row>
        <row r="604">
          <cell r="F604" t="str">
            <v>3175021904770002</v>
          </cell>
          <cell r="J604">
            <v>405554.91329479765</v>
          </cell>
          <cell r="L604">
            <v>215880</v>
          </cell>
        </row>
        <row r="605">
          <cell r="F605" t="str">
            <v>3275022712860016</v>
          </cell>
          <cell r="J605">
            <v>1684612.7167630058</v>
          </cell>
          <cell r="L605">
            <v>0</v>
          </cell>
        </row>
        <row r="606">
          <cell r="F606" t="str">
            <v>5319010905950003</v>
          </cell>
          <cell r="J606">
            <v>811109.82658959529</v>
          </cell>
          <cell r="L606">
            <v>0</v>
          </cell>
        </row>
        <row r="607">
          <cell r="F607" t="str">
            <v>3172041008721001</v>
          </cell>
          <cell r="J607">
            <v>93589.595375722536</v>
          </cell>
          <cell r="L607">
            <v>0</v>
          </cell>
        </row>
        <row r="608">
          <cell r="F608" t="str">
            <v>3175071308850016</v>
          </cell>
          <cell r="J608">
            <v>187179.19075144507</v>
          </cell>
          <cell r="L608">
            <v>0</v>
          </cell>
        </row>
        <row r="609">
          <cell r="F609" t="str">
            <v>3175102009870004</v>
          </cell>
          <cell r="J609">
            <v>0</v>
          </cell>
          <cell r="L609">
            <v>0</v>
          </cell>
        </row>
        <row r="610">
          <cell r="F610" t="str">
            <v>3276050605790008</v>
          </cell>
          <cell r="J610">
            <v>0</v>
          </cell>
          <cell r="L610">
            <v>0</v>
          </cell>
        </row>
        <row r="611">
          <cell r="F611" t="str">
            <v>3175060304890009</v>
          </cell>
          <cell r="J611">
            <v>0</v>
          </cell>
          <cell r="L611">
            <v>0</v>
          </cell>
        </row>
        <row r="612">
          <cell r="F612" t="str">
            <v>3175057008980004</v>
          </cell>
          <cell r="J612">
            <v>0</v>
          </cell>
          <cell r="L612">
            <v>0</v>
          </cell>
        </row>
        <row r="613">
          <cell r="F613" t="str">
            <v>3175091903970003</v>
          </cell>
          <cell r="J613">
            <v>0</v>
          </cell>
          <cell r="L613">
            <v>0</v>
          </cell>
        </row>
        <row r="614">
          <cell r="F614" t="str">
            <v>3175022610800003</v>
          </cell>
          <cell r="J614">
            <v>0</v>
          </cell>
          <cell r="L614">
            <v>0</v>
          </cell>
        </row>
        <row r="615">
          <cell r="F615" t="str">
            <v>3175021901770002</v>
          </cell>
          <cell r="J615">
            <v>0</v>
          </cell>
          <cell r="L615">
            <v>0</v>
          </cell>
        </row>
        <row r="616">
          <cell r="F616" t="str">
            <v>3172042602900002</v>
          </cell>
          <cell r="J616">
            <v>0</v>
          </cell>
          <cell r="L616">
            <v>0</v>
          </cell>
        </row>
        <row r="617">
          <cell r="F617" t="str">
            <v>3172030407830008</v>
          </cell>
          <cell r="J617">
            <v>0</v>
          </cell>
          <cell r="L617">
            <v>0</v>
          </cell>
        </row>
        <row r="618">
          <cell r="F618" t="str">
            <v>3172041909961004</v>
          </cell>
          <cell r="J618">
            <v>0</v>
          </cell>
          <cell r="L618">
            <v>0</v>
          </cell>
        </row>
        <row r="619">
          <cell r="F619" t="str">
            <v>3211112303890004</v>
          </cell>
          <cell r="J619">
            <v>0</v>
          </cell>
          <cell r="L619">
            <v>0</v>
          </cell>
        </row>
        <row r="620">
          <cell r="F620" t="str">
            <v>3273022006990002</v>
          </cell>
          <cell r="J620">
            <v>0</v>
          </cell>
          <cell r="L620">
            <v>0</v>
          </cell>
        </row>
        <row r="621">
          <cell r="F621" t="str">
            <v>3204250301900009</v>
          </cell>
          <cell r="J621">
            <v>0</v>
          </cell>
          <cell r="L621">
            <v>0</v>
          </cell>
        </row>
        <row r="622">
          <cell r="F622" t="str">
            <v>3211150809860008</v>
          </cell>
          <cell r="J622">
            <v>0</v>
          </cell>
          <cell r="L622">
            <v>0</v>
          </cell>
        </row>
        <row r="623">
          <cell r="F623" t="str">
            <v>3211142508960002</v>
          </cell>
          <cell r="J623">
            <v>0</v>
          </cell>
          <cell r="L623">
            <v>0</v>
          </cell>
        </row>
        <row r="624">
          <cell r="F624" t="str">
            <v>3211140304980007</v>
          </cell>
          <cell r="J624">
            <v>0</v>
          </cell>
          <cell r="L624">
            <v>0</v>
          </cell>
        </row>
        <row r="625">
          <cell r="F625" t="str">
            <v>3204352106940002</v>
          </cell>
          <cell r="J625">
            <v>0</v>
          </cell>
          <cell r="L625">
            <v>0</v>
          </cell>
        </row>
        <row r="626">
          <cell r="F626" t="str">
            <v>3211141303930012</v>
          </cell>
          <cell r="J626">
            <v>0</v>
          </cell>
          <cell r="L626">
            <v>0</v>
          </cell>
        </row>
        <row r="627">
          <cell r="F627" t="str">
            <v>3205132304940001</v>
          </cell>
          <cell r="J627">
            <v>0</v>
          </cell>
          <cell r="L627">
            <v>0</v>
          </cell>
        </row>
        <row r="628">
          <cell r="F628" t="str">
            <v>3211110507940001</v>
          </cell>
          <cell r="J628">
            <v>0</v>
          </cell>
          <cell r="L628">
            <v>0</v>
          </cell>
        </row>
        <row r="629">
          <cell r="F629" t="str">
            <v>3211140608920012</v>
          </cell>
          <cell r="J629">
            <v>0</v>
          </cell>
          <cell r="L629">
            <v>0</v>
          </cell>
        </row>
        <row r="630">
          <cell r="F630" t="str">
            <v>3211142909900002</v>
          </cell>
          <cell r="J630">
            <v>0</v>
          </cell>
          <cell r="L630">
            <v>0</v>
          </cell>
        </row>
        <row r="631">
          <cell r="F631" t="str">
            <v>3211111111960004</v>
          </cell>
          <cell r="J631">
            <v>0</v>
          </cell>
          <cell r="L631">
            <v>0</v>
          </cell>
        </row>
        <row r="632">
          <cell r="F632" t="str">
            <v>3205101712960002</v>
          </cell>
          <cell r="J632">
            <v>0</v>
          </cell>
          <cell r="L632">
            <v>0</v>
          </cell>
        </row>
        <row r="633">
          <cell r="F633" t="str">
            <v>3273020906870004</v>
          </cell>
          <cell r="J633">
            <v>0</v>
          </cell>
          <cell r="L633">
            <v>0</v>
          </cell>
        </row>
        <row r="634">
          <cell r="F634" t="str">
            <v>3302191204880001</v>
          </cell>
          <cell r="J634">
            <v>0</v>
          </cell>
          <cell r="L634">
            <v>0</v>
          </cell>
        </row>
        <row r="635">
          <cell r="F635" t="str">
            <v>3211112709040003</v>
          </cell>
          <cell r="J635">
            <v>0</v>
          </cell>
          <cell r="L635">
            <v>0</v>
          </cell>
        </row>
        <row r="636">
          <cell r="F636" t="str">
            <v>3211141404950013</v>
          </cell>
          <cell r="J636">
            <v>0</v>
          </cell>
          <cell r="L636">
            <v>0</v>
          </cell>
        </row>
        <row r="637">
          <cell r="F637" t="str">
            <v>3211140910940006</v>
          </cell>
          <cell r="J637">
            <v>0</v>
          </cell>
          <cell r="L637">
            <v>0</v>
          </cell>
        </row>
        <row r="638">
          <cell r="F638" t="str">
            <v>3273021703760001</v>
          </cell>
          <cell r="J638">
            <v>0</v>
          </cell>
          <cell r="L638">
            <v>0</v>
          </cell>
        </row>
        <row r="639">
          <cell r="F639" t="str">
            <v>3278043001730003</v>
          </cell>
          <cell r="J639">
            <v>0</v>
          </cell>
          <cell r="L639">
            <v>0</v>
          </cell>
        </row>
        <row r="640">
          <cell r="F640" t="str">
            <v>3204251302920002</v>
          </cell>
          <cell r="J640">
            <v>0</v>
          </cell>
          <cell r="L640">
            <v>0</v>
          </cell>
        </row>
        <row r="641">
          <cell r="F641" t="str">
            <v>3211142102000010</v>
          </cell>
          <cell r="J641">
            <v>0</v>
          </cell>
          <cell r="L641">
            <v>0</v>
          </cell>
        </row>
        <row r="642">
          <cell r="F642" t="str">
            <v>3175046709920004</v>
          </cell>
          <cell r="J642">
            <v>0</v>
          </cell>
          <cell r="L642">
            <v>0</v>
          </cell>
        </row>
        <row r="643">
          <cell r="F643" t="str">
            <v>1271071902860001</v>
          </cell>
          <cell r="J643">
            <v>0</v>
          </cell>
          <cell r="L643">
            <v>0</v>
          </cell>
        </row>
        <row r="644">
          <cell r="F644" t="str">
            <v>3172053105061003</v>
          </cell>
          <cell r="J644">
            <v>811109.82658959529</v>
          </cell>
          <cell r="L644">
            <v>0</v>
          </cell>
        </row>
        <row r="645">
          <cell r="F645" t="str">
            <v>1572020508030002</v>
          </cell>
          <cell r="J645">
            <v>0</v>
          </cell>
          <cell r="L645">
            <v>0</v>
          </cell>
        </row>
        <row r="646">
          <cell r="F646" t="str">
            <v>3175032111931002</v>
          </cell>
          <cell r="J646">
            <v>0</v>
          </cell>
          <cell r="L646">
            <v>0</v>
          </cell>
        </row>
        <row r="647">
          <cell r="F647" t="str">
            <v>3175071201990008</v>
          </cell>
          <cell r="J647">
            <v>0</v>
          </cell>
          <cell r="L647">
            <v>0</v>
          </cell>
        </row>
        <row r="648">
          <cell r="F648" t="str">
            <v>3671132702720002</v>
          </cell>
          <cell r="J648">
            <v>0</v>
          </cell>
          <cell r="L648">
            <v>0</v>
          </cell>
        </row>
        <row r="649">
          <cell r="F649" t="str">
            <v>3172037008830005</v>
          </cell>
          <cell r="J649">
            <v>0</v>
          </cell>
          <cell r="L649">
            <v>0</v>
          </cell>
        </row>
        <row r="650">
          <cell r="F650" t="str">
            <v>3578252302020001</v>
          </cell>
          <cell r="J650">
            <v>0</v>
          </cell>
          <cell r="L650">
            <v>0</v>
          </cell>
        </row>
        <row r="651">
          <cell r="F651" t="str">
            <v>3578060406810007</v>
          </cell>
          <cell r="J651">
            <v>28682.080924855491</v>
          </cell>
          <cell r="L651">
            <v>0</v>
          </cell>
        </row>
        <row r="652">
          <cell r="F652" t="str">
            <v>3579022708940001</v>
          </cell>
          <cell r="J652">
            <v>28682.080924855491</v>
          </cell>
          <cell r="L652">
            <v>0</v>
          </cell>
        </row>
        <row r="653">
          <cell r="F653" t="str">
            <v>3578040703060003</v>
          </cell>
          <cell r="J653">
            <v>0</v>
          </cell>
          <cell r="L653">
            <v>0</v>
          </cell>
        </row>
        <row r="654">
          <cell r="F654" t="str">
            <v>3578225501990001</v>
          </cell>
          <cell r="J654">
            <v>0</v>
          </cell>
          <cell r="L654">
            <v>0</v>
          </cell>
        </row>
        <row r="655">
          <cell r="F655" t="str">
            <v>7102126912000001</v>
          </cell>
          <cell r="J655">
            <v>0</v>
          </cell>
          <cell r="L655">
            <v>0</v>
          </cell>
        </row>
        <row r="656">
          <cell r="F656" t="str">
            <v>5101056410770001</v>
          </cell>
          <cell r="J656">
            <v>0</v>
          </cell>
          <cell r="L656">
            <v>0</v>
          </cell>
        </row>
        <row r="657">
          <cell r="F657" t="str">
            <v>1408121403010002</v>
          </cell>
          <cell r="J657">
            <v>0</v>
          </cell>
          <cell r="L657">
            <v>0</v>
          </cell>
        </row>
        <row r="658">
          <cell r="F658" t="str">
            <v>3275022005050001</v>
          </cell>
          <cell r="J658">
            <v>0</v>
          </cell>
          <cell r="L658">
            <v>0</v>
          </cell>
        </row>
        <row r="659">
          <cell r="F659" t="str">
            <v>7171021506070005</v>
          </cell>
          <cell r="J659">
            <v>198988.4393063584</v>
          </cell>
          <cell r="L659">
            <v>0</v>
          </cell>
        </row>
        <row r="660">
          <cell r="F660" t="str">
            <v>3174062812970003</v>
          </cell>
          <cell r="J660">
            <v>287572.25433526014</v>
          </cell>
          <cell r="L660">
            <v>0</v>
          </cell>
        </row>
        <row r="661">
          <cell r="F661" t="str">
            <v>3507212908940002</v>
          </cell>
          <cell r="J661">
            <v>0</v>
          </cell>
          <cell r="L661">
            <v>0</v>
          </cell>
        </row>
        <row r="662">
          <cell r="F662" t="str">
            <v>3211141506940005</v>
          </cell>
          <cell r="J662">
            <v>0</v>
          </cell>
          <cell r="L662">
            <v>0</v>
          </cell>
        </row>
        <row r="663">
          <cell r="F663" t="str">
            <v>3211142009720004</v>
          </cell>
          <cell r="J663">
            <v>0</v>
          </cell>
          <cell r="L663">
            <v>0</v>
          </cell>
        </row>
        <row r="664">
          <cell r="F664" t="str">
            <v>3216011704890008</v>
          </cell>
          <cell r="J664">
            <v>0</v>
          </cell>
          <cell r="L664">
            <v>0</v>
          </cell>
        </row>
        <row r="665">
          <cell r="F665" t="str">
            <v>3175021104990003</v>
          </cell>
          <cell r="J665">
            <v>0</v>
          </cell>
          <cell r="L665">
            <v>0</v>
          </cell>
        </row>
        <row r="666">
          <cell r="F666" t="str">
            <v>3172042507850004</v>
          </cell>
          <cell r="J666">
            <v>0</v>
          </cell>
          <cell r="L666">
            <v>0</v>
          </cell>
        </row>
        <row r="667">
          <cell r="F667" t="str">
            <v>3172041610780009</v>
          </cell>
          <cell r="J667">
            <v>0</v>
          </cell>
          <cell r="L667">
            <v>0</v>
          </cell>
        </row>
        <row r="668">
          <cell r="F668" t="str">
            <v>3172040104850008</v>
          </cell>
          <cell r="J668">
            <v>0</v>
          </cell>
          <cell r="L668">
            <v>0</v>
          </cell>
        </row>
        <row r="669">
          <cell r="F669" t="str">
            <v>3275021701030027</v>
          </cell>
          <cell r="J669">
            <v>0</v>
          </cell>
          <cell r="L669">
            <v>0</v>
          </cell>
        </row>
        <row r="670">
          <cell r="F670" t="str">
            <v>3329061910930002</v>
          </cell>
          <cell r="J670">
            <v>0</v>
          </cell>
          <cell r="L670">
            <v>0</v>
          </cell>
        </row>
        <row r="671">
          <cell r="F671" t="str">
            <v>3173070110981001</v>
          </cell>
          <cell r="J671">
            <v>0</v>
          </cell>
          <cell r="L671">
            <v>0</v>
          </cell>
        </row>
        <row r="672">
          <cell r="F672" t="str">
            <v>3175062404840039</v>
          </cell>
          <cell r="J672">
            <v>0</v>
          </cell>
          <cell r="L672">
            <v>0</v>
          </cell>
        </row>
        <row r="673">
          <cell r="F673" t="str">
            <v>3301083003800002</v>
          </cell>
          <cell r="J673">
            <v>0</v>
          </cell>
          <cell r="L673">
            <v>0</v>
          </cell>
        </row>
        <row r="674">
          <cell r="F674" t="str">
            <v>3172042103810008</v>
          </cell>
          <cell r="J674">
            <v>0</v>
          </cell>
          <cell r="L674">
            <v>0</v>
          </cell>
        </row>
        <row r="675">
          <cell r="F675" t="str">
            <v>3171062009790005</v>
          </cell>
          <cell r="J675">
            <v>0</v>
          </cell>
          <cell r="L675">
            <v>0</v>
          </cell>
        </row>
        <row r="676">
          <cell r="F676" t="str">
            <v>3275061405800024</v>
          </cell>
          <cell r="J676">
            <v>0</v>
          </cell>
          <cell r="L676">
            <v>0</v>
          </cell>
        </row>
        <row r="677">
          <cell r="F677" t="str">
            <v>3175060611900019</v>
          </cell>
          <cell r="J677">
            <v>0</v>
          </cell>
          <cell r="L677">
            <v>0</v>
          </cell>
        </row>
        <row r="678">
          <cell r="F678" t="str">
            <v>3671061003050010</v>
          </cell>
          <cell r="J678">
            <v>0</v>
          </cell>
          <cell r="L678">
            <v>0</v>
          </cell>
        </row>
        <row r="679">
          <cell r="F679" t="str">
            <v>3172041709770013</v>
          </cell>
          <cell r="J679">
            <v>0</v>
          </cell>
          <cell r="L679">
            <v>0</v>
          </cell>
        </row>
        <row r="680">
          <cell r="F680" t="str">
            <v>3172033112790030</v>
          </cell>
          <cell r="J680">
            <v>0</v>
          </cell>
          <cell r="L680">
            <v>0</v>
          </cell>
        </row>
        <row r="681">
          <cell r="F681" t="str">
            <v>3172040601820004</v>
          </cell>
          <cell r="J681">
            <v>0</v>
          </cell>
          <cell r="L681">
            <v>0</v>
          </cell>
        </row>
        <row r="682">
          <cell r="F682" t="str">
            <v>3175033008830001</v>
          </cell>
          <cell r="J682">
            <v>0</v>
          </cell>
          <cell r="L682">
            <v>0</v>
          </cell>
        </row>
        <row r="683">
          <cell r="F683" t="str">
            <v>3175100907900001</v>
          </cell>
          <cell r="J683">
            <v>0</v>
          </cell>
          <cell r="L683">
            <v>0</v>
          </cell>
        </row>
        <row r="684">
          <cell r="F684" t="str">
            <v>3172041803951005</v>
          </cell>
          <cell r="J684">
            <v>0</v>
          </cell>
          <cell r="L684">
            <v>0</v>
          </cell>
        </row>
        <row r="685">
          <cell r="F685" t="str">
            <v>3172040511830007</v>
          </cell>
          <cell r="J685">
            <v>0</v>
          </cell>
          <cell r="L685">
            <v>0</v>
          </cell>
        </row>
        <row r="686">
          <cell r="F686" t="str">
            <v>3671061011800003</v>
          </cell>
          <cell r="J686">
            <v>0</v>
          </cell>
          <cell r="L686">
            <v>0</v>
          </cell>
        </row>
        <row r="687">
          <cell r="F687" t="str">
            <v>3174041910790009</v>
          </cell>
          <cell r="J687">
            <v>0</v>
          </cell>
          <cell r="L687">
            <v>0</v>
          </cell>
        </row>
        <row r="688">
          <cell r="F688" t="str">
            <v>3404102503020003</v>
          </cell>
          <cell r="J688">
            <v>307052.02312138729</v>
          </cell>
          <cell r="L688">
            <v>0</v>
          </cell>
        </row>
        <row r="689">
          <cell r="F689" t="str">
            <v>3404102308030001</v>
          </cell>
          <cell r="J689">
            <v>253317.91907514451</v>
          </cell>
          <cell r="L689">
            <v>106240</v>
          </cell>
        </row>
        <row r="690">
          <cell r="F690" t="str">
            <v>3404071204040003</v>
          </cell>
          <cell r="J690">
            <v>253317.91907514451</v>
          </cell>
          <cell r="L690">
            <v>0</v>
          </cell>
        </row>
        <row r="691">
          <cell r="F691" t="str">
            <v>3403121311040001</v>
          </cell>
          <cell r="J691">
            <v>92115.606936416181</v>
          </cell>
          <cell r="L691">
            <v>106240</v>
          </cell>
        </row>
        <row r="692">
          <cell r="F692" t="str">
            <v>3404112009030002</v>
          </cell>
          <cell r="J692">
            <v>307052.02312138729</v>
          </cell>
          <cell r="L692">
            <v>106240</v>
          </cell>
        </row>
        <row r="693">
          <cell r="F693" t="str">
            <v>1802092110970001</v>
          </cell>
          <cell r="J693">
            <v>0</v>
          </cell>
          <cell r="L693">
            <v>0</v>
          </cell>
        </row>
        <row r="694">
          <cell r="F694" t="str">
            <v>6171015710990006</v>
          </cell>
          <cell r="J694">
            <v>0</v>
          </cell>
          <cell r="L694">
            <v>0</v>
          </cell>
        </row>
        <row r="695">
          <cell r="F695" t="str">
            <v>1571014502030021</v>
          </cell>
          <cell r="J695">
            <v>0</v>
          </cell>
          <cell r="L695">
            <v>0</v>
          </cell>
        </row>
        <row r="696">
          <cell r="F696" t="str">
            <v>3404170304050001</v>
          </cell>
          <cell r="J696">
            <v>245641.61849710983</v>
          </cell>
          <cell r="L696">
            <v>0</v>
          </cell>
        </row>
        <row r="697">
          <cell r="F697" t="str">
            <v>6304050406050002</v>
          </cell>
          <cell r="J697">
            <v>0</v>
          </cell>
          <cell r="L697">
            <v>0</v>
          </cell>
        </row>
        <row r="698">
          <cell r="F698" t="str">
            <v>6371050506040001</v>
          </cell>
          <cell r="J698">
            <v>0</v>
          </cell>
          <cell r="L698">
            <v>0</v>
          </cell>
        </row>
        <row r="699">
          <cell r="F699" t="str">
            <v>3175091709010007</v>
          </cell>
          <cell r="J699">
            <v>0</v>
          </cell>
          <cell r="L699">
            <v>0</v>
          </cell>
        </row>
        <row r="700">
          <cell r="F700" t="str">
            <v>3404090404980001</v>
          </cell>
          <cell r="J700">
            <v>199583.81502890174</v>
          </cell>
          <cell r="L700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F2" t="str">
            <v>3404115702920001</v>
          </cell>
          <cell r="J2">
            <v>0</v>
          </cell>
        </row>
        <row r="3">
          <cell r="F3" t="str">
            <v>3402094808080004</v>
          </cell>
          <cell r="J3">
            <v>0</v>
          </cell>
        </row>
        <row r="4">
          <cell r="F4" t="str">
            <v>3307046002000004</v>
          </cell>
          <cell r="J4">
            <v>0</v>
          </cell>
        </row>
        <row r="5">
          <cell r="F5" t="str">
            <v>3209052404930002</v>
          </cell>
          <cell r="J5">
            <v>0</v>
          </cell>
        </row>
        <row r="6">
          <cell r="F6" t="str">
            <v>3404024410930003</v>
          </cell>
          <cell r="J6">
            <v>0</v>
          </cell>
        </row>
        <row r="7">
          <cell r="F7" t="str">
            <v>3372056712840006</v>
          </cell>
          <cell r="J7">
            <v>0</v>
          </cell>
        </row>
        <row r="8">
          <cell r="F8" t="str">
            <v>3313132204880001</v>
          </cell>
          <cell r="J8">
            <v>0</v>
          </cell>
        </row>
        <row r="9">
          <cell r="F9" t="str">
            <v>3372051610840004</v>
          </cell>
          <cell r="J9">
            <v>0</v>
          </cell>
        </row>
        <row r="10">
          <cell r="F10" t="str">
            <v>3302194401980001</v>
          </cell>
          <cell r="J10">
            <v>0</v>
          </cell>
        </row>
        <row r="11">
          <cell r="F11" t="str">
            <v>3320025404000006</v>
          </cell>
          <cell r="J11">
            <v>0</v>
          </cell>
        </row>
        <row r="12">
          <cell r="F12" t="str">
            <v>3172024905940001</v>
          </cell>
          <cell r="J12">
            <v>0</v>
          </cell>
        </row>
        <row r="13">
          <cell r="F13" t="str">
            <v>3202120510850001</v>
          </cell>
          <cell r="J13">
            <v>0</v>
          </cell>
        </row>
        <row r="14">
          <cell r="F14" t="str">
            <v>3175031507830019</v>
          </cell>
          <cell r="J14">
            <v>0</v>
          </cell>
        </row>
        <row r="15">
          <cell r="F15" t="str">
            <v>3529080205940003</v>
          </cell>
          <cell r="J15">
            <v>0</v>
          </cell>
        </row>
        <row r="16">
          <cell r="F16" t="str">
            <v>3302271008970002</v>
          </cell>
          <cell r="J16">
            <v>0</v>
          </cell>
        </row>
        <row r="17">
          <cell r="F17" t="str">
            <v>3321011002820008</v>
          </cell>
          <cell r="J17">
            <v>0</v>
          </cell>
        </row>
        <row r="18">
          <cell r="F18" t="str">
            <v>3321070306890001</v>
          </cell>
          <cell r="J18">
            <v>0</v>
          </cell>
        </row>
        <row r="19">
          <cell r="F19" t="str">
            <v>3374131304870002</v>
          </cell>
          <cell r="J19">
            <v>0</v>
          </cell>
        </row>
        <row r="20">
          <cell r="F20" t="str">
            <v>3324092804870004</v>
          </cell>
          <cell r="J20">
            <v>0</v>
          </cell>
        </row>
        <row r="21">
          <cell r="F21" t="str">
            <v>3309072901950001</v>
          </cell>
          <cell r="J21">
            <v>0</v>
          </cell>
        </row>
        <row r="22">
          <cell r="F22" t="str">
            <v>3311072511940003</v>
          </cell>
          <cell r="J22">
            <v>0</v>
          </cell>
        </row>
        <row r="23">
          <cell r="F23" t="str">
            <v>3309052505959004</v>
          </cell>
          <cell r="J23">
            <v>0</v>
          </cell>
        </row>
        <row r="24">
          <cell r="F24" t="str">
            <v>3310162706940004</v>
          </cell>
          <cell r="J24">
            <v>0</v>
          </cell>
        </row>
        <row r="25">
          <cell r="F25" t="str">
            <v>3404161005020002</v>
          </cell>
          <cell r="J25">
            <v>0</v>
          </cell>
        </row>
        <row r="26">
          <cell r="F26" t="str">
            <v>3404144309950002</v>
          </cell>
          <cell r="J26">
            <v>0</v>
          </cell>
        </row>
        <row r="27">
          <cell r="F27" t="str">
            <v>3404051704970001</v>
          </cell>
          <cell r="J27">
            <v>0</v>
          </cell>
        </row>
        <row r="28">
          <cell r="F28" t="str">
            <v>3404052606900002</v>
          </cell>
          <cell r="J28">
            <v>0</v>
          </cell>
        </row>
        <row r="29">
          <cell r="F29" t="str">
            <v>3310011807030001</v>
          </cell>
          <cell r="J29">
            <v>0</v>
          </cell>
        </row>
        <row r="30">
          <cell r="F30" t="str">
            <v>3404022506030006</v>
          </cell>
          <cell r="J30">
            <v>0</v>
          </cell>
        </row>
        <row r="31">
          <cell r="F31" t="str">
            <v>3404131706020001</v>
          </cell>
          <cell r="J31">
            <v>0</v>
          </cell>
        </row>
        <row r="32">
          <cell r="F32" t="str">
            <v>3674061610990010</v>
          </cell>
          <cell r="J32">
            <v>0</v>
          </cell>
        </row>
        <row r="33">
          <cell r="F33" t="str">
            <v>3603171508010006</v>
          </cell>
          <cell r="J33">
            <v>0</v>
          </cell>
        </row>
        <row r="34">
          <cell r="F34" t="str">
            <v>3172011110030004</v>
          </cell>
          <cell r="J34">
            <v>0</v>
          </cell>
        </row>
        <row r="35">
          <cell r="F35" t="str">
            <v>3171080707670001</v>
          </cell>
          <cell r="J35">
            <v>0</v>
          </cell>
        </row>
        <row r="36">
          <cell r="F36" t="str">
            <v>3174082603840001</v>
          </cell>
          <cell r="J36">
            <v>0</v>
          </cell>
        </row>
        <row r="37">
          <cell r="F37" t="str">
            <v>3216061911710011</v>
          </cell>
          <cell r="J37">
            <v>0</v>
          </cell>
        </row>
        <row r="38">
          <cell r="F38" t="str">
            <v>3173081601780004</v>
          </cell>
          <cell r="J38">
            <v>0</v>
          </cell>
        </row>
        <row r="39">
          <cell r="F39" t="str">
            <v>3402120810740001</v>
          </cell>
          <cell r="J39">
            <v>0</v>
          </cell>
        </row>
        <row r="40">
          <cell r="F40" t="str">
            <v>3402121008840006</v>
          </cell>
          <cell r="J40">
            <v>0</v>
          </cell>
        </row>
        <row r="41">
          <cell r="F41" t="str">
            <v>3320021909900003</v>
          </cell>
          <cell r="J41">
            <v>0</v>
          </cell>
        </row>
        <row r="42">
          <cell r="F42" t="str">
            <v>3276081604820001</v>
          </cell>
          <cell r="J42">
            <v>0</v>
          </cell>
        </row>
        <row r="43">
          <cell r="F43" t="str">
            <v>3276012105020001</v>
          </cell>
          <cell r="J43">
            <v>0</v>
          </cell>
        </row>
        <row r="44">
          <cell r="F44" t="str">
            <v>3206282211990004</v>
          </cell>
          <cell r="J44">
            <v>0</v>
          </cell>
        </row>
        <row r="45">
          <cell r="F45" t="str">
            <v>3202051607940002</v>
          </cell>
          <cell r="J45">
            <v>0</v>
          </cell>
        </row>
        <row r="46">
          <cell r="F46" t="str">
            <v>1371103001900005</v>
          </cell>
          <cell r="J46">
            <v>0</v>
          </cell>
        </row>
        <row r="47">
          <cell r="F47" t="str">
            <v>3276040707800001</v>
          </cell>
          <cell r="J47">
            <v>0</v>
          </cell>
        </row>
        <row r="48">
          <cell r="F48" t="str">
            <v>3201390806890006</v>
          </cell>
          <cell r="J48">
            <v>0</v>
          </cell>
        </row>
        <row r="49">
          <cell r="F49" t="str">
            <v>8101140309900006</v>
          </cell>
          <cell r="J49">
            <v>0</v>
          </cell>
        </row>
        <row r="50">
          <cell r="F50" t="str">
            <v>9106022711000002</v>
          </cell>
          <cell r="J50">
            <v>0</v>
          </cell>
        </row>
        <row r="51">
          <cell r="F51" t="str">
            <v>8101090801000004</v>
          </cell>
          <cell r="J51">
            <v>0</v>
          </cell>
        </row>
        <row r="52">
          <cell r="F52" t="str">
            <v>5301100501990001</v>
          </cell>
          <cell r="J52">
            <v>0</v>
          </cell>
        </row>
        <row r="53">
          <cell r="F53" t="str">
            <v>9171032203980003</v>
          </cell>
          <cell r="J53">
            <v>0</v>
          </cell>
        </row>
        <row r="54">
          <cell r="F54" t="str">
            <v>5371041312910006</v>
          </cell>
          <cell r="J54">
            <v>0</v>
          </cell>
        </row>
        <row r="55">
          <cell r="F55" t="str">
            <v>5371040310860005</v>
          </cell>
          <cell r="J55">
            <v>0</v>
          </cell>
        </row>
        <row r="56">
          <cell r="F56" t="str">
            <v>5301052009930002</v>
          </cell>
          <cell r="J56">
            <v>0</v>
          </cell>
        </row>
        <row r="57">
          <cell r="F57" t="str">
            <v>5271031702910004</v>
          </cell>
          <cell r="J57">
            <v>0</v>
          </cell>
        </row>
        <row r="58">
          <cell r="F58" t="str">
            <v>5202050605000002</v>
          </cell>
          <cell r="J58">
            <v>0</v>
          </cell>
        </row>
        <row r="59">
          <cell r="F59" t="str">
            <v>5271012904020001</v>
          </cell>
          <cell r="J59">
            <v>0</v>
          </cell>
        </row>
        <row r="60">
          <cell r="F60" t="str">
            <v>5271051310920002</v>
          </cell>
          <cell r="J60">
            <v>0</v>
          </cell>
        </row>
        <row r="61">
          <cell r="F61" t="str">
            <v>5203040107810503</v>
          </cell>
          <cell r="J61">
            <v>0</v>
          </cell>
        </row>
        <row r="62">
          <cell r="F62" t="str">
            <v>5201021404990004</v>
          </cell>
          <cell r="J62">
            <v>0</v>
          </cell>
        </row>
        <row r="63">
          <cell r="F63" t="str">
            <v>5307100411850004</v>
          </cell>
          <cell r="J63">
            <v>0</v>
          </cell>
        </row>
        <row r="64">
          <cell r="F64" t="str">
            <v>5307050909890004</v>
          </cell>
          <cell r="J64">
            <v>0</v>
          </cell>
        </row>
        <row r="65">
          <cell r="F65" t="str">
            <v>5307151009810001</v>
          </cell>
          <cell r="J65">
            <v>0</v>
          </cell>
        </row>
        <row r="66">
          <cell r="F66" t="str">
            <v>5307072003810002</v>
          </cell>
          <cell r="J66">
            <v>0</v>
          </cell>
        </row>
        <row r="67">
          <cell r="F67" t="str">
            <v>7306012002000002</v>
          </cell>
          <cell r="J67">
            <v>0</v>
          </cell>
        </row>
        <row r="68">
          <cell r="F68" t="str">
            <v>5371012802000003</v>
          </cell>
          <cell r="J68">
            <v>0</v>
          </cell>
        </row>
        <row r="69">
          <cell r="F69" t="str">
            <v>7306162108950003</v>
          </cell>
          <cell r="J69">
            <v>0</v>
          </cell>
        </row>
        <row r="70">
          <cell r="F70" t="str">
            <v>7371130205820007</v>
          </cell>
          <cell r="J70">
            <v>0</v>
          </cell>
        </row>
        <row r="71">
          <cell r="F71" t="str">
            <v>3275092306910007</v>
          </cell>
          <cell r="J71">
            <v>0</v>
          </cell>
        </row>
        <row r="72">
          <cell r="F72" t="str">
            <v>1801130609980009</v>
          </cell>
          <cell r="J72">
            <v>0</v>
          </cell>
        </row>
        <row r="73">
          <cell r="F73" t="str">
            <v>3174090804790002</v>
          </cell>
          <cell r="J73">
            <v>0</v>
          </cell>
        </row>
        <row r="74">
          <cell r="F74" t="str">
            <v>3520111407940001</v>
          </cell>
          <cell r="J74">
            <v>436751.44508670521</v>
          </cell>
        </row>
        <row r="75">
          <cell r="F75" t="str">
            <v>3172027003860006</v>
          </cell>
          <cell r="J75">
            <v>0</v>
          </cell>
        </row>
        <row r="76">
          <cell r="F76" t="str">
            <v>3175072105790001</v>
          </cell>
          <cell r="J76">
            <v>0</v>
          </cell>
        </row>
        <row r="77">
          <cell r="F77" t="str">
            <v>3310251601890001</v>
          </cell>
          <cell r="J77">
            <v>218375.7225433526</v>
          </cell>
        </row>
        <row r="78">
          <cell r="F78" t="str">
            <v>3404111108800002</v>
          </cell>
          <cell r="J78">
            <v>0</v>
          </cell>
        </row>
        <row r="79">
          <cell r="F79" t="str">
            <v>3671074306920001</v>
          </cell>
          <cell r="J79">
            <v>0</v>
          </cell>
        </row>
        <row r="80">
          <cell r="F80" t="str">
            <v>3175100412820005</v>
          </cell>
          <cell r="J80">
            <v>0</v>
          </cell>
        </row>
        <row r="81">
          <cell r="F81" t="str">
            <v>1301040607840003</v>
          </cell>
          <cell r="J81">
            <v>0</v>
          </cell>
        </row>
        <row r="82">
          <cell r="F82" t="str">
            <v>3175070608830004</v>
          </cell>
          <cell r="J82">
            <v>218375.7225433526</v>
          </cell>
        </row>
        <row r="83">
          <cell r="F83" t="str">
            <v>3175103009910002</v>
          </cell>
          <cell r="J83">
            <v>218375.7225433526</v>
          </cell>
        </row>
        <row r="84">
          <cell r="F84" t="str">
            <v>3175011912900002</v>
          </cell>
          <cell r="J84">
            <v>436751.44508670521</v>
          </cell>
        </row>
        <row r="85">
          <cell r="F85" t="str">
            <v>7306071302820003</v>
          </cell>
          <cell r="J85">
            <v>0</v>
          </cell>
        </row>
        <row r="86">
          <cell r="F86" t="str">
            <v>8104061303950005</v>
          </cell>
          <cell r="J86">
            <v>0</v>
          </cell>
        </row>
        <row r="87">
          <cell r="F87" t="str">
            <v>8171021011860010</v>
          </cell>
          <cell r="J87">
            <v>0</v>
          </cell>
        </row>
        <row r="88">
          <cell r="F88" t="str">
            <v>8205180507920001</v>
          </cell>
          <cell r="J88">
            <v>0</v>
          </cell>
        </row>
        <row r="89">
          <cell r="F89" t="str">
            <v>6310032309010002</v>
          </cell>
          <cell r="J89">
            <v>0</v>
          </cell>
        </row>
        <row r="90">
          <cell r="F90" t="str">
            <v>6303040802030005</v>
          </cell>
          <cell r="J90">
            <v>0</v>
          </cell>
        </row>
        <row r="91">
          <cell r="F91" t="str">
            <v>6304050107060006</v>
          </cell>
          <cell r="J91">
            <v>0</v>
          </cell>
        </row>
        <row r="92">
          <cell r="F92" t="str">
            <v>6304055408850002</v>
          </cell>
          <cell r="J92">
            <v>0</v>
          </cell>
        </row>
        <row r="93">
          <cell r="F93" t="str">
            <v>3209391701920001</v>
          </cell>
          <cell r="J93">
            <v>0</v>
          </cell>
        </row>
        <row r="94">
          <cell r="F94" t="str">
            <v>3274012110900004</v>
          </cell>
          <cell r="J94">
            <v>0</v>
          </cell>
        </row>
        <row r="95">
          <cell r="F95" t="str">
            <v>3209131609940002</v>
          </cell>
          <cell r="J95">
            <v>0</v>
          </cell>
        </row>
        <row r="96">
          <cell r="F96" t="str">
            <v>3209182006980008</v>
          </cell>
          <cell r="J96">
            <v>0</v>
          </cell>
        </row>
        <row r="97">
          <cell r="F97" t="str">
            <v>3208141704950003</v>
          </cell>
          <cell r="J97">
            <v>0</v>
          </cell>
        </row>
        <row r="98">
          <cell r="F98" t="str">
            <v>3302181211890001</v>
          </cell>
          <cell r="J98">
            <v>0</v>
          </cell>
        </row>
        <row r="99">
          <cell r="F99" t="str">
            <v>3402172101950001</v>
          </cell>
          <cell r="J99">
            <v>0</v>
          </cell>
        </row>
        <row r="100">
          <cell r="F100" t="str">
            <v>1201101505000003</v>
          </cell>
          <cell r="J100">
            <v>0</v>
          </cell>
        </row>
        <row r="101">
          <cell r="F101" t="str">
            <v>2171021501939004</v>
          </cell>
          <cell r="J101">
            <v>0</v>
          </cell>
        </row>
        <row r="102">
          <cell r="F102" t="str">
            <v>1210182802040003</v>
          </cell>
          <cell r="J102">
            <v>0</v>
          </cell>
        </row>
        <row r="103">
          <cell r="F103" t="str">
            <v>1804041304960004</v>
          </cell>
          <cell r="J103">
            <v>0</v>
          </cell>
        </row>
        <row r="104">
          <cell r="F104" t="str">
            <v>1809050104990002</v>
          </cell>
          <cell r="J104">
            <v>0</v>
          </cell>
        </row>
        <row r="105">
          <cell r="F105" t="str">
            <v>1801051508930003</v>
          </cell>
          <cell r="J105">
            <v>0</v>
          </cell>
        </row>
        <row r="106">
          <cell r="F106" t="str">
            <v>1809011012020009</v>
          </cell>
          <cell r="J106">
            <v>0</v>
          </cell>
        </row>
        <row r="107">
          <cell r="F107" t="str">
            <v>1809020604950001</v>
          </cell>
          <cell r="J107">
            <v>0</v>
          </cell>
        </row>
        <row r="108">
          <cell r="F108" t="str">
            <v>1809012202790002</v>
          </cell>
          <cell r="J108">
            <v>0</v>
          </cell>
        </row>
        <row r="109">
          <cell r="F109" t="str">
            <v>1311021112930001</v>
          </cell>
          <cell r="J109">
            <v>0</v>
          </cell>
        </row>
        <row r="110">
          <cell r="F110" t="str">
            <v>1305041503030001</v>
          </cell>
          <cell r="J110">
            <v>0</v>
          </cell>
        </row>
        <row r="111">
          <cell r="F111" t="str">
            <v>1301060305030003</v>
          </cell>
          <cell r="J111">
            <v>0</v>
          </cell>
        </row>
        <row r="112">
          <cell r="F112" t="str">
            <v>1371111702930004</v>
          </cell>
          <cell r="J112">
            <v>0</v>
          </cell>
        </row>
        <row r="113">
          <cell r="F113" t="str">
            <v>1401162005990001</v>
          </cell>
          <cell r="J113">
            <v>0</v>
          </cell>
        </row>
        <row r="114">
          <cell r="F114" t="str">
            <v>1402061506990007</v>
          </cell>
          <cell r="J114">
            <v>0</v>
          </cell>
        </row>
        <row r="115">
          <cell r="F115" t="str">
            <v>1371060507000005</v>
          </cell>
          <cell r="J115">
            <v>0</v>
          </cell>
        </row>
        <row r="116">
          <cell r="F116" t="str">
            <v>1401170211030003</v>
          </cell>
          <cell r="J116">
            <v>0</v>
          </cell>
        </row>
        <row r="117">
          <cell r="F117" t="str">
            <v>3603111102060003</v>
          </cell>
          <cell r="J117">
            <v>0</v>
          </cell>
        </row>
        <row r="118">
          <cell r="F118" t="str">
            <v>3202321008980002</v>
          </cell>
          <cell r="J118">
            <v>0</v>
          </cell>
        </row>
        <row r="119">
          <cell r="F119" t="str">
            <v>3201112705860001</v>
          </cell>
          <cell r="J119">
            <v>0</v>
          </cell>
        </row>
        <row r="120">
          <cell r="F120" t="str">
            <v>3212310511920002</v>
          </cell>
          <cell r="J120">
            <v>0</v>
          </cell>
        </row>
        <row r="121">
          <cell r="F121" t="str">
            <v>3212011009930001</v>
          </cell>
          <cell r="J121">
            <v>0</v>
          </cell>
        </row>
        <row r="122">
          <cell r="F122" t="str">
            <v>3674020801000006</v>
          </cell>
          <cell r="J122">
            <v>0</v>
          </cell>
        </row>
        <row r="123">
          <cell r="F123" t="str">
            <v>3603230202860007</v>
          </cell>
          <cell r="J123">
            <v>0</v>
          </cell>
        </row>
        <row r="124">
          <cell r="F124" t="str">
            <v>3603280506800015</v>
          </cell>
          <cell r="J124">
            <v>0</v>
          </cell>
        </row>
        <row r="125">
          <cell r="F125" t="str">
            <v>3603032910860002</v>
          </cell>
          <cell r="J125">
            <v>0</v>
          </cell>
        </row>
        <row r="126">
          <cell r="F126" t="str">
            <v>3603220311820001</v>
          </cell>
          <cell r="J126">
            <v>0</v>
          </cell>
        </row>
        <row r="127">
          <cell r="F127" t="str">
            <v>6471041704970004</v>
          </cell>
          <cell r="J127">
            <v>0</v>
          </cell>
        </row>
        <row r="128">
          <cell r="F128" t="str">
            <v>6471055202980004</v>
          </cell>
          <cell r="J128">
            <v>0</v>
          </cell>
        </row>
        <row r="129">
          <cell r="F129" t="str">
            <v>6471030702730001</v>
          </cell>
          <cell r="J129">
            <v>0</v>
          </cell>
        </row>
        <row r="130">
          <cell r="F130" t="str">
            <v>1771031008960002</v>
          </cell>
          <cell r="J130">
            <v>0</v>
          </cell>
        </row>
        <row r="131">
          <cell r="F131" t="str">
            <v>1708052205980001</v>
          </cell>
          <cell r="J131">
            <v>0</v>
          </cell>
        </row>
        <row r="132">
          <cell r="F132" t="str">
            <v>1771062903010004</v>
          </cell>
          <cell r="J132">
            <v>0</v>
          </cell>
        </row>
        <row r="133">
          <cell r="F133" t="str">
            <v>1709010707970001</v>
          </cell>
          <cell r="J133">
            <v>0</v>
          </cell>
        </row>
        <row r="134">
          <cell r="F134" t="str">
            <v>6471051111000002</v>
          </cell>
          <cell r="J134">
            <v>0</v>
          </cell>
        </row>
        <row r="135">
          <cell r="F135" t="str">
            <v>6471010602970001</v>
          </cell>
          <cell r="J135">
            <v>0</v>
          </cell>
        </row>
        <row r="136">
          <cell r="F136" t="str">
            <v>6471020111970002</v>
          </cell>
          <cell r="J136">
            <v>0</v>
          </cell>
        </row>
        <row r="137">
          <cell r="F137" t="str">
            <v>1571030806010021</v>
          </cell>
          <cell r="J137">
            <v>166843.93063583816</v>
          </cell>
        </row>
        <row r="138">
          <cell r="F138" t="str">
            <v>1501171006980001</v>
          </cell>
          <cell r="J138">
            <v>0</v>
          </cell>
        </row>
        <row r="139">
          <cell r="F139" t="str">
            <v>1671140612920007</v>
          </cell>
          <cell r="J139">
            <v>0</v>
          </cell>
        </row>
        <row r="140">
          <cell r="F140" t="str">
            <v>1671021204980014</v>
          </cell>
          <cell r="J140">
            <v>0</v>
          </cell>
        </row>
        <row r="141">
          <cell r="F141" t="str">
            <v>1602151712760004</v>
          </cell>
          <cell r="J141">
            <v>0</v>
          </cell>
        </row>
        <row r="142">
          <cell r="F142" t="str">
            <v>1671131808890005</v>
          </cell>
          <cell r="J142">
            <v>0</v>
          </cell>
        </row>
        <row r="143">
          <cell r="F143" t="str">
            <v>1671142303710005</v>
          </cell>
          <cell r="J143">
            <v>0</v>
          </cell>
        </row>
        <row r="144">
          <cell r="F144" t="str">
            <v>1671071306880003</v>
          </cell>
          <cell r="J144">
            <v>0</v>
          </cell>
        </row>
        <row r="145">
          <cell r="F145" t="str">
            <v>1673081210780003</v>
          </cell>
          <cell r="J145">
            <v>0</v>
          </cell>
        </row>
        <row r="146">
          <cell r="F146" t="str">
            <v>1809010810810002</v>
          </cell>
          <cell r="J146">
            <v>0</v>
          </cell>
        </row>
        <row r="147">
          <cell r="F147" t="str">
            <v>1671141707980005</v>
          </cell>
          <cell r="J147">
            <v>0</v>
          </cell>
        </row>
        <row r="148">
          <cell r="F148" t="str">
            <v>1671071810770015</v>
          </cell>
          <cell r="J148">
            <v>0</v>
          </cell>
        </row>
        <row r="149">
          <cell r="F149" t="str">
            <v>1671070408790013</v>
          </cell>
          <cell r="J149">
            <v>0</v>
          </cell>
        </row>
        <row r="150">
          <cell r="F150" t="str">
            <v>1671071412760010</v>
          </cell>
          <cell r="J150">
            <v>0</v>
          </cell>
        </row>
        <row r="151">
          <cell r="F151" t="str">
            <v>6112015711960010</v>
          </cell>
          <cell r="J151">
            <v>0</v>
          </cell>
        </row>
        <row r="152">
          <cell r="F152" t="str">
            <v>6108020512050003</v>
          </cell>
          <cell r="J152">
            <v>0</v>
          </cell>
        </row>
        <row r="153">
          <cell r="F153" t="str">
            <v>6112051310010001</v>
          </cell>
          <cell r="J153">
            <v>0</v>
          </cell>
        </row>
        <row r="154">
          <cell r="F154" t="str">
            <v>6472052006000006</v>
          </cell>
          <cell r="J154">
            <v>0</v>
          </cell>
        </row>
        <row r="155">
          <cell r="F155" t="str">
            <v>6472040206990003</v>
          </cell>
          <cell r="J155">
            <v>0</v>
          </cell>
        </row>
        <row r="156">
          <cell r="F156" t="str">
            <v>3201041708940017</v>
          </cell>
          <cell r="J156">
            <v>0</v>
          </cell>
        </row>
        <row r="157">
          <cell r="F157" t="str">
            <v>3201331011010003</v>
          </cell>
          <cell r="J157">
            <v>0</v>
          </cell>
        </row>
        <row r="158">
          <cell r="F158" t="str">
            <v>3674030304910009</v>
          </cell>
          <cell r="J158">
            <v>0</v>
          </cell>
        </row>
        <row r="159">
          <cell r="F159" t="str">
            <v>1812032807970002</v>
          </cell>
          <cell r="J159">
            <v>0</v>
          </cell>
        </row>
        <row r="160">
          <cell r="F160" t="str">
            <v>3316042103000004</v>
          </cell>
          <cell r="J160">
            <v>0</v>
          </cell>
        </row>
        <row r="161">
          <cell r="F161" t="str">
            <v>1803021712960003</v>
          </cell>
          <cell r="J161">
            <v>0</v>
          </cell>
        </row>
        <row r="162">
          <cell r="F162" t="str">
            <v>1801101009860005</v>
          </cell>
          <cell r="J162">
            <v>0</v>
          </cell>
        </row>
        <row r="163">
          <cell r="F163" t="str">
            <v>5309012908970002</v>
          </cell>
          <cell r="J163">
            <v>0</v>
          </cell>
        </row>
        <row r="164">
          <cell r="F164" t="str">
            <v>1903031104940002</v>
          </cell>
          <cell r="J164">
            <v>0</v>
          </cell>
        </row>
        <row r="165">
          <cell r="F165" t="str">
            <v>1971042004930002</v>
          </cell>
          <cell r="J165">
            <v>0</v>
          </cell>
        </row>
        <row r="166">
          <cell r="F166" t="str">
            <v>1904040808850001</v>
          </cell>
          <cell r="J166">
            <v>0</v>
          </cell>
        </row>
        <row r="167">
          <cell r="F167" t="str">
            <v>1971010707970001</v>
          </cell>
          <cell r="J167">
            <v>0</v>
          </cell>
        </row>
        <row r="168">
          <cell r="F168" t="str">
            <v>1971010409000003</v>
          </cell>
          <cell r="J168">
            <v>0</v>
          </cell>
        </row>
        <row r="169">
          <cell r="F169" t="str">
            <v>1102072303970002</v>
          </cell>
          <cell r="J169">
            <v>0</v>
          </cell>
        </row>
        <row r="170">
          <cell r="F170" t="str">
            <v>1106100101830010</v>
          </cell>
          <cell r="J170">
            <v>0</v>
          </cell>
        </row>
        <row r="171">
          <cell r="F171" t="str">
            <v>1106050105820003</v>
          </cell>
          <cell r="J171">
            <v>0</v>
          </cell>
        </row>
        <row r="172">
          <cell r="F172" t="str">
            <v>1106071301980004</v>
          </cell>
          <cell r="J172">
            <v>0</v>
          </cell>
        </row>
        <row r="173">
          <cell r="F173" t="str">
            <v>1107161312000002</v>
          </cell>
          <cell r="J173">
            <v>0</v>
          </cell>
        </row>
        <row r="174">
          <cell r="F174" t="str">
            <v>1171041208830002</v>
          </cell>
          <cell r="J174">
            <v>0</v>
          </cell>
        </row>
        <row r="175">
          <cell r="F175" t="str">
            <v>1106082810970002</v>
          </cell>
          <cell r="J175">
            <v>0</v>
          </cell>
        </row>
        <row r="176">
          <cell r="F176" t="str">
            <v>1171041212750004</v>
          </cell>
          <cell r="J176">
            <v>0</v>
          </cell>
        </row>
        <row r="177">
          <cell r="F177" t="str">
            <v>3217080111900003</v>
          </cell>
          <cell r="J177">
            <v>0</v>
          </cell>
        </row>
        <row r="178">
          <cell r="F178" t="str">
            <v>3201170306910004</v>
          </cell>
          <cell r="J178">
            <v>0</v>
          </cell>
        </row>
        <row r="179">
          <cell r="F179" t="str">
            <v>3206020807930005</v>
          </cell>
          <cell r="J179">
            <v>0</v>
          </cell>
        </row>
        <row r="180">
          <cell r="F180" t="str">
            <v>3273030505910005</v>
          </cell>
          <cell r="J180">
            <v>0</v>
          </cell>
        </row>
        <row r="181">
          <cell r="F181" t="str">
            <v>3204160902860003</v>
          </cell>
          <cell r="J181">
            <v>401656.06936416181</v>
          </cell>
        </row>
        <row r="182">
          <cell r="F182" t="str">
            <v>3273052701940003</v>
          </cell>
          <cell r="J182">
            <v>0</v>
          </cell>
        </row>
        <row r="183">
          <cell r="F183" t="str">
            <v>3273160108750008</v>
          </cell>
          <cell r="J183">
            <v>699658.95953757223</v>
          </cell>
        </row>
        <row r="184">
          <cell r="F184" t="str">
            <v>8171021801960006</v>
          </cell>
          <cell r="J184">
            <v>0</v>
          </cell>
        </row>
        <row r="185">
          <cell r="F185" t="str">
            <v>3273150808880001</v>
          </cell>
          <cell r="J185">
            <v>0</v>
          </cell>
        </row>
        <row r="186">
          <cell r="F186" t="str">
            <v>3273152004800015</v>
          </cell>
          <cell r="J186">
            <v>349829.47976878611</v>
          </cell>
        </row>
        <row r="187">
          <cell r="F187" t="str">
            <v>3211262207000002</v>
          </cell>
          <cell r="J187">
            <v>362786.12716763007</v>
          </cell>
        </row>
        <row r="188">
          <cell r="F188" t="str">
            <v>3273016603980001</v>
          </cell>
          <cell r="J188">
            <v>0</v>
          </cell>
        </row>
        <row r="189">
          <cell r="F189" t="str">
            <v>3175070503750022</v>
          </cell>
          <cell r="J189">
            <v>0</v>
          </cell>
        </row>
        <row r="190">
          <cell r="F190" t="str">
            <v>3301060104880005</v>
          </cell>
          <cell r="J190">
            <v>0</v>
          </cell>
        </row>
        <row r="191">
          <cell r="F191" t="str">
            <v>3172022901790002</v>
          </cell>
          <cell r="J191">
            <v>0</v>
          </cell>
        </row>
        <row r="192">
          <cell r="F192" t="str">
            <v>3601170103980001</v>
          </cell>
          <cell r="J192">
            <v>0</v>
          </cell>
        </row>
        <row r="193">
          <cell r="F193" t="str">
            <v>3215170912780001</v>
          </cell>
          <cell r="J193">
            <v>0</v>
          </cell>
        </row>
        <row r="194">
          <cell r="F194" t="str">
            <v>7271031307830003</v>
          </cell>
          <cell r="J194">
            <v>0</v>
          </cell>
        </row>
        <row r="195">
          <cell r="F195" t="str">
            <v>3215030402840003</v>
          </cell>
          <cell r="J195">
            <v>0</v>
          </cell>
        </row>
        <row r="196">
          <cell r="F196" t="str">
            <v>3216031012790005</v>
          </cell>
          <cell r="J196">
            <v>0</v>
          </cell>
        </row>
        <row r="197">
          <cell r="F197" t="str">
            <v>3215274701900001</v>
          </cell>
          <cell r="J197">
            <v>0</v>
          </cell>
        </row>
        <row r="198">
          <cell r="F198" t="str">
            <v>3215030906920003</v>
          </cell>
          <cell r="J198">
            <v>0</v>
          </cell>
        </row>
        <row r="199">
          <cell r="F199" t="str">
            <v>3215012908810002</v>
          </cell>
          <cell r="J199">
            <v>0</v>
          </cell>
        </row>
        <row r="200">
          <cell r="F200" t="str">
            <v>3215030704900001</v>
          </cell>
          <cell r="J200">
            <v>0</v>
          </cell>
        </row>
        <row r="201">
          <cell r="F201" t="str">
            <v>1275011205980002</v>
          </cell>
          <cell r="J201">
            <v>0</v>
          </cell>
        </row>
        <row r="202">
          <cell r="F202" t="str">
            <v>1271032508790006</v>
          </cell>
          <cell r="J202">
            <v>0</v>
          </cell>
        </row>
        <row r="203">
          <cell r="F203" t="str">
            <v>1213012310920003</v>
          </cell>
          <cell r="J203">
            <v>0</v>
          </cell>
        </row>
        <row r="204">
          <cell r="F204" t="str">
            <v>1207244105000010</v>
          </cell>
          <cell r="J204">
            <v>0</v>
          </cell>
        </row>
        <row r="205">
          <cell r="F205" t="str">
            <v>1224090708960001</v>
          </cell>
          <cell r="J205">
            <v>0</v>
          </cell>
        </row>
        <row r="206">
          <cell r="F206" t="str">
            <v>1271011906860002</v>
          </cell>
          <cell r="J206">
            <v>0</v>
          </cell>
        </row>
        <row r="207">
          <cell r="F207" t="str">
            <v>1271160407870003</v>
          </cell>
          <cell r="J207">
            <v>0</v>
          </cell>
        </row>
        <row r="208">
          <cell r="F208" t="str">
            <v>1205041704870005</v>
          </cell>
          <cell r="J208">
            <v>0</v>
          </cell>
        </row>
        <row r="209">
          <cell r="F209" t="str">
            <v>5308191111930002</v>
          </cell>
          <cell r="J209">
            <v>0</v>
          </cell>
        </row>
        <row r="210">
          <cell r="F210" t="str">
            <v>5371013107970001</v>
          </cell>
          <cell r="J210">
            <v>0</v>
          </cell>
        </row>
        <row r="211">
          <cell r="F211" t="str">
            <v>5315022212970004</v>
          </cell>
          <cell r="J211">
            <v>0</v>
          </cell>
        </row>
        <row r="212">
          <cell r="F212" t="str">
            <v>7571021902930002</v>
          </cell>
          <cell r="J212">
            <v>0</v>
          </cell>
        </row>
        <row r="213">
          <cell r="F213" t="str">
            <v>3306150208920001</v>
          </cell>
          <cell r="J213">
            <v>0</v>
          </cell>
        </row>
        <row r="214">
          <cell r="F214" t="str">
            <v>3509223008920001</v>
          </cell>
          <cell r="J214">
            <v>0</v>
          </cell>
        </row>
        <row r="215">
          <cell r="F215" t="str">
            <v>3509180204990005</v>
          </cell>
          <cell r="J215">
            <v>0</v>
          </cell>
        </row>
        <row r="216">
          <cell r="F216" t="str">
            <v>3509230311950004</v>
          </cell>
          <cell r="J216">
            <v>0</v>
          </cell>
        </row>
        <row r="217">
          <cell r="F217" t="str">
            <v>3509191905000004</v>
          </cell>
          <cell r="J217">
            <v>0</v>
          </cell>
        </row>
        <row r="218">
          <cell r="F218" t="str">
            <v>3506041312000002</v>
          </cell>
          <cell r="J218">
            <v>0</v>
          </cell>
        </row>
        <row r="219">
          <cell r="F219" t="str">
            <v>3506041911980001</v>
          </cell>
          <cell r="J219">
            <v>44618.497109826589</v>
          </cell>
        </row>
        <row r="220">
          <cell r="F220" t="str">
            <v>3507101608830005</v>
          </cell>
          <cell r="J220">
            <v>0</v>
          </cell>
        </row>
        <row r="221">
          <cell r="F221" t="str">
            <v>3573010511780005</v>
          </cell>
          <cell r="J221">
            <v>0</v>
          </cell>
        </row>
        <row r="222">
          <cell r="F222" t="str">
            <v>3514072911930001</v>
          </cell>
          <cell r="J222">
            <v>0</v>
          </cell>
        </row>
        <row r="223">
          <cell r="F223" t="str">
            <v>3573031205890002</v>
          </cell>
          <cell r="J223">
            <v>0</v>
          </cell>
        </row>
        <row r="224">
          <cell r="F224" t="str">
            <v>3573021005800009</v>
          </cell>
          <cell r="J224">
            <v>0</v>
          </cell>
        </row>
        <row r="225">
          <cell r="F225" t="str">
            <v>3507310205970002</v>
          </cell>
          <cell r="J225">
            <v>0</v>
          </cell>
        </row>
        <row r="226">
          <cell r="F226" t="str">
            <v>3507192308820005</v>
          </cell>
          <cell r="J226">
            <v>0</v>
          </cell>
        </row>
        <row r="227">
          <cell r="F227" t="str">
            <v>7207070801030001</v>
          </cell>
          <cell r="J227">
            <v>88439.306358381509</v>
          </cell>
        </row>
        <row r="228">
          <cell r="F228" t="str">
            <v>7106060508920003</v>
          </cell>
          <cell r="J228">
            <v>88439.306358381509</v>
          </cell>
        </row>
        <row r="229">
          <cell r="F229" t="str">
            <v>7171041706920001</v>
          </cell>
          <cell r="J229">
            <v>132658.95953757226</v>
          </cell>
        </row>
        <row r="230">
          <cell r="F230" t="str">
            <v>7106013004960001</v>
          </cell>
          <cell r="J230">
            <v>66329.479768786128</v>
          </cell>
        </row>
        <row r="231">
          <cell r="F231" t="str">
            <v>7171051607990021</v>
          </cell>
          <cell r="J231">
            <v>0</v>
          </cell>
        </row>
        <row r="232">
          <cell r="F232" t="str">
            <v>7171032409800001</v>
          </cell>
          <cell r="J232">
            <v>0</v>
          </cell>
        </row>
        <row r="233">
          <cell r="F233" t="str">
            <v>7104062112930001</v>
          </cell>
          <cell r="J233">
            <v>132658.95953757226</v>
          </cell>
        </row>
        <row r="234">
          <cell r="F234" t="str">
            <v>7103241412760001</v>
          </cell>
          <cell r="J234">
            <v>0</v>
          </cell>
        </row>
        <row r="235">
          <cell r="F235" t="str">
            <v>3578062605810007</v>
          </cell>
          <cell r="J235">
            <v>0</v>
          </cell>
        </row>
        <row r="236">
          <cell r="F236" t="str">
            <v>3519120306910001</v>
          </cell>
          <cell r="J236">
            <v>0</v>
          </cell>
        </row>
        <row r="237">
          <cell r="F237" t="str">
            <v>3578102003950001</v>
          </cell>
          <cell r="J237">
            <v>0</v>
          </cell>
        </row>
        <row r="238">
          <cell r="F238" t="str">
            <v>3578312205920001</v>
          </cell>
          <cell r="J238">
            <v>0</v>
          </cell>
        </row>
        <row r="239">
          <cell r="F239" t="str">
            <v>3577012804850002</v>
          </cell>
          <cell r="J239">
            <v>0</v>
          </cell>
        </row>
        <row r="240">
          <cell r="F240" t="str">
            <v>3522021607940002</v>
          </cell>
          <cell r="J240">
            <v>0</v>
          </cell>
        </row>
        <row r="241">
          <cell r="F241" t="str">
            <v>3519152009850002</v>
          </cell>
          <cell r="J241">
            <v>0</v>
          </cell>
        </row>
        <row r="242">
          <cell r="F242" t="str">
            <v>3524260101870015</v>
          </cell>
          <cell r="J242">
            <v>0</v>
          </cell>
        </row>
        <row r="243">
          <cell r="F243" t="str">
            <v>3521162511830001</v>
          </cell>
          <cell r="J243">
            <v>0</v>
          </cell>
        </row>
        <row r="244">
          <cell r="F244" t="str">
            <v>3515181109870004</v>
          </cell>
          <cell r="J244">
            <v>0</v>
          </cell>
        </row>
        <row r="245">
          <cell r="F245" t="str">
            <v>3578131112860001</v>
          </cell>
          <cell r="J245">
            <v>0</v>
          </cell>
        </row>
        <row r="246">
          <cell r="F246" t="str">
            <v>3674032707760008</v>
          </cell>
          <cell r="J246">
            <v>0</v>
          </cell>
        </row>
        <row r="247">
          <cell r="F247" t="str">
            <v>8101120805010003</v>
          </cell>
          <cell r="J247">
            <v>0</v>
          </cell>
        </row>
        <row r="248">
          <cell r="F248" t="str">
            <v>5310121807950006</v>
          </cell>
          <cell r="J248">
            <v>0</v>
          </cell>
        </row>
        <row r="249">
          <cell r="F249" t="str">
            <v>9171012807960004</v>
          </cell>
          <cell r="J249">
            <v>0</v>
          </cell>
        </row>
        <row r="250">
          <cell r="F250" t="str">
            <v>3321020506050002</v>
          </cell>
          <cell r="J250">
            <v>0</v>
          </cell>
        </row>
        <row r="251">
          <cell r="F251" t="str">
            <v>3276021207710002</v>
          </cell>
          <cell r="J251">
            <v>0</v>
          </cell>
        </row>
        <row r="252">
          <cell r="F252" t="str">
            <v>3471071903990001</v>
          </cell>
          <cell r="J252">
            <v>0</v>
          </cell>
        </row>
        <row r="253">
          <cell r="F253" t="str">
            <v>3471131803040001</v>
          </cell>
          <cell r="J253">
            <v>0</v>
          </cell>
        </row>
        <row r="254">
          <cell r="F254" t="str">
            <v>3278044101050003</v>
          </cell>
          <cell r="J254">
            <v>0</v>
          </cell>
        </row>
        <row r="255">
          <cell r="F255" t="str">
            <v>3402102707040001</v>
          </cell>
          <cell r="J255">
            <v>207260.11560693642</v>
          </cell>
        </row>
        <row r="256">
          <cell r="F256" t="str">
            <v>3310012511990002</v>
          </cell>
          <cell r="J256">
            <v>0</v>
          </cell>
        </row>
        <row r="257">
          <cell r="F257" t="str">
            <v>3403074906000001</v>
          </cell>
          <cell r="J257">
            <v>284023.12138728326</v>
          </cell>
        </row>
        <row r="258">
          <cell r="F258" t="str">
            <v>3403122007000001</v>
          </cell>
          <cell r="J258">
            <v>0</v>
          </cell>
        </row>
        <row r="259">
          <cell r="F259" t="str">
            <v>3404102211040003</v>
          </cell>
          <cell r="J259">
            <v>207260.11560693642</v>
          </cell>
        </row>
        <row r="260">
          <cell r="F260" t="str">
            <v>3403122811050004</v>
          </cell>
          <cell r="J260">
            <v>176554.91329479768</v>
          </cell>
        </row>
        <row r="261">
          <cell r="F261" t="str">
            <v>3174095601020006</v>
          </cell>
          <cell r="J261">
            <v>0</v>
          </cell>
        </row>
        <row r="262">
          <cell r="F262" t="str">
            <v>3275044105010013</v>
          </cell>
          <cell r="J262">
            <v>0</v>
          </cell>
        </row>
        <row r="263">
          <cell r="F263" t="str">
            <v>7371121512880004</v>
          </cell>
          <cell r="J263">
            <v>0</v>
          </cell>
        </row>
        <row r="264">
          <cell r="F264" t="str">
            <v>3404110210000001</v>
          </cell>
          <cell r="J264">
            <v>207260.11560693642</v>
          </cell>
        </row>
        <row r="265">
          <cell r="F265" t="str">
            <v>3674031409890007</v>
          </cell>
          <cell r="J265">
            <v>0</v>
          </cell>
        </row>
        <row r="266">
          <cell r="F266" t="str">
            <v>3174032809840005</v>
          </cell>
          <cell r="J266">
            <v>0</v>
          </cell>
        </row>
        <row r="267">
          <cell r="F267" t="str">
            <v>3671060201770004</v>
          </cell>
          <cell r="J267">
            <v>0</v>
          </cell>
        </row>
        <row r="268">
          <cell r="F268" t="str">
            <v>3174031701810002</v>
          </cell>
          <cell r="J268">
            <v>0</v>
          </cell>
        </row>
        <row r="269">
          <cell r="F269" t="str">
            <v>3173052611890010</v>
          </cell>
          <cell r="J269">
            <v>0</v>
          </cell>
        </row>
        <row r="270">
          <cell r="F270" t="str">
            <v>3173070711890003</v>
          </cell>
          <cell r="J270">
            <v>0</v>
          </cell>
        </row>
        <row r="271">
          <cell r="F271" t="str">
            <v>3171080206820001</v>
          </cell>
          <cell r="J271">
            <v>0</v>
          </cell>
        </row>
        <row r="272">
          <cell r="F272" t="str">
            <v>3171071904720003</v>
          </cell>
          <cell r="J272">
            <v>0</v>
          </cell>
        </row>
        <row r="273">
          <cell r="F273" t="str">
            <v>3172041705870006</v>
          </cell>
          <cell r="J273">
            <v>998289.01734104042</v>
          </cell>
        </row>
        <row r="274">
          <cell r="F274" t="str">
            <v>3173051101790011</v>
          </cell>
          <cell r="J274">
            <v>280768.78612716764</v>
          </cell>
        </row>
        <row r="275">
          <cell r="F275" t="str">
            <v>3275032306820027</v>
          </cell>
          <cell r="J275">
            <v>280768.78612716764</v>
          </cell>
        </row>
        <row r="276">
          <cell r="F276" t="str">
            <v>3216011309970002</v>
          </cell>
          <cell r="J276">
            <v>280768.78612716764</v>
          </cell>
        </row>
        <row r="277">
          <cell r="F277" t="str">
            <v>3275092912950019</v>
          </cell>
          <cell r="J277">
            <v>124786.12716763005</v>
          </cell>
        </row>
        <row r="278">
          <cell r="F278" t="str">
            <v>3209340305950001</v>
          </cell>
          <cell r="J278">
            <v>467947.97687861271</v>
          </cell>
        </row>
        <row r="279">
          <cell r="F279" t="str">
            <v>3175072104930009</v>
          </cell>
          <cell r="J279">
            <v>467947.97687861271</v>
          </cell>
        </row>
        <row r="280">
          <cell r="F280" t="str">
            <v>3204321007990009</v>
          </cell>
          <cell r="J280">
            <v>733118.49710982654</v>
          </cell>
        </row>
        <row r="281">
          <cell r="F281" t="str">
            <v>3275120511850007</v>
          </cell>
          <cell r="J281">
            <v>733118.49710982654</v>
          </cell>
        </row>
        <row r="282">
          <cell r="F282" t="str">
            <v>3175062606840013</v>
          </cell>
          <cell r="J282">
            <v>187179.19075144507</v>
          </cell>
        </row>
        <row r="283">
          <cell r="F283" t="str">
            <v>3172041509930008</v>
          </cell>
          <cell r="J283">
            <v>623930.63583815028</v>
          </cell>
        </row>
        <row r="284">
          <cell r="F284" t="str">
            <v>3216012709900007</v>
          </cell>
          <cell r="J284">
            <v>733118.49710982654</v>
          </cell>
        </row>
        <row r="285">
          <cell r="F285" t="str">
            <v>3602080401920005</v>
          </cell>
          <cell r="J285">
            <v>733118.49710982654</v>
          </cell>
        </row>
        <row r="286">
          <cell r="F286" t="str">
            <v>3171032304830012</v>
          </cell>
          <cell r="J286">
            <v>249572.25433526011</v>
          </cell>
        </row>
        <row r="287">
          <cell r="F287" t="str">
            <v>3604212101050002</v>
          </cell>
          <cell r="J287">
            <v>733118.49710982654</v>
          </cell>
        </row>
        <row r="288">
          <cell r="F288" t="str">
            <v>3216022603020003</v>
          </cell>
          <cell r="J288">
            <v>499144.50867052021</v>
          </cell>
        </row>
        <row r="289">
          <cell r="F289" t="str">
            <v>3174050711790010</v>
          </cell>
          <cell r="J289">
            <v>218375.7225433526</v>
          </cell>
        </row>
        <row r="290">
          <cell r="F290" t="str">
            <v>3175052903010001</v>
          </cell>
          <cell r="J290">
            <v>436751.44508670521</v>
          </cell>
        </row>
        <row r="291">
          <cell r="F291" t="str">
            <v>3216020302030011</v>
          </cell>
          <cell r="J291">
            <v>124786.12716763005</v>
          </cell>
        </row>
        <row r="292">
          <cell r="F292" t="str">
            <v>3172040809980011</v>
          </cell>
          <cell r="J292">
            <v>779913.29479768779</v>
          </cell>
        </row>
        <row r="293">
          <cell r="F293" t="str">
            <v>3175086807940001</v>
          </cell>
          <cell r="J293">
            <v>0</v>
          </cell>
        </row>
        <row r="294">
          <cell r="F294" t="str">
            <v>3172046008940008</v>
          </cell>
          <cell r="J294">
            <v>0</v>
          </cell>
        </row>
        <row r="295">
          <cell r="F295" t="str">
            <v>3175032506960004</v>
          </cell>
          <cell r="J295">
            <v>0</v>
          </cell>
        </row>
        <row r="296">
          <cell r="F296" t="str">
            <v>3671135104890005</v>
          </cell>
          <cell r="J296">
            <v>0</v>
          </cell>
        </row>
        <row r="297">
          <cell r="F297" t="str">
            <v>3174021606960001</v>
          </cell>
          <cell r="J297">
            <v>779913.29479768779</v>
          </cell>
        </row>
        <row r="298">
          <cell r="F298" t="str">
            <v>3172040704910003</v>
          </cell>
          <cell r="J298">
            <v>779913.29479768779</v>
          </cell>
        </row>
        <row r="299">
          <cell r="F299" t="str">
            <v>3172041402960008</v>
          </cell>
          <cell r="J299">
            <v>358760.11560693639</v>
          </cell>
        </row>
        <row r="300">
          <cell r="F300" t="str">
            <v>7106022907940002</v>
          </cell>
          <cell r="J300">
            <v>155982.65895953757</v>
          </cell>
        </row>
        <row r="301">
          <cell r="F301" t="str">
            <v>3174081308980001</v>
          </cell>
          <cell r="J301">
            <v>592734.10404624278</v>
          </cell>
        </row>
        <row r="302">
          <cell r="F302" t="str">
            <v>3172041108930004</v>
          </cell>
          <cell r="J302">
            <v>374358.38150289014</v>
          </cell>
        </row>
        <row r="303">
          <cell r="F303" t="str">
            <v>3175013107940001</v>
          </cell>
          <cell r="J303">
            <v>592734.10404624278</v>
          </cell>
        </row>
        <row r="304">
          <cell r="F304" t="str">
            <v>3171074110010005</v>
          </cell>
          <cell r="J304">
            <v>0</v>
          </cell>
        </row>
        <row r="305">
          <cell r="F305" t="str">
            <v>3175061201790002</v>
          </cell>
          <cell r="J305">
            <v>467947.97687861271</v>
          </cell>
        </row>
        <row r="306">
          <cell r="F306" t="str">
            <v>3172042702920003</v>
          </cell>
          <cell r="J306">
            <v>280768.78612716764</v>
          </cell>
        </row>
        <row r="307">
          <cell r="F307" t="str">
            <v>3172040403981001</v>
          </cell>
          <cell r="J307">
            <v>280768.78612716764</v>
          </cell>
        </row>
        <row r="308">
          <cell r="F308" t="str">
            <v>3174015309970008</v>
          </cell>
          <cell r="J308">
            <v>0</v>
          </cell>
        </row>
        <row r="309">
          <cell r="F309" t="str">
            <v>3174011911960003</v>
          </cell>
          <cell r="J309">
            <v>374358.38150289014</v>
          </cell>
        </row>
        <row r="310">
          <cell r="F310" t="str">
            <v>3172041903990007</v>
          </cell>
          <cell r="J310">
            <v>499144.50867052021</v>
          </cell>
        </row>
        <row r="311">
          <cell r="F311" t="str">
            <v>3172041209940003</v>
          </cell>
          <cell r="J311">
            <v>343161.84971098264</v>
          </cell>
        </row>
        <row r="312">
          <cell r="F312" t="str">
            <v>3175061008900008</v>
          </cell>
          <cell r="J312">
            <v>499144.50867052021</v>
          </cell>
        </row>
        <row r="313">
          <cell r="F313" t="str">
            <v>3175022308990006</v>
          </cell>
          <cell r="J313">
            <v>0</v>
          </cell>
        </row>
        <row r="314">
          <cell r="F314" t="str">
            <v>3325082003920001</v>
          </cell>
          <cell r="J314">
            <v>311965.31791907514</v>
          </cell>
        </row>
        <row r="315">
          <cell r="F315" t="str">
            <v>3174012606920006</v>
          </cell>
          <cell r="J315">
            <v>623930.63583815028</v>
          </cell>
        </row>
        <row r="316">
          <cell r="F316" t="str">
            <v>3175020604880002</v>
          </cell>
          <cell r="J316">
            <v>93589.595375722536</v>
          </cell>
        </row>
        <row r="317">
          <cell r="F317" t="str">
            <v>3275122709010003</v>
          </cell>
          <cell r="J317">
            <v>374358.38150289014</v>
          </cell>
        </row>
        <row r="318">
          <cell r="F318" t="str">
            <v>3206102006940001</v>
          </cell>
          <cell r="J318">
            <v>93589.595375722536</v>
          </cell>
        </row>
        <row r="319">
          <cell r="F319" t="str">
            <v>3175062204760022</v>
          </cell>
          <cell r="J319">
            <v>483546.24277456646</v>
          </cell>
        </row>
        <row r="320">
          <cell r="F320" t="str">
            <v>3275051006990020</v>
          </cell>
          <cell r="J320">
            <v>0</v>
          </cell>
        </row>
        <row r="321">
          <cell r="F321" t="str">
            <v>3327066502990002</v>
          </cell>
          <cell r="J321">
            <v>0</v>
          </cell>
        </row>
        <row r="322">
          <cell r="F322" t="str">
            <v>3216062206700004</v>
          </cell>
          <cell r="J322">
            <v>0</v>
          </cell>
        </row>
        <row r="323">
          <cell r="F323" t="str">
            <v>3173071108980001</v>
          </cell>
          <cell r="J323">
            <v>0</v>
          </cell>
        </row>
        <row r="324">
          <cell r="F324" t="str">
            <v>3211172909930005</v>
          </cell>
          <cell r="J324">
            <v>0</v>
          </cell>
        </row>
        <row r="325">
          <cell r="F325" t="str">
            <v>3201370709900001</v>
          </cell>
          <cell r="J325">
            <v>0</v>
          </cell>
        </row>
        <row r="326">
          <cell r="F326" t="str">
            <v>3174092504850013</v>
          </cell>
          <cell r="J326">
            <v>0</v>
          </cell>
        </row>
        <row r="327">
          <cell r="F327" t="str">
            <v>3309162607969001</v>
          </cell>
          <cell r="J327">
            <v>0</v>
          </cell>
        </row>
        <row r="328">
          <cell r="F328" t="str">
            <v>3201130603950011</v>
          </cell>
          <cell r="J328">
            <v>0</v>
          </cell>
        </row>
        <row r="329">
          <cell r="F329" t="str">
            <v>3271021202980003</v>
          </cell>
          <cell r="J329">
            <v>2072393.063583815</v>
          </cell>
        </row>
        <row r="330">
          <cell r="F330" t="str">
            <v>3271042507960002</v>
          </cell>
          <cell r="J330">
            <v>1381595.3757225433</v>
          </cell>
        </row>
        <row r="331">
          <cell r="F331" t="str">
            <v>5271023105030001</v>
          </cell>
          <cell r="J331">
            <v>0</v>
          </cell>
        </row>
        <row r="332">
          <cell r="F332" t="str">
            <v>5271021307930004</v>
          </cell>
          <cell r="J332">
            <v>0</v>
          </cell>
        </row>
        <row r="333">
          <cell r="F333" t="str">
            <v>5271012408970002</v>
          </cell>
          <cell r="J333">
            <v>0</v>
          </cell>
        </row>
        <row r="334">
          <cell r="F334" t="str">
            <v>5271050901960002</v>
          </cell>
          <cell r="J334">
            <v>0</v>
          </cell>
        </row>
        <row r="335">
          <cell r="F335" t="str">
            <v>5201092512960002</v>
          </cell>
          <cell r="J335">
            <v>0</v>
          </cell>
        </row>
        <row r="336">
          <cell r="F336" t="str">
            <v>5202020202950008</v>
          </cell>
          <cell r="J336">
            <v>0</v>
          </cell>
        </row>
        <row r="337">
          <cell r="F337" t="str">
            <v>7371060203910005</v>
          </cell>
          <cell r="J337">
            <v>0</v>
          </cell>
        </row>
        <row r="338">
          <cell r="F338" t="str">
            <v>3674030705850012</v>
          </cell>
          <cell r="J338">
            <v>0</v>
          </cell>
        </row>
        <row r="339">
          <cell r="F339" t="str">
            <v>3201400809870006</v>
          </cell>
          <cell r="J339">
            <v>0</v>
          </cell>
        </row>
        <row r="340">
          <cell r="F340" t="str">
            <v>3202331001940009</v>
          </cell>
          <cell r="J340">
            <v>0</v>
          </cell>
        </row>
        <row r="341">
          <cell r="F341" t="str">
            <v>3174021303890002</v>
          </cell>
          <cell r="J341">
            <v>0</v>
          </cell>
        </row>
        <row r="342">
          <cell r="F342" t="str">
            <v>3171031511800007</v>
          </cell>
          <cell r="J342">
            <v>0</v>
          </cell>
        </row>
        <row r="343">
          <cell r="F343" t="str">
            <v>3172020101950006</v>
          </cell>
          <cell r="J343">
            <v>187179.19075144507</v>
          </cell>
        </row>
        <row r="344">
          <cell r="F344" t="str">
            <v>3601295006970002</v>
          </cell>
          <cell r="J344">
            <v>0</v>
          </cell>
        </row>
        <row r="345">
          <cell r="F345" t="str">
            <v>3279042507910001</v>
          </cell>
          <cell r="J345">
            <v>0</v>
          </cell>
        </row>
        <row r="346">
          <cell r="F346" t="str">
            <v>3212282405890001</v>
          </cell>
          <cell r="J346">
            <v>0</v>
          </cell>
        </row>
        <row r="347">
          <cell r="F347" t="str">
            <v>3171060806800002</v>
          </cell>
          <cell r="J347">
            <v>0</v>
          </cell>
        </row>
        <row r="348">
          <cell r="F348" t="str">
            <v>3316081603910002</v>
          </cell>
          <cell r="J348">
            <v>0</v>
          </cell>
        </row>
        <row r="349">
          <cell r="F349" t="str">
            <v>3175082512970006</v>
          </cell>
          <cell r="J349">
            <v>1185468.2080924856</v>
          </cell>
        </row>
        <row r="350">
          <cell r="F350" t="str">
            <v>6371032810990005</v>
          </cell>
          <cell r="J350">
            <v>0</v>
          </cell>
        </row>
        <row r="351">
          <cell r="F351" t="str">
            <v>6304041108920001</v>
          </cell>
          <cell r="J351">
            <v>0</v>
          </cell>
        </row>
        <row r="352">
          <cell r="F352" t="str">
            <v>6303141712880001</v>
          </cell>
          <cell r="J352">
            <v>0</v>
          </cell>
        </row>
        <row r="353">
          <cell r="F353" t="str">
            <v>3209221008960004</v>
          </cell>
          <cell r="J353">
            <v>0</v>
          </cell>
        </row>
        <row r="354">
          <cell r="F354" t="str">
            <v>3209192001870004</v>
          </cell>
          <cell r="J354">
            <v>0</v>
          </cell>
        </row>
        <row r="355">
          <cell r="F355" t="str">
            <v>3209081702990004</v>
          </cell>
          <cell r="J355">
            <v>0</v>
          </cell>
        </row>
        <row r="356">
          <cell r="F356" t="str">
            <v>3209221604960005</v>
          </cell>
          <cell r="J356">
            <v>0</v>
          </cell>
        </row>
        <row r="357">
          <cell r="F357" t="str">
            <v>3209202410980008</v>
          </cell>
          <cell r="J357">
            <v>0</v>
          </cell>
        </row>
        <row r="358">
          <cell r="F358" t="str">
            <v>3209201812040002</v>
          </cell>
          <cell r="J358">
            <v>0</v>
          </cell>
        </row>
        <row r="359">
          <cell r="F359" t="str">
            <v>3209352812980002</v>
          </cell>
          <cell r="J359">
            <v>124763.00578034682</v>
          </cell>
        </row>
        <row r="360">
          <cell r="F360" t="str">
            <v>3302272005860005</v>
          </cell>
          <cell r="J360">
            <v>0</v>
          </cell>
        </row>
        <row r="361">
          <cell r="F361" t="str">
            <v>3374043101000003</v>
          </cell>
          <cell r="J361">
            <v>846777.45664739888</v>
          </cell>
        </row>
        <row r="362">
          <cell r="F362" t="str">
            <v>3374092809920001</v>
          </cell>
          <cell r="J362">
            <v>0</v>
          </cell>
        </row>
        <row r="363">
          <cell r="F363" t="str">
            <v>3321021703990001</v>
          </cell>
          <cell r="J363">
            <v>549205.20231213875</v>
          </cell>
        </row>
        <row r="364">
          <cell r="F364" t="str">
            <v>3374132410950001</v>
          </cell>
          <cell r="J364">
            <v>0</v>
          </cell>
        </row>
        <row r="365">
          <cell r="F365" t="str">
            <v>3374061810970006</v>
          </cell>
          <cell r="J365">
            <v>728945.08670520235</v>
          </cell>
        </row>
        <row r="366">
          <cell r="F366" t="str">
            <v>3374112409760004</v>
          </cell>
          <cell r="J366">
            <v>0</v>
          </cell>
        </row>
        <row r="367">
          <cell r="F367" t="str">
            <v>3374081210910003</v>
          </cell>
          <cell r="J367">
            <v>0</v>
          </cell>
        </row>
        <row r="368">
          <cell r="F368" t="str">
            <v>3374061308830011</v>
          </cell>
          <cell r="J368">
            <v>0</v>
          </cell>
        </row>
        <row r="369">
          <cell r="F369" t="str">
            <v>3313110702900001</v>
          </cell>
          <cell r="J369">
            <v>0</v>
          </cell>
        </row>
        <row r="370">
          <cell r="F370" t="str">
            <v>3372020606810002</v>
          </cell>
          <cell r="J370">
            <v>0</v>
          </cell>
        </row>
        <row r="371">
          <cell r="F371" t="str">
            <v>3311101407980002</v>
          </cell>
          <cell r="J371">
            <v>181624.2774566474</v>
          </cell>
        </row>
        <row r="372">
          <cell r="F372" t="str">
            <v>3317071011910004</v>
          </cell>
          <cell r="J372">
            <v>0</v>
          </cell>
        </row>
        <row r="373">
          <cell r="F373" t="str">
            <v>3313090308000001</v>
          </cell>
          <cell r="J373">
            <v>363248.55491329479</v>
          </cell>
        </row>
        <row r="374">
          <cell r="F374" t="str">
            <v>3311101212970003</v>
          </cell>
          <cell r="J374">
            <v>300378.61271676299</v>
          </cell>
        </row>
        <row r="375">
          <cell r="F375" t="str">
            <v>3404062702960006</v>
          </cell>
          <cell r="J375">
            <v>199583.81502890174</v>
          </cell>
        </row>
        <row r="376">
          <cell r="F376" t="str">
            <v>3402052602910001</v>
          </cell>
          <cell r="J376">
            <v>0</v>
          </cell>
        </row>
        <row r="377">
          <cell r="F377" t="str">
            <v>3402141208850001</v>
          </cell>
          <cell r="J377">
            <v>99791.907514450868</v>
          </cell>
        </row>
        <row r="378">
          <cell r="F378" t="str">
            <v>3402143001840001</v>
          </cell>
          <cell r="J378">
            <v>0</v>
          </cell>
        </row>
        <row r="379">
          <cell r="F379" t="str">
            <v>3404130602870002</v>
          </cell>
          <cell r="J379">
            <v>0</v>
          </cell>
        </row>
        <row r="380">
          <cell r="F380" t="str">
            <v>3471031210800001</v>
          </cell>
          <cell r="J380">
            <v>0</v>
          </cell>
        </row>
        <row r="381">
          <cell r="F381" t="str">
            <v>1371024608980007</v>
          </cell>
          <cell r="J381">
            <v>0</v>
          </cell>
        </row>
        <row r="382">
          <cell r="F382" t="str">
            <v>1371112502020010</v>
          </cell>
          <cell r="J382">
            <v>0</v>
          </cell>
        </row>
        <row r="383">
          <cell r="F383" t="str">
            <v>1371060105040005</v>
          </cell>
          <cell r="J383">
            <v>0</v>
          </cell>
        </row>
        <row r="384">
          <cell r="F384" t="str">
            <v>1471030804030001</v>
          </cell>
          <cell r="J384">
            <v>0</v>
          </cell>
        </row>
        <row r="385">
          <cell r="F385" t="str">
            <v>1304030409980002</v>
          </cell>
          <cell r="J385">
            <v>0</v>
          </cell>
        </row>
        <row r="386">
          <cell r="F386" t="str">
            <v>1401040110970001</v>
          </cell>
          <cell r="J386">
            <v>0</v>
          </cell>
        </row>
        <row r="387">
          <cell r="F387" t="str">
            <v>3603222706890003</v>
          </cell>
          <cell r="J387">
            <v>172543.35260115608</v>
          </cell>
        </row>
        <row r="388">
          <cell r="F388" t="str">
            <v>3674012810020003</v>
          </cell>
          <cell r="J388">
            <v>287572.25433526014</v>
          </cell>
        </row>
        <row r="389">
          <cell r="F389" t="str">
            <v>3674062703990004</v>
          </cell>
          <cell r="J389">
            <v>546387.28323699418</v>
          </cell>
        </row>
        <row r="390">
          <cell r="F390" t="str">
            <v>3201205208960010</v>
          </cell>
          <cell r="J390">
            <v>0</v>
          </cell>
        </row>
        <row r="391">
          <cell r="F391" t="str">
            <v>3603220304910001</v>
          </cell>
          <cell r="J391">
            <v>0</v>
          </cell>
        </row>
        <row r="392">
          <cell r="F392" t="str">
            <v>3201111409990002</v>
          </cell>
          <cell r="J392">
            <v>402601.15606936417</v>
          </cell>
        </row>
        <row r="393">
          <cell r="F393" t="str">
            <v>3674071803000001</v>
          </cell>
          <cell r="J393">
            <v>546387.28323699418</v>
          </cell>
        </row>
        <row r="394">
          <cell r="F394" t="str">
            <v>3276031504020001</v>
          </cell>
          <cell r="J394">
            <v>517630.0578034682</v>
          </cell>
        </row>
        <row r="395">
          <cell r="F395" t="str">
            <v>3673012308980002</v>
          </cell>
          <cell r="J395">
            <v>0</v>
          </cell>
        </row>
        <row r="396">
          <cell r="F396" t="str">
            <v>3671011405990009</v>
          </cell>
          <cell r="J396">
            <v>0</v>
          </cell>
        </row>
        <row r="397">
          <cell r="F397" t="str">
            <v>3603200202920003</v>
          </cell>
          <cell r="J397">
            <v>0</v>
          </cell>
        </row>
        <row r="398">
          <cell r="F398" t="str">
            <v>3603202403920003</v>
          </cell>
          <cell r="J398">
            <v>0</v>
          </cell>
        </row>
        <row r="399">
          <cell r="F399" t="str">
            <v>6471055501010002</v>
          </cell>
          <cell r="J399">
            <v>0</v>
          </cell>
        </row>
        <row r="400">
          <cell r="F400" t="str">
            <v>1611022301970002</v>
          </cell>
          <cell r="J400">
            <v>0</v>
          </cell>
        </row>
        <row r="401">
          <cell r="F401" t="str">
            <v>1705052010060002</v>
          </cell>
          <cell r="J401">
            <v>0</v>
          </cell>
        </row>
        <row r="402">
          <cell r="F402" t="str">
            <v>1704080404980001</v>
          </cell>
          <cell r="J402">
            <v>0</v>
          </cell>
        </row>
        <row r="403">
          <cell r="F403" t="str">
            <v>1771060503970002</v>
          </cell>
          <cell r="J403">
            <v>0</v>
          </cell>
        </row>
        <row r="404">
          <cell r="F404" t="str">
            <v>6471026603950002</v>
          </cell>
          <cell r="J404">
            <v>0</v>
          </cell>
        </row>
        <row r="405">
          <cell r="F405" t="str">
            <v>6471022310010002</v>
          </cell>
          <cell r="J405">
            <v>0</v>
          </cell>
        </row>
        <row r="406">
          <cell r="F406" t="str">
            <v>6471020906020003</v>
          </cell>
          <cell r="J406">
            <v>0</v>
          </cell>
        </row>
        <row r="407">
          <cell r="F407" t="str">
            <v>6471012307980001</v>
          </cell>
          <cell r="J407">
            <v>0</v>
          </cell>
        </row>
        <row r="408">
          <cell r="F408" t="str">
            <v>1505062611990006</v>
          </cell>
          <cell r="J408">
            <v>0</v>
          </cell>
        </row>
        <row r="409">
          <cell r="F409" t="str">
            <v>1571072710030121</v>
          </cell>
          <cell r="J409">
            <v>0</v>
          </cell>
        </row>
        <row r="410">
          <cell r="F410" t="str">
            <v>1571020902020042</v>
          </cell>
          <cell r="J410">
            <v>0</v>
          </cell>
        </row>
        <row r="411">
          <cell r="F411" t="str">
            <v>3276021610940014</v>
          </cell>
          <cell r="J411">
            <v>0</v>
          </cell>
        </row>
        <row r="412">
          <cell r="F412" t="str">
            <v>3201371901970004</v>
          </cell>
          <cell r="J412">
            <v>0</v>
          </cell>
        </row>
        <row r="413">
          <cell r="F413" t="str">
            <v>1671140712870006</v>
          </cell>
          <cell r="J413">
            <v>0</v>
          </cell>
        </row>
        <row r="414">
          <cell r="F414" t="str">
            <v>1671072101030007</v>
          </cell>
          <cell r="J414">
            <v>0</v>
          </cell>
        </row>
        <row r="415">
          <cell r="F415" t="str">
            <v>1671031701960007</v>
          </cell>
          <cell r="J415">
            <v>0</v>
          </cell>
        </row>
        <row r="416">
          <cell r="F416" t="str">
            <v>1671060304960008</v>
          </cell>
          <cell r="J416">
            <v>0</v>
          </cell>
        </row>
        <row r="417">
          <cell r="F417" t="str">
            <v>1607010204970004</v>
          </cell>
          <cell r="J417">
            <v>0</v>
          </cell>
        </row>
        <row r="418">
          <cell r="F418" t="str">
            <v>1607012605970005</v>
          </cell>
          <cell r="J418">
            <v>0</v>
          </cell>
        </row>
        <row r="419">
          <cell r="F419" t="str">
            <v>1607100609950005</v>
          </cell>
          <cell r="J419">
            <v>0</v>
          </cell>
        </row>
        <row r="420">
          <cell r="F420" t="str">
            <v>1671064507870011</v>
          </cell>
          <cell r="J420">
            <v>0</v>
          </cell>
        </row>
        <row r="421">
          <cell r="F421" t="str">
            <v>6171041204010007</v>
          </cell>
          <cell r="J421">
            <v>0</v>
          </cell>
        </row>
        <row r="422">
          <cell r="F422" t="str">
            <v>6472050202940007</v>
          </cell>
          <cell r="J422">
            <v>0</v>
          </cell>
        </row>
        <row r="423">
          <cell r="F423" t="str">
            <v>6472052106060007</v>
          </cell>
          <cell r="J423">
            <v>0</v>
          </cell>
        </row>
        <row r="424">
          <cell r="F424" t="str">
            <v>3174060802750004</v>
          </cell>
          <cell r="J424">
            <v>0</v>
          </cell>
        </row>
        <row r="425">
          <cell r="F425" t="str">
            <v>3674062811990004</v>
          </cell>
          <cell r="J425">
            <v>963367.05202312139</v>
          </cell>
        </row>
        <row r="426">
          <cell r="F426" t="str">
            <v>3201342609030001</v>
          </cell>
          <cell r="J426">
            <v>0</v>
          </cell>
        </row>
        <row r="427">
          <cell r="F427" t="str">
            <v>3175081806950004</v>
          </cell>
          <cell r="J427">
            <v>0</v>
          </cell>
        </row>
        <row r="428">
          <cell r="F428" t="str">
            <v>6473033003030007</v>
          </cell>
          <cell r="J428">
            <v>0</v>
          </cell>
        </row>
        <row r="429">
          <cell r="F429" t="str">
            <v>1971031111920001</v>
          </cell>
          <cell r="J429">
            <v>0</v>
          </cell>
        </row>
        <row r="430">
          <cell r="F430" t="str">
            <v>1971051011000003</v>
          </cell>
          <cell r="J430">
            <v>0</v>
          </cell>
        </row>
        <row r="431">
          <cell r="F431" t="str">
            <v>1971031906050001</v>
          </cell>
          <cell r="J431">
            <v>0</v>
          </cell>
        </row>
        <row r="432">
          <cell r="F432" t="str">
            <v>1171042404830001</v>
          </cell>
          <cell r="J432">
            <v>0</v>
          </cell>
        </row>
        <row r="433">
          <cell r="F433" t="str">
            <v>1171070906040001</v>
          </cell>
          <cell r="J433">
            <v>0</v>
          </cell>
        </row>
        <row r="434">
          <cell r="F434" t="str">
            <v>1171042904870001</v>
          </cell>
          <cell r="J434">
            <v>0</v>
          </cell>
        </row>
        <row r="435">
          <cell r="F435" t="str">
            <v>1171042612870002</v>
          </cell>
          <cell r="J435">
            <v>0</v>
          </cell>
        </row>
        <row r="436">
          <cell r="F436" t="str">
            <v>1106070506960005</v>
          </cell>
          <cell r="J436">
            <v>0</v>
          </cell>
        </row>
        <row r="437">
          <cell r="F437" t="str">
            <v>3273242705930005</v>
          </cell>
          <cell r="J437">
            <v>0</v>
          </cell>
        </row>
        <row r="438">
          <cell r="F438" t="str">
            <v>3273082703900004</v>
          </cell>
          <cell r="J438">
            <v>0</v>
          </cell>
        </row>
        <row r="439">
          <cell r="F439" t="str">
            <v>3273180507850002</v>
          </cell>
          <cell r="J439">
            <v>362786.12716763007</v>
          </cell>
        </row>
        <row r="440">
          <cell r="F440" t="str">
            <v>3307140204920004</v>
          </cell>
          <cell r="J440">
            <v>0</v>
          </cell>
        </row>
        <row r="441">
          <cell r="F441" t="str">
            <v>3216025202950006</v>
          </cell>
          <cell r="J441">
            <v>0</v>
          </cell>
        </row>
        <row r="442">
          <cell r="F442" t="str">
            <v>3216022209850010</v>
          </cell>
          <cell r="J442">
            <v>0</v>
          </cell>
        </row>
        <row r="443">
          <cell r="F443" t="str">
            <v>3275041508820047</v>
          </cell>
          <cell r="J443">
            <v>0</v>
          </cell>
        </row>
        <row r="444">
          <cell r="F444" t="str">
            <v>3275060510950029</v>
          </cell>
          <cell r="J444">
            <v>0</v>
          </cell>
        </row>
        <row r="445">
          <cell r="F445" t="str">
            <v>3175060807920003</v>
          </cell>
          <cell r="J445">
            <v>0</v>
          </cell>
        </row>
        <row r="446">
          <cell r="F446" t="str">
            <v>3175064210931004</v>
          </cell>
          <cell r="J446">
            <v>0</v>
          </cell>
        </row>
        <row r="447">
          <cell r="F447" t="str">
            <v>3215260208820001</v>
          </cell>
          <cell r="J447">
            <v>0</v>
          </cell>
        </row>
        <row r="448">
          <cell r="F448" t="str">
            <v>3215032212900001</v>
          </cell>
          <cell r="J448">
            <v>0</v>
          </cell>
        </row>
        <row r="449">
          <cell r="F449" t="str">
            <v>3215032812830001</v>
          </cell>
          <cell r="J449">
            <v>0</v>
          </cell>
        </row>
        <row r="450">
          <cell r="F450" t="str">
            <v>3312110903960001</v>
          </cell>
          <cell r="J450">
            <v>0</v>
          </cell>
        </row>
        <row r="451">
          <cell r="F451" t="str">
            <v>3328011911950006</v>
          </cell>
          <cell r="J451">
            <v>971098.26589595375</v>
          </cell>
        </row>
        <row r="452">
          <cell r="F452" t="str">
            <v>3271012212830014</v>
          </cell>
          <cell r="J452">
            <v>1650867.0520231214</v>
          </cell>
        </row>
        <row r="453">
          <cell r="F453" t="str">
            <v>1211103007960001</v>
          </cell>
          <cell r="J453">
            <v>0</v>
          </cell>
        </row>
        <row r="454">
          <cell r="F454" t="str">
            <v>1271152102920003</v>
          </cell>
          <cell r="J454">
            <v>0</v>
          </cell>
        </row>
        <row r="455">
          <cell r="F455" t="str">
            <v>1271150804900001</v>
          </cell>
          <cell r="J455">
            <v>0</v>
          </cell>
        </row>
        <row r="456">
          <cell r="F456" t="str">
            <v>1271050507960001</v>
          </cell>
          <cell r="J456">
            <v>0</v>
          </cell>
        </row>
        <row r="457">
          <cell r="F457" t="str">
            <v>1174041909950001</v>
          </cell>
          <cell r="J457">
            <v>0</v>
          </cell>
        </row>
        <row r="458">
          <cell r="F458" t="str">
            <v>1271060306910008</v>
          </cell>
          <cell r="J458">
            <v>0</v>
          </cell>
        </row>
        <row r="459">
          <cell r="F459" t="str">
            <v>1207232812930008</v>
          </cell>
          <cell r="J459">
            <v>0</v>
          </cell>
        </row>
        <row r="460">
          <cell r="F460" t="str">
            <v>5315062809030002</v>
          </cell>
          <cell r="J460">
            <v>0</v>
          </cell>
        </row>
        <row r="461">
          <cell r="F461" t="str">
            <v>3509170111920002</v>
          </cell>
          <cell r="J461">
            <v>0</v>
          </cell>
        </row>
        <row r="462">
          <cell r="F462" t="str">
            <v>3509213103990004</v>
          </cell>
          <cell r="J462">
            <v>0</v>
          </cell>
        </row>
        <row r="463">
          <cell r="F463" t="str">
            <v>3509131608860003</v>
          </cell>
          <cell r="J463">
            <v>0</v>
          </cell>
        </row>
        <row r="464">
          <cell r="F464" t="str">
            <v>3571011406850006</v>
          </cell>
          <cell r="J464">
            <v>44618.497109826589</v>
          </cell>
        </row>
        <row r="465">
          <cell r="F465" t="str">
            <v>3573051010700008</v>
          </cell>
          <cell r="J465">
            <v>0</v>
          </cell>
        </row>
        <row r="466">
          <cell r="F466" t="str">
            <v>3507242707980002</v>
          </cell>
          <cell r="J466">
            <v>0</v>
          </cell>
        </row>
        <row r="467">
          <cell r="F467" t="str">
            <v>3507171009950001</v>
          </cell>
          <cell r="J467">
            <v>0</v>
          </cell>
        </row>
        <row r="468">
          <cell r="F468" t="str">
            <v>3573021205820003</v>
          </cell>
          <cell r="J468">
            <v>0</v>
          </cell>
        </row>
        <row r="469">
          <cell r="F469" t="str">
            <v>3573031304920003</v>
          </cell>
          <cell r="J469">
            <v>0</v>
          </cell>
        </row>
        <row r="470">
          <cell r="F470" t="str">
            <v>3573021209860002</v>
          </cell>
          <cell r="J470">
            <v>0</v>
          </cell>
        </row>
        <row r="471">
          <cell r="F471" t="str">
            <v>3578100509920003</v>
          </cell>
          <cell r="J471">
            <v>0</v>
          </cell>
        </row>
        <row r="472">
          <cell r="F472" t="str">
            <v>3515112305980003</v>
          </cell>
          <cell r="J472">
            <v>0</v>
          </cell>
        </row>
        <row r="473">
          <cell r="F473" t="str">
            <v>3504110405980002</v>
          </cell>
          <cell r="J473">
            <v>0</v>
          </cell>
        </row>
        <row r="474">
          <cell r="F474" t="str">
            <v>3517111501920001</v>
          </cell>
          <cell r="J474">
            <v>0</v>
          </cell>
        </row>
        <row r="475">
          <cell r="F475" t="str">
            <v>3316040912810002</v>
          </cell>
          <cell r="J475">
            <v>0</v>
          </cell>
        </row>
        <row r="476">
          <cell r="F476" t="str">
            <v>3515010304880001</v>
          </cell>
          <cell r="J476">
            <v>0</v>
          </cell>
        </row>
        <row r="477">
          <cell r="F477" t="str">
            <v>3578251605970001</v>
          </cell>
          <cell r="J477">
            <v>0</v>
          </cell>
        </row>
        <row r="478">
          <cell r="F478" t="str">
            <v>3506210403840002</v>
          </cell>
          <cell r="J478">
            <v>0</v>
          </cell>
        </row>
        <row r="479">
          <cell r="F479" t="str">
            <v>3515032306880002</v>
          </cell>
          <cell r="J479">
            <v>0</v>
          </cell>
        </row>
        <row r="480">
          <cell r="F480" t="str">
            <v>3526110705890002</v>
          </cell>
          <cell r="J480">
            <v>0</v>
          </cell>
        </row>
        <row r="481">
          <cell r="F481" t="str">
            <v>3175093012870005</v>
          </cell>
          <cell r="J481">
            <v>0</v>
          </cell>
        </row>
        <row r="482">
          <cell r="F482" t="str">
            <v>3175015503990005</v>
          </cell>
          <cell r="J482">
            <v>0</v>
          </cell>
        </row>
        <row r="483">
          <cell r="F483" t="str">
            <v>3175036303990010</v>
          </cell>
          <cell r="J483">
            <v>0</v>
          </cell>
        </row>
        <row r="484">
          <cell r="F484" t="str">
            <v>3275022506990013</v>
          </cell>
          <cell r="J484">
            <v>0</v>
          </cell>
        </row>
        <row r="485">
          <cell r="F485" t="str">
            <v>3174082610960002</v>
          </cell>
          <cell r="J485">
            <v>0</v>
          </cell>
        </row>
        <row r="486">
          <cell r="F486" t="str">
            <v>3172042611941003</v>
          </cell>
          <cell r="J486">
            <v>0</v>
          </cell>
        </row>
        <row r="487">
          <cell r="F487" t="str">
            <v>3171043108970001</v>
          </cell>
          <cell r="J487">
            <v>795511.56069364154</v>
          </cell>
        </row>
        <row r="488">
          <cell r="F488" t="str">
            <v>3209391903950002</v>
          </cell>
          <cell r="J488">
            <v>0</v>
          </cell>
        </row>
        <row r="489">
          <cell r="F489" t="str">
            <v>3172045103940003</v>
          </cell>
          <cell r="J489">
            <v>0</v>
          </cell>
        </row>
        <row r="490">
          <cell r="F490" t="str">
            <v>3171080405940001</v>
          </cell>
          <cell r="J490">
            <v>795511.56069364154</v>
          </cell>
        </row>
        <row r="491">
          <cell r="F491" t="str">
            <v>3175061101800023</v>
          </cell>
          <cell r="J491">
            <v>1513031.7919075144</v>
          </cell>
        </row>
        <row r="492">
          <cell r="F492" t="str">
            <v>3208150401930003</v>
          </cell>
          <cell r="J492">
            <v>0</v>
          </cell>
        </row>
        <row r="493">
          <cell r="F493" t="str">
            <v>1505012707010001</v>
          </cell>
          <cell r="J493">
            <v>333687.86127167632</v>
          </cell>
        </row>
        <row r="494">
          <cell r="F494" t="str">
            <v>1101061111030002</v>
          </cell>
          <cell r="J494">
            <v>0</v>
          </cell>
        </row>
        <row r="495">
          <cell r="F495" t="str">
            <v>3275115704020013</v>
          </cell>
          <cell r="J495">
            <v>0</v>
          </cell>
        </row>
        <row r="496">
          <cell r="F496" t="str">
            <v>3175032105990002</v>
          </cell>
          <cell r="J496">
            <v>795511.56069364154</v>
          </cell>
        </row>
        <row r="497">
          <cell r="F497" t="str">
            <v>3305261011970001</v>
          </cell>
          <cell r="J497">
            <v>0</v>
          </cell>
        </row>
        <row r="498">
          <cell r="F498" t="str">
            <v>5103025008820012</v>
          </cell>
          <cell r="J498">
            <v>0</v>
          </cell>
        </row>
        <row r="499">
          <cell r="F499" t="str">
            <v>3603232808010004</v>
          </cell>
          <cell r="J499">
            <v>0</v>
          </cell>
        </row>
        <row r="500">
          <cell r="F500" t="str">
            <v>3601090107950209</v>
          </cell>
          <cell r="J500">
            <v>0</v>
          </cell>
        </row>
        <row r="501">
          <cell r="F501" t="str">
            <v>6473032212970003</v>
          </cell>
          <cell r="J501">
            <v>0</v>
          </cell>
        </row>
        <row r="502">
          <cell r="F502" t="str">
            <v>3671081602990005</v>
          </cell>
          <cell r="J502">
            <v>0</v>
          </cell>
        </row>
        <row r="503">
          <cell r="F503" t="str">
            <v>6471030204830003</v>
          </cell>
          <cell r="J503">
            <v>0</v>
          </cell>
        </row>
        <row r="504">
          <cell r="F504" t="str">
            <v>3215265408910005</v>
          </cell>
          <cell r="J504">
            <v>0</v>
          </cell>
        </row>
        <row r="505">
          <cell r="F505" t="str">
            <v>3175030203960006</v>
          </cell>
          <cell r="J505">
            <v>0</v>
          </cell>
        </row>
        <row r="506">
          <cell r="F506" t="str">
            <v>3175076202971002</v>
          </cell>
          <cell r="J506">
            <v>0</v>
          </cell>
        </row>
        <row r="507">
          <cell r="F507" t="str">
            <v>1608160905050001</v>
          </cell>
          <cell r="J507">
            <v>0</v>
          </cell>
        </row>
        <row r="508">
          <cell r="F508" t="str">
            <v>5315062406020002</v>
          </cell>
          <cell r="J508">
            <v>0</v>
          </cell>
        </row>
        <row r="509">
          <cell r="F509" t="str">
            <v>1113021505920001</v>
          </cell>
          <cell r="J509">
            <v>0</v>
          </cell>
        </row>
        <row r="510">
          <cell r="F510" t="str">
            <v>3374060109060002</v>
          </cell>
          <cell r="J510">
            <v>708973.98843930638</v>
          </cell>
        </row>
        <row r="511">
          <cell r="F511" t="str">
            <v>6371031509990005</v>
          </cell>
          <cell r="J511">
            <v>0</v>
          </cell>
        </row>
        <row r="512">
          <cell r="F512" t="str">
            <v>3201122111990004</v>
          </cell>
          <cell r="J512">
            <v>0</v>
          </cell>
        </row>
        <row r="513">
          <cell r="F513" t="str">
            <v>6471012512010001</v>
          </cell>
          <cell r="J513">
            <v>0</v>
          </cell>
        </row>
        <row r="514">
          <cell r="F514" t="str">
            <v>3174072904960002</v>
          </cell>
          <cell r="J514">
            <v>0</v>
          </cell>
        </row>
        <row r="515">
          <cell r="F515" t="str">
            <v>3514120906990002</v>
          </cell>
          <cell r="J515">
            <v>0</v>
          </cell>
        </row>
        <row r="516">
          <cell r="F516" t="str">
            <v>1601091605960001</v>
          </cell>
          <cell r="J516">
            <v>0</v>
          </cell>
        </row>
        <row r="517">
          <cell r="F517" t="str">
            <v>6402131706970001</v>
          </cell>
          <cell r="J517">
            <v>0</v>
          </cell>
        </row>
        <row r="518">
          <cell r="F518" t="str">
            <v>3524101211000003</v>
          </cell>
          <cell r="J518">
            <v>0</v>
          </cell>
        </row>
        <row r="519">
          <cell r="F519" t="str">
            <v>1611042212020003</v>
          </cell>
          <cell r="J519">
            <v>0</v>
          </cell>
        </row>
        <row r="520">
          <cell r="F520" t="str">
            <v>3601194805000001</v>
          </cell>
          <cell r="J520">
            <v>0</v>
          </cell>
        </row>
        <row r="521">
          <cell r="F521" t="str">
            <v>1371111402020013</v>
          </cell>
          <cell r="J521">
            <v>0</v>
          </cell>
        </row>
        <row r="522">
          <cell r="F522" t="str">
            <v>3276102701810001</v>
          </cell>
          <cell r="J522">
            <v>0</v>
          </cell>
        </row>
        <row r="523">
          <cell r="F523" t="str">
            <v>3521092607960001</v>
          </cell>
          <cell r="J523">
            <v>0</v>
          </cell>
        </row>
        <row r="524">
          <cell r="F524" t="str">
            <v>3272030610960001</v>
          </cell>
          <cell r="J524">
            <v>201300.57803468208</v>
          </cell>
        </row>
        <row r="525">
          <cell r="F525" t="str">
            <v>3312082401000001</v>
          </cell>
          <cell r="J525">
            <v>0</v>
          </cell>
        </row>
        <row r="526">
          <cell r="F526" t="str">
            <v>3403096303030004</v>
          </cell>
          <cell r="J526">
            <v>0</v>
          </cell>
        </row>
        <row r="527">
          <cell r="F527" t="str">
            <v>3301177009000001</v>
          </cell>
          <cell r="J527">
            <v>0</v>
          </cell>
        </row>
        <row r="528">
          <cell r="F528" t="str">
            <v>3175016301980003</v>
          </cell>
          <cell r="J528">
            <v>0</v>
          </cell>
        </row>
        <row r="529">
          <cell r="F529" t="str">
            <v>3311062509010003</v>
          </cell>
          <cell r="J529">
            <v>0</v>
          </cell>
        </row>
        <row r="530">
          <cell r="F530" t="str">
            <v>3321021507960003</v>
          </cell>
          <cell r="J530">
            <v>0</v>
          </cell>
        </row>
        <row r="531">
          <cell r="F531" t="str">
            <v>3311070605040001</v>
          </cell>
          <cell r="J531">
            <v>0</v>
          </cell>
        </row>
        <row r="532">
          <cell r="F532" t="str">
            <v>1571021206030001</v>
          </cell>
          <cell r="J532">
            <v>0</v>
          </cell>
        </row>
        <row r="533">
          <cell r="F533" t="str">
            <v>1571072606060181</v>
          </cell>
          <cell r="J533">
            <v>0</v>
          </cell>
        </row>
        <row r="534">
          <cell r="F534" t="str">
            <v>3175080611010006</v>
          </cell>
          <cell r="J534">
            <v>0</v>
          </cell>
        </row>
        <row r="535">
          <cell r="F535" t="str">
            <v>7171070705030001</v>
          </cell>
          <cell r="J535">
            <v>0</v>
          </cell>
        </row>
        <row r="536">
          <cell r="F536" t="str">
            <v>1104172308990001</v>
          </cell>
          <cell r="J536">
            <v>0</v>
          </cell>
        </row>
        <row r="537">
          <cell r="F537" t="str">
            <v>7171031206990002</v>
          </cell>
          <cell r="J537">
            <v>0</v>
          </cell>
        </row>
        <row r="538">
          <cell r="F538" t="str">
            <v>3401122605960001</v>
          </cell>
          <cell r="J538">
            <v>99791.907514450868</v>
          </cell>
        </row>
        <row r="539">
          <cell r="F539" t="str">
            <v>3404021001010001</v>
          </cell>
          <cell r="J539">
            <v>122820.80924855491</v>
          </cell>
        </row>
        <row r="540">
          <cell r="F540" t="str">
            <v>3174054603040008</v>
          </cell>
          <cell r="J540">
            <v>0</v>
          </cell>
        </row>
        <row r="541">
          <cell r="F541" t="str">
            <v>5271021709990001</v>
          </cell>
          <cell r="J541">
            <v>0</v>
          </cell>
        </row>
        <row r="542">
          <cell r="F542" t="str">
            <v>3173010205870010</v>
          </cell>
          <cell r="J542">
            <v>0</v>
          </cell>
        </row>
        <row r="543">
          <cell r="F543" t="str">
            <v>3173072305020005</v>
          </cell>
          <cell r="J543">
            <v>0</v>
          </cell>
        </row>
        <row r="544">
          <cell r="F544" t="str">
            <v>3275026410030003</v>
          </cell>
          <cell r="J544">
            <v>0</v>
          </cell>
        </row>
        <row r="545">
          <cell r="F545" t="str">
            <v>3313111101970002</v>
          </cell>
          <cell r="J545">
            <v>0</v>
          </cell>
        </row>
        <row r="546">
          <cell r="F546" t="str">
            <v>1610102909030002</v>
          </cell>
          <cell r="J546">
            <v>0</v>
          </cell>
        </row>
        <row r="547">
          <cell r="F547" t="str">
            <v>3602130501030002</v>
          </cell>
          <cell r="J547">
            <v>436751.44508670521</v>
          </cell>
        </row>
        <row r="548">
          <cell r="F548" t="str">
            <v>3578081012020002</v>
          </cell>
          <cell r="J548">
            <v>0</v>
          </cell>
        </row>
        <row r="549">
          <cell r="F549" t="str">
            <v>3578040212900004</v>
          </cell>
          <cell r="J549">
            <v>0</v>
          </cell>
        </row>
        <row r="550">
          <cell r="F550" t="str">
            <v>1404201711010001</v>
          </cell>
          <cell r="J550">
            <v>0</v>
          </cell>
        </row>
        <row r="551">
          <cell r="F551" t="str">
            <v>3573042011890004</v>
          </cell>
          <cell r="J551">
            <v>0</v>
          </cell>
        </row>
        <row r="552">
          <cell r="F552" t="str">
            <v>3515141909000003</v>
          </cell>
          <cell r="J552">
            <v>0</v>
          </cell>
        </row>
        <row r="553">
          <cell r="F553" t="str">
            <v>3603280410000005</v>
          </cell>
          <cell r="J553">
            <v>0</v>
          </cell>
        </row>
        <row r="554">
          <cell r="F554" t="str">
            <v>3578286612980001</v>
          </cell>
          <cell r="J554">
            <v>0</v>
          </cell>
        </row>
        <row r="555">
          <cell r="F555" t="str">
            <v>1204094212990001</v>
          </cell>
          <cell r="J555">
            <v>0</v>
          </cell>
        </row>
        <row r="556">
          <cell r="F556" t="str">
            <v>3175041107750011</v>
          </cell>
          <cell r="J556">
            <v>0</v>
          </cell>
        </row>
        <row r="557">
          <cell r="F557" t="str">
            <v>3671061101750004</v>
          </cell>
          <cell r="J557">
            <v>0</v>
          </cell>
        </row>
        <row r="558">
          <cell r="F558" t="str">
            <v>3173072503780005</v>
          </cell>
          <cell r="J558">
            <v>0</v>
          </cell>
        </row>
        <row r="559">
          <cell r="F559" t="str">
            <v>3216020507770019</v>
          </cell>
          <cell r="J559">
            <v>0</v>
          </cell>
        </row>
        <row r="560">
          <cell r="F560" t="str">
            <v>3674032104730001</v>
          </cell>
          <cell r="J560">
            <v>0</v>
          </cell>
        </row>
        <row r="561">
          <cell r="F561" t="str">
            <v>3671062203790006</v>
          </cell>
          <cell r="J561">
            <v>416184.97109826596</v>
          </cell>
        </row>
        <row r="562">
          <cell r="F562" t="str">
            <v>3275050112790008</v>
          </cell>
          <cell r="J562">
            <v>0</v>
          </cell>
        </row>
        <row r="563">
          <cell r="F563" t="str">
            <v>3674031806800015</v>
          </cell>
          <cell r="J563">
            <v>0</v>
          </cell>
        </row>
        <row r="564">
          <cell r="F564" t="str">
            <v>3671062909030004</v>
          </cell>
          <cell r="J564">
            <v>0</v>
          </cell>
        </row>
        <row r="565">
          <cell r="F565" t="str">
            <v>3201220111970001</v>
          </cell>
          <cell r="J565">
            <v>0</v>
          </cell>
        </row>
        <row r="566">
          <cell r="F566" t="str">
            <v>3208220703920001</v>
          </cell>
          <cell r="J566">
            <v>374358.38150289014</v>
          </cell>
        </row>
        <row r="567">
          <cell r="F567" t="str">
            <v>3602141609910001</v>
          </cell>
          <cell r="J567">
            <v>374358.38150289014</v>
          </cell>
        </row>
        <row r="568">
          <cell r="F568" t="str">
            <v>3602142311950003</v>
          </cell>
          <cell r="J568">
            <v>62393.063583815027</v>
          </cell>
        </row>
        <row r="569">
          <cell r="F569" t="str">
            <v>3172042502991001</v>
          </cell>
          <cell r="J569">
            <v>1060682.0809248555</v>
          </cell>
        </row>
        <row r="570">
          <cell r="F570" t="str">
            <v>3305070209870001</v>
          </cell>
          <cell r="J570">
            <v>530341.04046242777</v>
          </cell>
        </row>
        <row r="571">
          <cell r="F571" t="str">
            <v>3175022905840009</v>
          </cell>
          <cell r="J571">
            <v>530341.04046242777</v>
          </cell>
        </row>
        <row r="572">
          <cell r="F572" t="str">
            <v>3275121607810007</v>
          </cell>
          <cell r="J572">
            <v>623930.63583815028</v>
          </cell>
        </row>
        <row r="573">
          <cell r="F573" t="str">
            <v>3704211509780346</v>
          </cell>
          <cell r="J573">
            <v>155982.65895953757</v>
          </cell>
        </row>
        <row r="574">
          <cell r="F574" t="str">
            <v>3275011408850032</v>
          </cell>
          <cell r="J574">
            <v>811109.82658959529</v>
          </cell>
        </row>
        <row r="575">
          <cell r="F575" t="str">
            <v>3175060510850020</v>
          </cell>
          <cell r="J575">
            <v>93589.595375722536</v>
          </cell>
        </row>
        <row r="576">
          <cell r="F576" t="str">
            <v>3305260511890001</v>
          </cell>
          <cell r="J576">
            <v>686323.69942196528</v>
          </cell>
        </row>
        <row r="577">
          <cell r="F577" t="str">
            <v>3172041503890004</v>
          </cell>
          <cell r="J577">
            <v>967092.48554913292</v>
          </cell>
        </row>
        <row r="578">
          <cell r="F578" t="str">
            <v>3175020811780007</v>
          </cell>
          <cell r="J578">
            <v>811109.82658959529</v>
          </cell>
        </row>
        <row r="579">
          <cell r="F579" t="str">
            <v>3602142108840002</v>
          </cell>
          <cell r="J579">
            <v>374358.38150289014</v>
          </cell>
        </row>
        <row r="580">
          <cell r="F580" t="str">
            <v>3175061303970011</v>
          </cell>
          <cell r="J580">
            <v>1185468.2080924856</v>
          </cell>
        </row>
        <row r="581">
          <cell r="F581" t="str">
            <v>3172041109950006</v>
          </cell>
          <cell r="J581">
            <v>842306.35838150291</v>
          </cell>
        </row>
        <row r="582">
          <cell r="F582" t="str">
            <v>3172042404890012</v>
          </cell>
          <cell r="J582">
            <v>748716.76300578029</v>
          </cell>
        </row>
        <row r="583">
          <cell r="F583" t="str">
            <v>3172041906971001</v>
          </cell>
          <cell r="J583">
            <v>857904.62427745666</v>
          </cell>
        </row>
        <row r="584">
          <cell r="F584" t="str">
            <v>3602140610950003</v>
          </cell>
          <cell r="J584">
            <v>436751.44508670521</v>
          </cell>
        </row>
        <row r="585">
          <cell r="F585" t="str">
            <v>1672052306940001</v>
          </cell>
          <cell r="J585">
            <v>218375.7225433526</v>
          </cell>
        </row>
        <row r="586">
          <cell r="F586" t="str">
            <v>3524091006930002</v>
          </cell>
          <cell r="J586">
            <v>374358.38150289014</v>
          </cell>
        </row>
        <row r="587">
          <cell r="F587" t="str">
            <v>3172040307001001</v>
          </cell>
          <cell r="J587">
            <v>842306.35838150291</v>
          </cell>
        </row>
        <row r="588">
          <cell r="F588" t="str">
            <v>3175070707840019</v>
          </cell>
          <cell r="J588">
            <v>343161.84971098264</v>
          </cell>
        </row>
        <row r="589">
          <cell r="F589" t="str">
            <v>3172041905860012</v>
          </cell>
          <cell r="J589">
            <v>93589.595375722536</v>
          </cell>
        </row>
        <row r="590">
          <cell r="F590" t="str">
            <v>3216022608980012</v>
          </cell>
          <cell r="J590">
            <v>561537.57225433527</v>
          </cell>
        </row>
        <row r="591">
          <cell r="F591" t="str">
            <v>3213261111860007</v>
          </cell>
          <cell r="J591">
            <v>249572.25433526011</v>
          </cell>
        </row>
        <row r="592">
          <cell r="F592" t="str">
            <v>3207150505810003</v>
          </cell>
          <cell r="J592">
            <v>218375.7225433526</v>
          </cell>
        </row>
        <row r="593">
          <cell r="F593" t="str">
            <v>3216011311940001</v>
          </cell>
          <cell r="J593">
            <v>187179.19075144507</v>
          </cell>
        </row>
        <row r="594">
          <cell r="F594" t="str">
            <v>3175082310850001</v>
          </cell>
          <cell r="J594">
            <v>0</v>
          </cell>
        </row>
        <row r="595">
          <cell r="F595" t="str">
            <v>3174081106750001</v>
          </cell>
          <cell r="J595">
            <v>0</v>
          </cell>
        </row>
        <row r="596">
          <cell r="F596" t="str">
            <v>3275040710830019</v>
          </cell>
          <cell r="J596">
            <v>0</v>
          </cell>
        </row>
        <row r="597">
          <cell r="F597" t="str">
            <v>3175021904770002</v>
          </cell>
          <cell r="J597">
            <v>0</v>
          </cell>
        </row>
        <row r="598">
          <cell r="F598" t="str">
            <v>3275022712860016</v>
          </cell>
          <cell r="J598">
            <v>0</v>
          </cell>
        </row>
        <row r="599">
          <cell r="F599" t="str">
            <v>5319010905950003</v>
          </cell>
          <cell r="J599">
            <v>0</v>
          </cell>
        </row>
        <row r="600">
          <cell r="F600" t="str">
            <v>3172041008721001</v>
          </cell>
          <cell r="J600">
            <v>0</v>
          </cell>
        </row>
        <row r="601">
          <cell r="F601" t="str">
            <v>3175071308850016</v>
          </cell>
          <cell r="J601">
            <v>0</v>
          </cell>
        </row>
        <row r="602">
          <cell r="F602" t="str">
            <v>3175102009870004</v>
          </cell>
          <cell r="J602">
            <v>0</v>
          </cell>
        </row>
        <row r="603">
          <cell r="F603" t="str">
            <v>3276050605790008</v>
          </cell>
          <cell r="J603">
            <v>0</v>
          </cell>
        </row>
        <row r="604">
          <cell r="F604" t="str">
            <v>3175060304890009</v>
          </cell>
          <cell r="J604">
            <v>155982.65895953757</v>
          </cell>
        </row>
        <row r="605">
          <cell r="F605" t="str">
            <v>3175057008980004</v>
          </cell>
          <cell r="J605">
            <v>0</v>
          </cell>
        </row>
        <row r="606">
          <cell r="F606" t="str">
            <v>3175091903970003</v>
          </cell>
          <cell r="J606">
            <v>93589.595375722536</v>
          </cell>
        </row>
        <row r="607">
          <cell r="F607" t="str">
            <v>3175022610800003</v>
          </cell>
          <cell r="J607">
            <v>311965.31791907514</v>
          </cell>
        </row>
        <row r="608">
          <cell r="F608" t="str">
            <v>3175021901770002</v>
          </cell>
          <cell r="J608">
            <v>374358.38150289014</v>
          </cell>
        </row>
        <row r="609">
          <cell r="F609" t="str">
            <v>3172042602900002</v>
          </cell>
          <cell r="J609">
            <v>779913.29479768779</v>
          </cell>
        </row>
        <row r="610">
          <cell r="F610" t="str">
            <v>3172030407830008</v>
          </cell>
          <cell r="J610">
            <v>311965.31791907514</v>
          </cell>
        </row>
        <row r="611">
          <cell r="F611" t="str">
            <v>3172041909961004</v>
          </cell>
          <cell r="J611">
            <v>904699.42196531792</v>
          </cell>
        </row>
        <row r="612">
          <cell r="F612" t="str">
            <v>3211112303890004</v>
          </cell>
          <cell r="J612">
            <v>0</v>
          </cell>
        </row>
        <row r="613">
          <cell r="F613" t="str">
            <v>3273022006990002</v>
          </cell>
          <cell r="J613">
            <v>0</v>
          </cell>
        </row>
        <row r="614">
          <cell r="F614" t="str">
            <v>3204250301900009</v>
          </cell>
          <cell r="J614">
            <v>0</v>
          </cell>
        </row>
        <row r="615">
          <cell r="F615" t="str">
            <v>3211150809860008</v>
          </cell>
          <cell r="J615">
            <v>0</v>
          </cell>
        </row>
        <row r="616">
          <cell r="F616" t="str">
            <v>3211142508960002</v>
          </cell>
          <cell r="J616">
            <v>0</v>
          </cell>
        </row>
        <row r="617">
          <cell r="F617" t="str">
            <v>3211140304980007</v>
          </cell>
          <cell r="J617">
            <v>0</v>
          </cell>
        </row>
        <row r="618">
          <cell r="F618" t="str">
            <v>3204352106940002</v>
          </cell>
          <cell r="J618">
            <v>0</v>
          </cell>
        </row>
        <row r="619">
          <cell r="F619" t="str">
            <v>3211141303930012</v>
          </cell>
          <cell r="J619">
            <v>0</v>
          </cell>
        </row>
        <row r="620">
          <cell r="F620" t="str">
            <v>3205132304940001</v>
          </cell>
          <cell r="J620">
            <v>0</v>
          </cell>
        </row>
        <row r="621">
          <cell r="F621" t="str">
            <v>3211110507940001</v>
          </cell>
          <cell r="J621">
            <v>0</v>
          </cell>
        </row>
        <row r="622">
          <cell r="F622" t="str">
            <v>3211140608920012</v>
          </cell>
          <cell r="J622">
            <v>0</v>
          </cell>
        </row>
        <row r="623">
          <cell r="F623" t="str">
            <v>3211142909900002</v>
          </cell>
          <cell r="J623">
            <v>0</v>
          </cell>
        </row>
        <row r="624">
          <cell r="F624" t="str">
            <v>3211111111960004</v>
          </cell>
          <cell r="J624">
            <v>0</v>
          </cell>
        </row>
        <row r="625">
          <cell r="F625" t="str">
            <v>3205101712960002</v>
          </cell>
          <cell r="J625">
            <v>0</v>
          </cell>
        </row>
        <row r="626">
          <cell r="F626" t="str">
            <v>3273020906870004</v>
          </cell>
          <cell r="J626">
            <v>0</v>
          </cell>
        </row>
        <row r="627">
          <cell r="F627" t="str">
            <v>3302191204880001</v>
          </cell>
          <cell r="J627">
            <v>0</v>
          </cell>
        </row>
        <row r="628">
          <cell r="F628" t="str">
            <v>3211112709040003</v>
          </cell>
          <cell r="J628">
            <v>0</v>
          </cell>
        </row>
        <row r="629">
          <cell r="F629" t="str">
            <v>3211141404950013</v>
          </cell>
          <cell r="J629">
            <v>0</v>
          </cell>
        </row>
        <row r="630">
          <cell r="F630" t="str">
            <v>3211140910940006</v>
          </cell>
          <cell r="J630">
            <v>0</v>
          </cell>
        </row>
        <row r="631">
          <cell r="F631" t="str">
            <v>3273021703760001</v>
          </cell>
          <cell r="J631">
            <v>0</v>
          </cell>
        </row>
        <row r="632">
          <cell r="F632" t="str">
            <v>3278043001730003</v>
          </cell>
          <cell r="J632">
            <v>0</v>
          </cell>
        </row>
        <row r="633">
          <cell r="F633" t="str">
            <v>3204251302920002</v>
          </cell>
          <cell r="J633">
            <v>0</v>
          </cell>
        </row>
        <row r="634">
          <cell r="F634" t="str">
            <v>3211142102000010</v>
          </cell>
          <cell r="J634">
            <v>0</v>
          </cell>
        </row>
        <row r="635">
          <cell r="F635" t="str">
            <v>3175046709920004</v>
          </cell>
          <cell r="J635">
            <v>0</v>
          </cell>
        </row>
        <row r="636">
          <cell r="F636" t="str">
            <v>1271071902860001</v>
          </cell>
          <cell r="J636">
            <v>0</v>
          </cell>
        </row>
        <row r="637">
          <cell r="F637" t="str">
            <v>3172053105061003</v>
          </cell>
          <cell r="J637">
            <v>296367.05202312139</v>
          </cell>
        </row>
        <row r="638">
          <cell r="F638" t="str">
            <v>1572020508030002</v>
          </cell>
          <cell r="J638">
            <v>0</v>
          </cell>
        </row>
        <row r="639">
          <cell r="F639" t="str">
            <v>3175032111931002</v>
          </cell>
          <cell r="J639">
            <v>0</v>
          </cell>
        </row>
        <row r="640">
          <cell r="F640" t="str">
            <v>3175071201990008</v>
          </cell>
          <cell r="J640">
            <v>0</v>
          </cell>
        </row>
        <row r="641">
          <cell r="F641" t="str">
            <v>3671132702720002</v>
          </cell>
          <cell r="J641">
            <v>0</v>
          </cell>
        </row>
        <row r="642">
          <cell r="F642" t="str">
            <v>3172037008830005</v>
          </cell>
          <cell r="J642">
            <v>0</v>
          </cell>
        </row>
        <row r="643">
          <cell r="F643" t="str">
            <v>3578252302020001</v>
          </cell>
          <cell r="J643">
            <v>0</v>
          </cell>
        </row>
        <row r="644">
          <cell r="F644" t="str">
            <v>3578060406810007</v>
          </cell>
          <cell r="J644">
            <v>0</v>
          </cell>
        </row>
        <row r="645">
          <cell r="F645" t="str">
            <v>3579022708940001</v>
          </cell>
          <cell r="J645">
            <v>0</v>
          </cell>
        </row>
        <row r="646">
          <cell r="F646" t="str">
            <v>3578040703060003</v>
          </cell>
          <cell r="J646">
            <v>0</v>
          </cell>
        </row>
        <row r="647">
          <cell r="F647" t="str">
            <v>3578225501990001</v>
          </cell>
          <cell r="J647">
            <v>0</v>
          </cell>
        </row>
        <row r="648">
          <cell r="F648" t="str">
            <v>7102126912000001</v>
          </cell>
          <cell r="J648">
            <v>0</v>
          </cell>
        </row>
        <row r="649">
          <cell r="F649" t="str">
            <v>5101056410770001</v>
          </cell>
          <cell r="J649">
            <v>0</v>
          </cell>
        </row>
        <row r="650">
          <cell r="F650" t="str">
            <v>1408121403010002</v>
          </cell>
          <cell r="J650">
            <v>0</v>
          </cell>
        </row>
        <row r="651">
          <cell r="F651" t="str">
            <v>3275022005050001</v>
          </cell>
          <cell r="J651">
            <v>0</v>
          </cell>
        </row>
        <row r="652">
          <cell r="F652" t="str">
            <v>7171021506070005</v>
          </cell>
          <cell r="J652">
            <v>88439.306358381509</v>
          </cell>
        </row>
        <row r="653">
          <cell r="F653" t="str">
            <v>3174062812970003</v>
          </cell>
          <cell r="J653">
            <v>704552.02312138723</v>
          </cell>
        </row>
        <row r="654">
          <cell r="F654" t="str">
            <v>3507212908940002</v>
          </cell>
          <cell r="J654">
            <v>0</v>
          </cell>
        </row>
        <row r="655">
          <cell r="F655" t="str">
            <v>3211141506940005</v>
          </cell>
          <cell r="J655">
            <v>0</v>
          </cell>
        </row>
        <row r="656">
          <cell r="F656" t="str">
            <v>3211142009720004</v>
          </cell>
          <cell r="J656">
            <v>0</v>
          </cell>
        </row>
        <row r="657">
          <cell r="F657" t="str">
            <v>3216011704890008</v>
          </cell>
          <cell r="J657">
            <v>0</v>
          </cell>
        </row>
        <row r="658">
          <cell r="F658" t="str">
            <v>3175021104990003</v>
          </cell>
          <cell r="J658">
            <v>187179.19075144507</v>
          </cell>
        </row>
        <row r="659">
          <cell r="F659" t="str">
            <v>3172042507850004</v>
          </cell>
          <cell r="J659">
            <v>0</v>
          </cell>
        </row>
        <row r="660">
          <cell r="F660" t="str">
            <v>3172041610780009</v>
          </cell>
          <cell r="J660">
            <v>0</v>
          </cell>
        </row>
        <row r="661">
          <cell r="F661" t="str">
            <v>3172040104850008</v>
          </cell>
          <cell r="J661">
            <v>0</v>
          </cell>
        </row>
        <row r="662">
          <cell r="F662" t="str">
            <v>3275021701030027</v>
          </cell>
          <cell r="J662">
            <v>0</v>
          </cell>
        </row>
        <row r="663">
          <cell r="F663" t="str">
            <v>3329061910930002</v>
          </cell>
          <cell r="J663">
            <v>0</v>
          </cell>
        </row>
        <row r="664">
          <cell r="F664" t="str">
            <v>3173070110981001</v>
          </cell>
          <cell r="J664">
            <v>62393.063583815027</v>
          </cell>
        </row>
        <row r="665">
          <cell r="F665" t="str">
            <v>3175062404840039</v>
          </cell>
          <cell r="J665">
            <v>0</v>
          </cell>
        </row>
        <row r="666">
          <cell r="F666" t="str">
            <v>3301083003800002</v>
          </cell>
          <cell r="J666">
            <v>0</v>
          </cell>
        </row>
        <row r="667">
          <cell r="F667" t="str">
            <v>3172042103810008</v>
          </cell>
          <cell r="J667">
            <v>62393.063583815027</v>
          </cell>
        </row>
        <row r="668">
          <cell r="F668" t="str">
            <v>3171062009790005</v>
          </cell>
          <cell r="J668">
            <v>0</v>
          </cell>
        </row>
        <row r="669">
          <cell r="F669" t="str">
            <v>3275061405800024</v>
          </cell>
          <cell r="J669">
            <v>0</v>
          </cell>
        </row>
        <row r="670">
          <cell r="F670" t="str">
            <v>3175060611900019</v>
          </cell>
          <cell r="J670">
            <v>0</v>
          </cell>
        </row>
        <row r="671">
          <cell r="F671" t="str">
            <v>3671061003050010</v>
          </cell>
          <cell r="J671">
            <v>0</v>
          </cell>
        </row>
        <row r="672">
          <cell r="F672" t="str">
            <v>3172041709770013</v>
          </cell>
          <cell r="J672">
            <v>124786.12716763005</v>
          </cell>
        </row>
        <row r="673">
          <cell r="F673" t="str">
            <v>3172033112790030</v>
          </cell>
          <cell r="J673">
            <v>0</v>
          </cell>
        </row>
        <row r="674">
          <cell r="F674" t="str">
            <v>3172040601820004</v>
          </cell>
          <cell r="J674">
            <v>187179.19075144507</v>
          </cell>
        </row>
        <row r="675">
          <cell r="F675" t="str">
            <v>3175033008830001</v>
          </cell>
          <cell r="J675">
            <v>0</v>
          </cell>
        </row>
        <row r="676">
          <cell r="F676" t="str">
            <v>3175100907900001</v>
          </cell>
          <cell r="J676">
            <v>124786.12716763005</v>
          </cell>
        </row>
        <row r="677">
          <cell r="F677" t="str">
            <v>3172041803951005</v>
          </cell>
          <cell r="J677">
            <v>0</v>
          </cell>
        </row>
        <row r="678">
          <cell r="F678" t="str">
            <v>3172040511830007</v>
          </cell>
          <cell r="J678">
            <v>0</v>
          </cell>
        </row>
        <row r="679">
          <cell r="F679" t="str">
            <v>3671061011800003</v>
          </cell>
          <cell r="J679">
            <v>0</v>
          </cell>
        </row>
        <row r="680">
          <cell r="F680" t="str">
            <v>3174041910790009</v>
          </cell>
          <cell r="J680">
            <v>0</v>
          </cell>
        </row>
        <row r="681">
          <cell r="F681" t="str">
            <v>3404102503020003</v>
          </cell>
          <cell r="J681">
            <v>276346.82080924854</v>
          </cell>
        </row>
        <row r="682">
          <cell r="F682" t="str">
            <v>3404102308030001</v>
          </cell>
          <cell r="J682">
            <v>207260.11560693642</v>
          </cell>
        </row>
        <row r="683">
          <cell r="F683" t="str">
            <v>3404071204040003</v>
          </cell>
          <cell r="J683">
            <v>207260.11560693642</v>
          </cell>
        </row>
        <row r="684">
          <cell r="F684" t="str">
            <v>3404112009030002</v>
          </cell>
          <cell r="J684">
            <v>61410.404624277457</v>
          </cell>
        </row>
        <row r="685">
          <cell r="F685" t="str">
            <v>1802092110970001</v>
          </cell>
          <cell r="J685">
            <v>0</v>
          </cell>
        </row>
        <row r="686">
          <cell r="F686" t="str">
            <v>6171015710990006</v>
          </cell>
          <cell r="J686">
            <v>0</v>
          </cell>
        </row>
        <row r="687">
          <cell r="F687" t="str">
            <v>1571014502030021</v>
          </cell>
          <cell r="J687">
            <v>0</v>
          </cell>
        </row>
        <row r="688">
          <cell r="F688" t="str">
            <v>3404170304050001</v>
          </cell>
          <cell r="J688">
            <v>30705.202312138728</v>
          </cell>
        </row>
        <row r="689">
          <cell r="F689" t="str">
            <v>6304050406050002</v>
          </cell>
          <cell r="J689">
            <v>0</v>
          </cell>
        </row>
        <row r="690">
          <cell r="F690" t="str">
            <v>6371050506040001</v>
          </cell>
          <cell r="J690">
            <v>0</v>
          </cell>
        </row>
        <row r="691">
          <cell r="F691" t="str">
            <v>3175091709010007</v>
          </cell>
          <cell r="J691">
            <v>0</v>
          </cell>
        </row>
        <row r="692">
          <cell r="F692" t="str">
            <v>3404090404980001</v>
          </cell>
          <cell r="J692">
            <v>99791.907514450868</v>
          </cell>
        </row>
        <row r="693">
          <cell r="F693" t="str">
            <v>1403096306999709</v>
          </cell>
          <cell r="J693">
            <v>0</v>
          </cell>
        </row>
        <row r="694">
          <cell r="F694" t="str">
            <v>1703142002970001</v>
          </cell>
          <cell r="J694">
            <v>0</v>
          </cell>
        </row>
        <row r="695">
          <cell r="F695" t="str">
            <v>6372022108020006</v>
          </cell>
          <cell r="J695">
            <v>0</v>
          </cell>
        </row>
        <row r="696">
          <cell r="F696" t="str">
            <v>3311082201050002</v>
          </cell>
          <cell r="J696">
            <v>0</v>
          </cell>
        </row>
        <row r="697">
          <cell r="F697" t="str">
            <v>3213144202010005</v>
          </cell>
          <cell r="J697">
            <v>0</v>
          </cell>
        </row>
        <row r="698">
          <cell r="F698" t="str">
            <v>1601091308010004</v>
          </cell>
          <cell r="J698">
            <v>0</v>
          </cell>
        </row>
        <row r="699">
          <cell r="F699" t="str">
            <v>3314072612980001</v>
          </cell>
          <cell r="J699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3"/>
      <sheetName val="Sheet5"/>
      <sheetName val="Sheet4"/>
      <sheetName val="Sheet6"/>
      <sheetName val="Reguler"/>
      <sheetName val="Irreguler"/>
      <sheetName val="REKAP BS"/>
      <sheetName val="Sheet1"/>
      <sheetName val="List Unit"/>
      <sheetName val="List PIC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>Cyintia Sianipar</v>
          </cell>
          <cell r="C3" t="str">
            <v>SPA</v>
          </cell>
          <cell r="D3" t="str">
            <v>GLKU</v>
          </cell>
          <cell r="E3">
            <v>99090</v>
          </cell>
        </row>
        <row r="4">
          <cell r="B4" t="str">
            <v>Muammad Alan</v>
          </cell>
          <cell r="C4" t="str">
            <v>SPA</v>
          </cell>
          <cell r="D4" t="str">
            <v>GLKU</v>
          </cell>
          <cell r="E4">
            <v>99090</v>
          </cell>
        </row>
        <row r="5">
          <cell r="B5" t="str">
            <v>Muhammad Akbar</v>
          </cell>
          <cell r="C5" t="str">
            <v>Security (Anggota)</v>
          </cell>
          <cell r="D5" t="str">
            <v>Gramedia Jalma</v>
          </cell>
          <cell r="E5" t="str">
            <v>10477</v>
          </cell>
        </row>
        <row r="6">
          <cell r="B6" t="str">
            <v>Arif Nurahman</v>
          </cell>
          <cell r="C6" t="str">
            <v>Administrator</v>
          </cell>
          <cell r="D6" t="str">
            <v>National Sales &amp; Promotion</v>
          </cell>
          <cell r="E6" t="str">
            <v>33086</v>
          </cell>
        </row>
        <row r="7">
          <cell r="B7" t="str">
            <v>NOFRI FOHENDRA</v>
          </cell>
          <cell r="C7" t="str">
            <v>Chief Security</v>
          </cell>
          <cell r="D7" t="str">
            <v>Padang</v>
          </cell>
          <cell r="E7" t="str">
            <v>18101</v>
          </cell>
        </row>
        <row r="8">
          <cell r="B8" t="str">
            <v>ARYA</v>
          </cell>
          <cell r="C8" t="str">
            <v>IT Aprenticehip</v>
          </cell>
          <cell r="D8" t="str">
            <v>Operational</v>
          </cell>
          <cell r="E8" t="str">
            <v>Operational</v>
          </cell>
        </row>
        <row r="9">
          <cell r="B9" t="str">
            <v>Andini Nabila</v>
          </cell>
          <cell r="C9" t="str">
            <v>Customer Services</v>
          </cell>
          <cell r="D9" t="str">
            <v>National Sales and Promotion</v>
          </cell>
          <cell r="E9" t="str">
            <v>33086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aryotskskw.00@outlook.com" id="{BF1C9265-71B1-4C92-8B15-50C953710FBE}" userId="0bc08ee68a1f0a1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6-02-04T08:30:48.17" personId="{BF1C9265-71B1-4C92-8B15-50C953710FBE}" id="{C1210E31-ED7F-4FF9-85CA-27941D8654D3}">
    <text>Jangan lupa BPJS di non aktifkan per Januari 2026 tapi gaji dibayarkan</text>
  </threadedComment>
  <threadedComment ref="BE563" dT="2025-10-12T22:28:45.02" personId="{BF1C9265-71B1-4C92-8B15-50C953710FBE}" id="{AC2D6D27-00FE-433F-8580-13763E053888}">
    <text>Bulan ini tidak masuk Setoran, tapi akan di rapel di iuran bulan berikutnya</text>
  </threadedComment>
  <threadedComment ref="AJ661" dT="2026-01-30T09:05:03.53" personId="{BF1C9265-71B1-4C92-8B15-50C953710FBE}" id="{56DBDD92-25D2-48E8-8B97-AFC73A67DC74}">
    <text>Kelebihan gaji yang wajib dikembalikan</text>
  </threadedComment>
  <threadedComment ref="AJ663" dT="2026-01-30T09:05:23.92" personId="{BF1C9265-71B1-4C92-8B15-50C953710FBE}" id="{65A77BBB-D127-4719-A400-569631B6D5B4}">
    <text>Kelebihan gaji yang wajib dikembalikan</text>
  </threadedComment>
  <threadedComment ref="AJ665" dT="2026-01-30T09:05:32.02" personId="{BF1C9265-71B1-4C92-8B15-50C953710FBE}" id="{66AC72D8-2432-411A-91F7-10B3CB20B073}">
    <text>Kelebihan gaji yang wajib dikembalikan</text>
  </threadedComment>
  <threadedComment ref="BD669" dT="2026-02-04T12:19:02.94" personId="{BF1C9265-71B1-4C92-8B15-50C953710FBE}" id="{FE5C1812-91DD-4A5A-946D-15404117DF23}">
    <text>Bulan depan potong gaji tambahan</text>
  </threadedComment>
  <threadedComment ref="AH688" dT="2025-12-29T06:24:13.40" personId="{BF1C9265-71B1-4C92-8B15-50C953710FBE}" id="{B20B9F56-7105-458A-BDC7-80E27158D574}">
    <text>Kontrak tidak diperpanjang oleh User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11E0-C688-49AE-89AA-93DC35478043}">
  <dimension ref="A1:BQ698"/>
  <sheetViews>
    <sheetView tabSelected="1" zoomScale="115" zoomScaleNormal="115" workbookViewId="0">
      <pane ySplit="1" topLeftCell="A691" activePane="bottomLeft" state="frozen"/>
      <selection activeCell="AB1" sqref="AB1"/>
      <selection pane="bottomLeft" activeCell="B702" sqref="B702"/>
    </sheetView>
  </sheetViews>
  <sheetFormatPr defaultRowHeight="14.4" x14ac:dyDescent="0.3"/>
  <cols>
    <col min="1" max="1" width="8.88671875" style="2"/>
    <col min="2" max="2" width="31.44140625" style="4" customWidth="1"/>
    <col min="3" max="3" width="33.88671875" hidden="1" customWidth="1"/>
    <col min="4" max="4" width="15.77734375" hidden="1" customWidth="1"/>
    <col min="5" max="6" width="8.77734375" hidden="1" customWidth="1"/>
    <col min="7" max="7" width="127.88671875" hidden="1" customWidth="1"/>
    <col min="8" max="8" width="8.77734375" hidden="1" customWidth="1"/>
    <col min="9" max="9" width="130.44140625" hidden="1" customWidth="1"/>
    <col min="10" max="10" width="98.33203125" hidden="1" customWidth="1"/>
    <col min="11" max="11" width="8.77734375" customWidth="1"/>
    <col min="12" max="12" width="48.77734375" hidden="1" customWidth="1"/>
    <col min="13" max="13" width="13.6640625" hidden="1" customWidth="1"/>
    <col min="14" max="14" width="18.21875" hidden="1" customWidth="1"/>
    <col min="15" max="15" width="11.44140625" hidden="1" customWidth="1"/>
    <col min="16" max="16" width="17.88671875" bestFit="1" customWidth="1"/>
    <col min="17" max="17" width="18.88671875" style="6" customWidth="1"/>
    <col min="18" max="18" width="26.109375" style="6" bestFit="1" customWidth="1"/>
    <col min="19" max="19" width="37.21875" style="5" bestFit="1" customWidth="1"/>
    <col min="20" max="20" width="30.77734375" bestFit="1" customWidth="1"/>
    <col min="21" max="21" width="12.44140625" hidden="1" customWidth="1"/>
    <col min="22" max="22" width="17.5546875" hidden="1" customWidth="1"/>
    <col min="23" max="23" width="31.21875" style="4" customWidth="1"/>
    <col min="24" max="24" width="45" style="4" bestFit="1" customWidth="1"/>
    <col min="26" max="26" width="17.77734375" bestFit="1" customWidth="1"/>
    <col min="27" max="27" width="42.44140625" customWidth="1"/>
    <col min="28" max="28" width="16.109375" style="3" bestFit="1" customWidth="1"/>
    <col min="29" max="29" width="13.77734375" style="3" bestFit="1" customWidth="1"/>
    <col min="30" max="30" width="14.6640625" style="3" bestFit="1" customWidth="1"/>
    <col min="31" max="31" width="12.88671875" bestFit="1" customWidth="1"/>
    <col min="32" max="32" width="12.6640625" bestFit="1" customWidth="1"/>
    <col min="33" max="33" width="13.77734375" bestFit="1" customWidth="1"/>
    <col min="34" max="34" width="17.6640625" bestFit="1" customWidth="1"/>
    <col min="35" max="35" width="14.6640625" bestFit="1" customWidth="1"/>
    <col min="36" max="36" width="16.77734375" bestFit="1" customWidth="1"/>
    <col min="37" max="37" width="18" bestFit="1" customWidth="1"/>
    <col min="38" max="38" width="16.21875" bestFit="1" customWidth="1"/>
    <col min="39" max="39" width="14.77734375" bestFit="1" customWidth="1"/>
    <col min="40" max="40" width="18.33203125" bestFit="1" customWidth="1"/>
    <col min="41" max="41" width="18.5546875" bestFit="1" customWidth="1"/>
    <col min="42" max="42" width="13.77734375" bestFit="1" customWidth="1"/>
    <col min="43" max="43" width="16.21875" customWidth="1"/>
    <col min="44" max="44" width="17.77734375" customWidth="1"/>
    <col min="45" max="45" width="13.77734375" customWidth="1"/>
    <col min="46" max="46" width="12.6640625" customWidth="1"/>
    <col min="47" max="48" width="16.21875" customWidth="1"/>
    <col min="49" max="49" width="17.5546875" customWidth="1"/>
    <col min="50" max="50" width="17" customWidth="1"/>
    <col min="51" max="51" width="15.6640625" customWidth="1"/>
    <col min="52" max="52" width="16.6640625" customWidth="1"/>
    <col min="53" max="53" width="18.77734375" customWidth="1"/>
    <col min="54" max="54" width="16.21875" customWidth="1"/>
    <col min="55" max="55" width="21.21875" customWidth="1"/>
    <col min="56" max="56" width="17.44140625" customWidth="1"/>
    <col min="57" max="57" width="18.77734375" customWidth="1"/>
    <col min="58" max="58" width="14.6640625" bestFit="1" customWidth="1"/>
    <col min="59" max="59" width="15.44140625" customWidth="1"/>
    <col min="60" max="60" width="14.6640625" bestFit="1" customWidth="1"/>
    <col min="61" max="61" width="7.33203125" customWidth="1"/>
    <col min="62" max="62" width="14.88671875" customWidth="1"/>
    <col min="63" max="63" width="13" customWidth="1"/>
    <col min="64" max="64" width="14.77734375" customWidth="1"/>
    <col min="65" max="65" width="25.5546875" customWidth="1"/>
    <col min="66" max="66" width="14.77734375" style="2" customWidth="1"/>
    <col min="67" max="67" width="16.109375" style="1" customWidth="1"/>
    <col min="68" max="68" width="12.44140625" style="1" customWidth="1"/>
    <col min="69" max="69" width="26.6640625" bestFit="1" customWidth="1"/>
  </cols>
  <sheetData>
    <row r="1" spans="1:69" ht="57.6" x14ac:dyDescent="0.3">
      <c r="A1" s="6" t="s">
        <v>4219</v>
      </c>
      <c r="B1" s="125" t="s">
        <v>4218</v>
      </c>
      <c r="C1" s="125" t="s">
        <v>4217</v>
      </c>
      <c r="D1" s="125" t="s">
        <v>4216</v>
      </c>
      <c r="E1" s="125" t="s">
        <v>1157</v>
      </c>
      <c r="F1" s="125" t="s">
        <v>4215</v>
      </c>
      <c r="G1" s="125" t="s">
        <v>4214</v>
      </c>
      <c r="H1" s="125" t="s">
        <v>4213</v>
      </c>
      <c r="I1" s="125" t="s">
        <v>4212</v>
      </c>
      <c r="J1" s="125" t="s">
        <v>4211</v>
      </c>
      <c r="K1" s="125" t="s">
        <v>4210</v>
      </c>
      <c r="L1" s="125" t="s">
        <v>4209</v>
      </c>
      <c r="M1" s="125" t="s">
        <v>4208</v>
      </c>
      <c r="N1" s="132" t="s">
        <v>4207</v>
      </c>
      <c r="O1" s="125" t="s">
        <v>4206</v>
      </c>
      <c r="P1" s="132" t="s">
        <v>4205</v>
      </c>
      <c r="Q1" s="125" t="s">
        <v>4204</v>
      </c>
      <c r="R1" s="125" t="s">
        <v>4203</v>
      </c>
      <c r="S1" s="125" t="s">
        <v>4202</v>
      </c>
      <c r="T1" s="125" t="s">
        <v>4201</v>
      </c>
      <c r="U1" s="125" t="s">
        <v>4200</v>
      </c>
      <c r="V1" s="125" t="s">
        <v>4199</v>
      </c>
      <c r="W1" s="125" t="s">
        <v>4198</v>
      </c>
      <c r="X1" s="125" t="s">
        <v>4197</v>
      </c>
      <c r="Y1" s="125" t="s">
        <v>4196</v>
      </c>
      <c r="Z1" s="132" t="s">
        <v>4195</v>
      </c>
      <c r="AA1" s="125" t="s">
        <v>4194</v>
      </c>
      <c r="AB1" s="131" t="s">
        <v>4193</v>
      </c>
      <c r="AC1" s="131" t="s">
        <v>4192</v>
      </c>
      <c r="AD1" s="130" t="s">
        <v>4191</v>
      </c>
      <c r="AE1" s="126" t="s">
        <v>4190</v>
      </c>
      <c r="AF1" s="126" t="s">
        <v>4189</v>
      </c>
      <c r="AG1" s="126" t="s">
        <v>4188</v>
      </c>
      <c r="AH1" s="126" t="s">
        <v>4187</v>
      </c>
      <c r="AI1" s="126" t="s">
        <v>4186</v>
      </c>
      <c r="AJ1" s="126" t="s">
        <v>4185</v>
      </c>
      <c r="AK1" s="127" t="s">
        <v>4184</v>
      </c>
      <c r="AL1" s="129" t="s">
        <v>4183</v>
      </c>
      <c r="AM1" s="126" t="s">
        <v>4182</v>
      </c>
      <c r="AN1" s="126" t="s">
        <v>4181</v>
      </c>
      <c r="AO1" s="126" t="s">
        <v>4180</v>
      </c>
      <c r="AP1" s="128" t="s">
        <v>4179</v>
      </c>
      <c r="AQ1" s="126" t="s">
        <v>4178</v>
      </c>
      <c r="AR1" s="126" t="s">
        <v>4177</v>
      </c>
      <c r="AS1" s="126" t="s">
        <v>4176</v>
      </c>
      <c r="AT1" s="126" t="s">
        <v>4175</v>
      </c>
      <c r="AU1" s="126" t="s">
        <v>4174</v>
      </c>
      <c r="AV1" s="126" t="s">
        <v>4173</v>
      </c>
      <c r="AW1" s="127" t="s">
        <v>4172</v>
      </c>
      <c r="AX1" s="127" t="s">
        <v>4171</v>
      </c>
      <c r="AY1" s="127" t="s">
        <v>4170</v>
      </c>
      <c r="AZ1" s="127" t="s">
        <v>4169</v>
      </c>
      <c r="BA1" s="126" t="s">
        <v>4168</v>
      </c>
      <c r="BB1" s="126" t="s">
        <v>4167</v>
      </c>
      <c r="BC1" s="125" t="s">
        <v>4166</v>
      </c>
      <c r="BD1" s="125" t="s">
        <v>4165</v>
      </c>
      <c r="BE1" s="122" t="s">
        <v>4164</v>
      </c>
      <c r="BF1" s="124" t="s">
        <v>4163</v>
      </c>
      <c r="BG1" s="122" t="s">
        <v>4162</v>
      </c>
      <c r="BH1" s="123" t="s">
        <v>4161</v>
      </c>
      <c r="BI1" s="122" t="s">
        <v>4160</v>
      </c>
      <c r="BJ1" s="122" t="s">
        <v>4159</v>
      </c>
      <c r="BK1" s="122" t="s">
        <v>4158</v>
      </c>
      <c r="BL1" s="69" t="s">
        <v>4157</v>
      </c>
      <c r="BM1" s="121" t="s">
        <v>4156</v>
      </c>
      <c r="BN1" s="120" t="s">
        <v>4155</v>
      </c>
      <c r="BO1" s="119" t="s">
        <v>4154</v>
      </c>
      <c r="BP1" s="118" t="s">
        <v>4153</v>
      </c>
      <c r="BQ1" s="117" t="s">
        <v>4152</v>
      </c>
    </row>
    <row r="2" spans="1:69" x14ac:dyDescent="0.3">
      <c r="A2" s="2">
        <v>1</v>
      </c>
      <c r="B2" s="5" t="s">
        <v>4151</v>
      </c>
      <c r="C2" s="6" t="s">
        <v>241</v>
      </c>
      <c r="D2" s="6"/>
      <c r="E2" s="6" t="s">
        <v>73</v>
      </c>
      <c r="F2" s="6"/>
      <c r="G2" s="6"/>
      <c r="H2" s="6"/>
      <c r="I2" s="6"/>
      <c r="J2" s="6"/>
      <c r="K2" s="6">
        <v>800001</v>
      </c>
      <c r="L2" s="6"/>
      <c r="M2" s="6">
        <v>20053051601</v>
      </c>
      <c r="N2" s="46" t="s">
        <v>4150</v>
      </c>
      <c r="O2" s="6">
        <v>1902868121</v>
      </c>
      <c r="P2" s="78" t="s">
        <v>4149</v>
      </c>
      <c r="Q2" s="6">
        <v>26010</v>
      </c>
      <c r="R2" s="6">
        <v>27001</v>
      </c>
      <c r="S2" s="5" t="str">
        <f>VLOOKUP(T2,'[1]Kode Posisi'!$A$3:$B$45,2,)</f>
        <v>Outsourcing Penjualan</v>
      </c>
      <c r="T2" s="36" t="s">
        <v>907</v>
      </c>
      <c r="U2" s="44" t="s">
        <v>1071</v>
      </c>
      <c r="V2" s="44" t="s">
        <v>4148</v>
      </c>
      <c r="W2" s="36" t="s">
        <v>1069</v>
      </c>
      <c r="X2" s="36" t="s">
        <v>1069</v>
      </c>
      <c r="Y2" s="36" t="s">
        <v>52</v>
      </c>
      <c r="Z2" s="79" t="s">
        <v>4147</v>
      </c>
      <c r="AA2" s="36" t="s">
        <v>4146</v>
      </c>
      <c r="AB2" s="47">
        <v>2850000</v>
      </c>
      <c r="AC2" s="41">
        <v>2828000</v>
      </c>
      <c r="AD2" s="47">
        <v>2825000</v>
      </c>
      <c r="AE2" s="16">
        <f t="shared" ref="AE2:AE33" si="0">AB2-AD2</f>
        <v>25000</v>
      </c>
      <c r="AF2" s="16">
        <v>0</v>
      </c>
      <c r="AG2" s="16">
        <v>0</v>
      </c>
      <c r="AH2" s="16"/>
      <c r="AI2" s="16">
        <v>0</v>
      </c>
      <c r="AJ2" s="16"/>
      <c r="AK2" s="16">
        <v>0</v>
      </c>
      <c r="AL2" s="11">
        <f t="shared" ref="AL2:AL65" si="1">SUM(AB2,AF2,AG2:AJ2)-AK2</f>
        <v>2850000</v>
      </c>
      <c r="AM2" s="16">
        <f t="shared" ref="AM2:AM65" si="2">SUM(AN2:AO2)</f>
        <v>289587.19999999995</v>
      </c>
      <c r="AN2" s="16">
        <f t="shared" ref="AN2:AN65" si="3">IF(BD2=0.01,AC2*0.04,0)</f>
        <v>113120</v>
      </c>
      <c r="AO2" s="16">
        <f t="shared" ref="AO2:AO34" si="4">IF(BC2=0.03,AC2*0.0624,0)</f>
        <v>176467.19999999998</v>
      </c>
      <c r="AP2" s="16">
        <f t="shared" ref="AP2:AP65" si="5">IF(BC2=0.03,0.037*(AB2+AF2),0)</f>
        <v>105450</v>
      </c>
      <c r="AQ2" s="16">
        <f t="shared" ref="AQ2:AQ65" si="6">SUM(AL2:AM2)</f>
        <v>3139587.2</v>
      </c>
      <c r="AR2" s="16">
        <f t="shared" ref="AR2:AR34" si="7">SUM(AQ2*0.06)</f>
        <v>188375.23200000002</v>
      </c>
      <c r="AS2" s="16">
        <f t="shared" ref="AS2:AS65" si="8">SUM(AR2*0.11)</f>
        <v>20721.275520000003</v>
      </c>
      <c r="AT2" s="16">
        <f t="shared" ref="AT2:AT65" si="9">SUM(AR2*-0.02)</f>
        <v>-3767.5046400000006</v>
      </c>
      <c r="AU2" s="16">
        <f t="shared" ref="AU2:AU65" si="10">(AQ2+AR2)+AT2</f>
        <v>3324194.9273600001</v>
      </c>
      <c r="AV2" s="16">
        <f t="shared" ref="AV2:AV65" si="11">SUM(AQ2+AR2)</f>
        <v>3327962.432</v>
      </c>
      <c r="AW2" s="16">
        <f t="shared" ref="AW2:AW65" si="12">SUM(AC2)*SUM(BC2,BD2)</f>
        <v>113120</v>
      </c>
      <c r="AX2" s="16" t="s">
        <v>235</v>
      </c>
      <c r="AY2" s="17"/>
      <c r="AZ2" s="17">
        <f t="shared" ref="AZ2:AZ65" si="13">IF(Y2="BCA",0,2900)</f>
        <v>0</v>
      </c>
      <c r="BA2" s="16">
        <f t="shared" ref="BA2:BA65" si="14">SUM(AL2-AW2,AY2)</f>
        <v>2736880</v>
      </c>
      <c r="BB2" s="16">
        <f t="shared" ref="BB2:BB65" si="15">SUM(AL2-AW2,AY2)-AZ2</f>
        <v>2736880</v>
      </c>
      <c r="BC2" s="15">
        <v>0.03</v>
      </c>
      <c r="BD2" s="15">
        <v>0.01</v>
      </c>
      <c r="BE2" s="37">
        <f t="shared" ref="BE2:BE65" si="16">IF(BC2=0.03,AC2*9.24%,0)</f>
        <v>261307.19999999998</v>
      </c>
      <c r="BF2" s="38">
        <f t="shared" ref="BF2:BF65" si="17">IF(BC2=0.03,0.057/0.0924*BE2,0)</f>
        <v>161196</v>
      </c>
      <c r="BG2" s="37">
        <f>5%*AC2</f>
        <v>141400</v>
      </c>
      <c r="BH2" s="37">
        <f t="shared" ref="BH2:BH65" si="18">IF(BD2=0.01,AC2*5%,0)</f>
        <v>141400</v>
      </c>
      <c r="BI2">
        <v>141250</v>
      </c>
      <c r="BJ2" s="8"/>
      <c r="BL2" s="8">
        <f t="shared" ref="BL2:BL65" si="19">SUM(AF2:AJ2)-AK2</f>
        <v>0</v>
      </c>
      <c r="BM2" s="7" t="str">
        <f t="shared" ref="BM2:BM34" si="20">IF(AND(BC2=0.03,BD2=0.01),"Terdaftar BPJS Kes &amp; Naker","Tidak Terdaftar")</f>
        <v>Terdaftar BPJS Kes &amp; Naker</v>
      </c>
      <c r="BN2" s="11">
        <f t="shared" ref="BN2:BN34" si="21">AC2*5.7%</f>
        <v>161196</v>
      </c>
      <c r="BO2" s="11">
        <f t="shared" ref="BO2:BO34" si="22">AC2*4.54%</f>
        <v>128391.20000000001</v>
      </c>
      <c r="BP2" s="9">
        <f t="shared" ref="BP2:BP65" si="23">AM2-BN2-BO2</f>
        <v>0</v>
      </c>
      <c r="BQ2" t="str">
        <f>_xlfn.XLOOKUP(X2,'[2]NON TETAP'!$H:$H,'[2]NON TETAP'!$I:$I)</f>
        <v>ELTI</v>
      </c>
    </row>
    <row r="3" spans="1:69" x14ac:dyDescent="0.3">
      <c r="A3" s="2">
        <v>2</v>
      </c>
      <c r="B3" s="5" t="s">
        <v>4141</v>
      </c>
      <c r="C3" s="6" t="s">
        <v>241</v>
      </c>
      <c r="D3" s="6"/>
      <c r="E3" s="6" t="s">
        <v>73</v>
      </c>
      <c r="F3" s="6"/>
      <c r="G3" s="6"/>
      <c r="H3" s="6"/>
      <c r="I3" s="6"/>
      <c r="J3" s="6"/>
      <c r="K3" s="6">
        <v>800002</v>
      </c>
      <c r="L3" s="6"/>
      <c r="M3" s="6">
        <v>25023140160</v>
      </c>
      <c r="N3" s="46" t="s">
        <v>4145</v>
      </c>
      <c r="O3" s="6">
        <v>2984510103</v>
      </c>
      <c r="P3" s="78" t="s">
        <v>4144</v>
      </c>
      <c r="Q3" s="6">
        <v>26010</v>
      </c>
      <c r="R3" s="6">
        <v>27001</v>
      </c>
      <c r="S3" s="5" t="str">
        <f>VLOOKUP(T3,'[1]Kode Posisi'!$A$3:$B$45,2,)</f>
        <v>Outsourcing Penjualan</v>
      </c>
      <c r="T3" s="36" t="s">
        <v>1063</v>
      </c>
      <c r="U3" s="44" t="s">
        <v>1071</v>
      </c>
      <c r="V3" s="44" t="s">
        <v>4143</v>
      </c>
      <c r="W3" s="36" t="s">
        <v>1069</v>
      </c>
      <c r="X3" s="36" t="s">
        <v>1069</v>
      </c>
      <c r="Y3" s="36" t="s">
        <v>52</v>
      </c>
      <c r="Z3" s="79" t="s">
        <v>4142</v>
      </c>
      <c r="AA3" s="36" t="s">
        <v>4141</v>
      </c>
      <c r="AB3" s="47">
        <v>2850000</v>
      </c>
      <c r="AC3" s="41">
        <v>2828000</v>
      </c>
      <c r="AD3" s="47">
        <v>2675000</v>
      </c>
      <c r="AE3" s="16">
        <f t="shared" si="0"/>
        <v>175000</v>
      </c>
      <c r="AF3" s="16">
        <v>0</v>
      </c>
      <c r="AG3" s="16">
        <v>0</v>
      </c>
      <c r="AH3" s="16"/>
      <c r="AI3" s="16">
        <v>0</v>
      </c>
      <c r="AJ3" s="16"/>
      <c r="AK3" s="16">
        <v>0</v>
      </c>
      <c r="AL3" s="11">
        <f t="shared" si="1"/>
        <v>2850000</v>
      </c>
      <c r="AM3" s="16">
        <f t="shared" si="2"/>
        <v>289587.19999999995</v>
      </c>
      <c r="AN3" s="16">
        <f t="shared" si="3"/>
        <v>113120</v>
      </c>
      <c r="AO3" s="16">
        <f t="shared" si="4"/>
        <v>176467.19999999998</v>
      </c>
      <c r="AP3" s="16">
        <f t="shared" si="5"/>
        <v>105450</v>
      </c>
      <c r="AQ3" s="16">
        <f t="shared" si="6"/>
        <v>3139587.2</v>
      </c>
      <c r="AR3" s="16">
        <f t="shared" si="7"/>
        <v>188375.23200000002</v>
      </c>
      <c r="AS3" s="16">
        <f t="shared" si="8"/>
        <v>20721.275520000003</v>
      </c>
      <c r="AT3" s="16">
        <f t="shared" si="9"/>
        <v>-3767.5046400000006</v>
      </c>
      <c r="AU3" s="16">
        <f t="shared" si="10"/>
        <v>3324194.9273600001</v>
      </c>
      <c r="AV3" s="16">
        <f t="shared" si="11"/>
        <v>3327962.432</v>
      </c>
      <c r="AW3" s="16">
        <f t="shared" si="12"/>
        <v>113120</v>
      </c>
      <c r="AX3" s="16" t="s">
        <v>235</v>
      </c>
      <c r="AY3" s="17"/>
      <c r="AZ3" s="17">
        <f t="shared" si="13"/>
        <v>0</v>
      </c>
      <c r="BA3" s="16">
        <f t="shared" si="14"/>
        <v>2736880</v>
      </c>
      <c r="BB3" s="16">
        <f t="shared" si="15"/>
        <v>2736880</v>
      </c>
      <c r="BC3" s="15">
        <v>0.03</v>
      </c>
      <c r="BD3" s="15">
        <v>0.01</v>
      </c>
      <c r="BE3" s="37">
        <f t="shared" si="16"/>
        <v>261307.19999999998</v>
      </c>
      <c r="BF3" s="38">
        <f t="shared" si="17"/>
        <v>161196</v>
      </c>
      <c r="BG3" s="37">
        <f t="shared" ref="BG3:BG66" si="24">5%*AD3</f>
        <v>133750</v>
      </c>
      <c r="BH3" s="37">
        <f t="shared" si="18"/>
        <v>141400</v>
      </c>
      <c r="BI3">
        <v>133750</v>
      </c>
      <c r="BL3" s="8">
        <f t="shared" si="19"/>
        <v>0</v>
      </c>
      <c r="BM3" s="7" t="str">
        <f t="shared" si="20"/>
        <v>Terdaftar BPJS Kes &amp; Naker</v>
      </c>
      <c r="BN3" s="11">
        <f t="shared" si="21"/>
        <v>161196</v>
      </c>
      <c r="BO3" s="11">
        <f t="shared" si="22"/>
        <v>128391.20000000001</v>
      </c>
      <c r="BP3" s="9">
        <f t="shared" si="23"/>
        <v>0</v>
      </c>
      <c r="BQ3" t="str">
        <f>_xlfn.XLOOKUP(X3,'[2]NON TETAP'!$H:$H,'[2]NON TETAP'!$I:$I)</f>
        <v>ELTI</v>
      </c>
    </row>
    <row r="4" spans="1:69" x14ac:dyDescent="0.3">
      <c r="A4" s="2">
        <v>3</v>
      </c>
      <c r="B4" s="5" t="s">
        <v>4140</v>
      </c>
      <c r="C4" s="6" t="s">
        <v>241</v>
      </c>
      <c r="D4" s="6"/>
      <c r="E4" s="6" t="s">
        <v>73</v>
      </c>
      <c r="F4" s="6"/>
      <c r="G4" s="6"/>
      <c r="H4" s="6"/>
      <c r="I4" s="6"/>
      <c r="J4" s="6"/>
      <c r="K4" s="6">
        <v>800003</v>
      </c>
      <c r="L4" s="6"/>
      <c r="M4" s="6">
        <v>25023140194</v>
      </c>
      <c r="N4" s="46" t="s">
        <v>4139</v>
      </c>
      <c r="O4" s="6">
        <v>3535215219</v>
      </c>
      <c r="P4" s="78" t="s">
        <v>4138</v>
      </c>
      <c r="Q4" s="6">
        <v>26010</v>
      </c>
      <c r="R4" s="6">
        <v>27001</v>
      </c>
      <c r="S4" s="5" t="str">
        <f>VLOOKUP(T4,'[1]Kode Posisi'!$A$3:$B$45,2,)</f>
        <v>Outsourcing Penjualan</v>
      </c>
      <c r="T4" s="36" t="s">
        <v>907</v>
      </c>
      <c r="U4" s="44" t="s">
        <v>1071</v>
      </c>
      <c r="V4" s="44" t="s">
        <v>4137</v>
      </c>
      <c r="W4" s="36" t="s">
        <v>1069</v>
      </c>
      <c r="X4" s="36" t="s">
        <v>1069</v>
      </c>
      <c r="Y4" s="36" t="s">
        <v>52</v>
      </c>
      <c r="Z4" s="79" t="s">
        <v>4136</v>
      </c>
      <c r="AA4" s="36" t="s">
        <v>4135</v>
      </c>
      <c r="AB4" s="47">
        <v>2850000</v>
      </c>
      <c r="AC4" s="41">
        <v>2828000</v>
      </c>
      <c r="AD4" s="47">
        <v>2675000</v>
      </c>
      <c r="AE4" s="16">
        <f t="shared" si="0"/>
        <v>175000</v>
      </c>
      <c r="AF4" s="16">
        <v>0</v>
      </c>
      <c r="AG4" s="16">
        <v>0</v>
      </c>
      <c r="AH4" s="16"/>
      <c r="AI4" s="16">
        <v>0</v>
      </c>
      <c r="AJ4" s="16"/>
      <c r="AK4" s="16">
        <v>0</v>
      </c>
      <c r="AL4" s="11">
        <f t="shared" si="1"/>
        <v>2850000</v>
      </c>
      <c r="AM4" s="16">
        <f t="shared" si="2"/>
        <v>289587.19999999995</v>
      </c>
      <c r="AN4" s="16">
        <f t="shared" si="3"/>
        <v>113120</v>
      </c>
      <c r="AO4" s="16">
        <f t="shared" si="4"/>
        <v>176467.19999999998</v>
      </c>
      <c r="AP4" s="16">
        <f t="shared" si="5"/>
        <v>105450</v>
      </c>
      <c r="AQ4" s="16">
        <f t="shared" si="6"/>
        <v>3139587.2</v>
      </c>
      <c r="AR4" s="16">
        <f t="shared" si="7"/>
        <v>188375.23200000002</v>
      </c>
      <c r="AS4" s="16">
        <f t="shared" si="8"/>
        <v>20721.275520000003</v>
      </c>
      <c r="AT4" s="16">
        <f t="shared" si="9"/>
        <v>-3767.5046400000006</v>
      </c>
      <c r="AU4" s="16">
        <f t="shared" si="10"/>
        <v>3324194.9273600001</v>
      </c>
      <c r="AV4" s="16">
        <f t="shared" si="11"/>
        <v>3327962.432</v>
      </c>
      <c r="AW4" s="16">
        <f t="shared" si="12"/>
        <v>113120</v>
      </c>
      <c r="AX4" s="16" t="s">
        <v>235</v>
      </c>
      <c r="AY4" s="17"/>
      <c r="AZ4" s="17">
        <f t="shared" si="13"/>
        <v>0</v>
      </c>
      <c r="BA4" s="16">
        <f t="shared" si="14"/>
        <v>2736880</v>
      </c>
      <c r="BB4" s="16">
        <f t="shared" si="15"/>
        <v>2736880</v>
      </c>
      <c r="BC4" s="15">
        <v>0.03</v>
      </c>
      <c r="BD4" s="15">
        <v>0.01</v>
      </c>
      <c r="BE4" s="37">
        <f t="shared" si="16"/>
        <v>261307.19999999998</v>
      </c>
      <c r="BF4" s="38">
        <f t="shared" si="17"/>
        <v>161196</v>
      </c>
      <c r="BG4" s="37">
        <f t="shared" si="24"/>
        <v>133750</v>
      </c>
      <c r="BH4" s="37">
        <f t="shared" si="18"/>
        <v>141400</v>
      </c>
      <c r="BI4">
        <v>133750</v>
      </c>
      <c r="BL4" s="8">
        <f t="shared" si="19"/>
        <v>0</v>
      </c>
      <c r="BM4" s="7" t="str">
        <f t="shared" si="20"/>
        <v>Terdaftar BPJS Kes &amp; Naker</v>
      </c>
      <c r="BN4" s="11">
        <f t="shared" si="21"/>
        <v>161196</v>
      </c>
      <c r="BO4" s="11">
        <f t="shared" si="22"/>
        <v>128391.20000000001</v>
      </c>
      <c r="BP4" s="9">
        <f t="shared" si="23"/>
        <v>0</v>
      </c>
      <c r="BQ4" t="str">
        <f>_xlfn.XLOOKUP(X4,'[2]NON TETAP'!$H:$H,'[2]NON TETAP'!$I:$I)</f>
        <v>ELTI</v>
      </c>
    </row>
    <row r="5" spans="1:69" x14ac:dyDescent="0.3">
      <c r="A5" s="2">
        <v>4</v>
      </c>
      <c r="B5" s="5" t="s">
        <v>4134</v>
      </c>
      <c r="C5" s="6" t="s">
        <v>241</v>
      </c>
      <c r="D5" s="6"/>
      <c r="E5" s="6" t="s">
        <v>73</v>
      </c>
      <c r="F5" s="6"/>
      <c r="G5" s="6"/>
      <c r="H5" s="6"/>
      <c r="I5" s="6"/>
      <c r="J5" s="6"/>
      <c r="K5" s="6">
        <v>800004</v>
      </c>
      <c r="L5" s="6"/>
      <c r="M5" s="6">
        <v>24070516935</v>
      </c>
      <c r="N5" s="46" t="s">
        <v>4133</v>
      </c>
      <c r="O5" s="6">
        <v>1993565777</v>
      </c>
      <c r="P5" s="78" t="s">
        <v>4132</v>
      </c>
      <c r="Q5" s="6">
        <v>26010</v>
      </c>
      <c r="R5" s="6">
        <v>27001</v>
      </c>
      <c r="S5" s="5" t="str">
        <f>VLOOKUP(T5,'[1]Kode Posisi'!$A$3:$B$45,2,)</f>
        <v>Outsourcing Cleaning Service</v>
      </c>
      <c r="T5" s="36" t="s">
        <v>1</v>
      </c>
      <c r="U5" s="44" t="s">
        <v>1071</v>
      </c>
      <c r="V5" s="44" t="s">
        <v>4131</v>
      </c>
      <c r="W5" s="36" t="s">
        <v>1069</v>
      </c>
      <c r="X5" s="36" t="s">
        <v>1069</v>
      </c>
      <c r="Y5" s="36" t="s">
        <v>52</v>
      </c>
      <c r="Z5" s="79" t="s">
        <v>4130</v>
      </c>
      <c r="AA5" s="36" t="s">
        <v>4129</v>
      </c>
      <c r="AB5" s="47">
        <v>2830000</v>
      </c>
      <c r="AC5" s="41">
        <v>2828000</v>
      </c>
      <c r="AD5" s="47">
        <v>2660000</v>
      </c>
      <c r="AE5" s="16">
        <f t="shared" si="0"/>
        <v>170000</v>
      </c>
      <c r="AF5" s="16">
        <v>0</v>
      </c>
      <c r="AG5" s="16">
        <v>0</v>
      </c>
      <c r="AH5" s="16"/>
      <c r="AI5" s="16">
        <v>0</v>
      </c>
      <c r="AJ5" s="16"/>
      <c r="AK5" s="16">
        <v>0</v>
      </c>
      <c r="AL5" s="11">
        <f t="shared" si="1"/>
        <v>2830000</v>
      </c>
      <c r="AM5" s="16">
        <f t="shared" si="2"/>
        <v>289587.19999999995</v>
      </c>
      <c r="AN5" s="16">
        <f t="shared" si="3"/>
        <v>113120</v>
      </c>
      <c r="AO5" s="16">
        <f t="shared" si="4"/>
        <v>176467.19999999998</v>
      </c>
      <c r="AP5" s="16">
        <f t="shared" si="5"/>
        <v>104710</v>
      </c>
      <c r="AQ5" s="16">
        <f t="shared" si="6"/>
        <v>3119587.2</v>
      </c>
      <c r="AR5" s="16">
        <f t="shared" si="7"/>
        <v>187175.23200000002</v>
      </c>
      <c r="AS5" s="16">
        <f t="shared" si="8"/>
        <v>20589.275520000003</v>
      </c>
      <c r="AT5" s="16">
        <f t="shared" si="9"/>
        <v>-3743.5046400000006</v>
      </c>
      <c r="AU5" s="16">
        <f t="shared" si="10"/>
        <v>3303018.9273600001</v>
      </c>
      <c r="AV5" s="16">
        <f t="shared" si="11"/>
        <v>3306762.432</v>
      </c>
      <c r="AW5" s="16">
        <f t="shared" si="12"/>
        <v>113120</v>
      </c>
      <c r="AX5" s="16" t="s">
        <v>91</v>
      </c>
      <c r="AY5" s="17"/>
      <c r="AZ5" s="17">
        <f t="shared" si="13"/>
        <v>0</v>
      </c>
      <c r="BA5" s="16">
        <f t="shared" si="14"/>
        <v>2716880</v>
      </c>
      <c r="BB5" s="16">
        <f t="shared" si="15"/>
        <v>2716880</v>
      </c>
      <c r="BC5" s="15">
        <v>0.03</v>
      </c>
      <c r="BD5" s="15">
        <v>0.01</v>
      </c>
      <c r="BE5" s="37">
        <f t="shared" si="16"/>
        <v>261307.19999999998</v>
      </c>
      <c r="BF5" s="38">
        <f t="shared" si="17"/>
        <v>161196</v>
      </c>
      <c r="BG5" s="37">
        <f t="shared" si="24"/>
        <v>133000</v>
      </c>
      <c r="BH5" s="37">
        <f t="shared" si="18"/>
        <v>141400</v>
      </c>
      <c r="BI5">
        <v>133000</v>
      </c>
      <c r="BL5" s="8">
        <f t="shared" si="19"/>
        <v>0</v>
      </c>
      <c r="BM5" s="7" t="str">
        <f t="shared" si="20"/>
        <v>Terdaftar BPJS Kes &amp; Naker</v>
      </c>
      <c r="BN5" s="11">
        <f t="shared" si="21"/>
        <v>161196</v>
      </c>
      <c r="BO5" s="11">
        <f t="shared" si="22"/>
        <v>128391.20000000001</v>
      </c>
      <c r="BP5" s="9">
        <f t="shared" si="23"/>
        <v>0</v>
      </c>
      <c r="BQ5" t="str">
        <f>_xlfn.XLOOKUP(X5,'[2]NON TETAP'!$H:$H,'[2]NON TETAP'!$I:$I)</f>
        <v>ELTI</v>
      </c>
    </row>
    <row r="6" spans="1:69" x14ac:dyDescent="0.3">
      <c r="A6" s="2">
        <v>5</v>
      </c>
      <c r="B6" s="5" t="s">
        <v>4128</v>
      </c>
      <c r="C6" s="6" t="s">
        <v>241</v>
      </c>
      <c r="D6" s="6"/>
      <c r="E6" s="6" t="s">
        <v>73</v>
      </c>
      <c r="F6" s="6"/>
      <c r="G6" s="6"/>
      <c r="H6" s="6"/>
      <c r="I6" s="6"/>
      <c r="J6" s="6"/>
      <c r="K6" s="6">
        <v>800005</v>
      </c>
      <c r="L6" s="6"/>
      <c r="M6" s="6">
        <v>25023140186</v>
      </c>
      <c r="N6" s="46" t="s">
        <v>4127</v>
      </c>
      <c r="O6" s="6">
        <v>1525582451</v>
      </c>
      <c r="P6" s="78" t="s">
        <v>4126</v>
      </c>
      <c r="Q6" s="6">
        <v>26010</v>
      </c>
      <c r="R6" s="6">
        <v>27001</v>
      </c>
      <c r="S6" s="5" t="str">
        <f>VLOOKUP(T6,'[1]Kode Posisi'!$A$3:$B$45,2,)</f>
        <v>Outsourcing Penjualan</v>
      </c>
      <c r="T6" s="36" t="s">
        <v>907</v>
      </c>
      <c r="U6" s="44" t="s">
        <v>1071</v>
      </c>
      <c r="V6" s="44" t="s">
        <v>4125</v>
      </c>
      <c r="W6" s="36" t="s">
        <v>1069</v>
      </c>
      <c r="X6" s="36" t="s">
        <v>1069</v>
      </c>
      <c r="Y6" s="36" t="s">
        <v>52</v>
      </c>
      <c r="Z6" s="79" t="s">
        <v>4124</v>
      </c>
      <c r="AA6" s="36" t="s">
        <v>4123</v>
      </c>
      <c r="AB6" s="47">
        <v>2850000</v>
      </c>
      <c r="AC6" s="41">
        <v>2828000</v>
      </c>
      <c r="AD6" s="47">
        <v>2675000</v>
      </c>
      <c r="AE6" s="16">
        <f t="shared" si="0"/>
        <v>175000</v>
      </c>
      <c r="AF6" s="16">
        <v>0</v>
      </c>
      <c r="AG6" s="16">
        <v>200000</v>
      </c>
      <c r="AH6" s="16"/>
      <c r="AI6" s="16">
        <v>0</v>
      </c>
      <c r="AJ6" s="16"/>
      <c r="AK6" s="16">
        <v>0</v>
      </c>
      <c r="AL6" s="11">
        <f t="shared" si="1"/>
        <v>3050000</v>
      </c>
      <c r="AM6" s="16">
        <f t="shared" si="2"/>
        <v>289587.19999999995</v>
      </c>
      <c r="AN6" s="16">
        <f t="shared" si="3"/>
        <v>113120</v>
      </c>
      <c r="AO6" s="16">
        <f t="shared" si="4"/>
        <v>176467.19999999998</v>
      </c>
      <c r="AP6" s="16">
        <f t="shared" si="5"/>
        <v>105450</v>
      </c>
      <c r="AQ6" s="16">
        <f t="shared" si="6"/>
        <v>3339587.2</v>
      </c>
      <c r="AR6" s="16">
        <f t="shared" si="7"/>
        <v>200375.23200000002</v>
      </c>
      <c r="AS6" s="16">
        <f t="shared" si="8"/>
        <v>22041.275520000003</v>
      </c>
      <c r="AT6" s="16">
        <f t="shared" si="9"/>
        <v>-4007.5046400000006</v>
      </c>
      <c r="AU6" s="16">
        <f t="shared" si="10"/>
        <v>3535954.9273600001</v>
      </c>
      <c r="AV6" s="16">
        <f t="shared" si="11"/>
        <v>3539962.432</v>
      </c>
      <c r="AW6" s="16">
        <f t="shared" si="12"/>
        <v>113120</v>
      </c>
      <c r="AX6" s="16" t="s">
        <v>286</v>
      </c>
      <c r="AY6" s="17"/>
      <c r="AZ6" s="17">
        <f t="shared" si="13"/>
        <v>0</v>
      </c>
      <c r="BA6" s="16">
        <f t="shared" si="14"/>
        <v>2936880</v>
      </c>
      <c r="BB6" s="16">
        <f t="shared" si="15"/>
        <v>2936880</v>
      </c>
      <c r="BC6" s="15">
        <v>0.03</v>
      </c>
      <c r="BD6" s="15">
        <v>0.01</v>
      </c>
      <c r="BE6" s="37">
        <f t="shared" si="16"/>
        <v>261307.19999999998</v>
      </c>
      <c r="BF6" s="38">
        <f t="shared" si="17"/>
        <v>161196</v>
      </c>
      <c r="BG6" s="37">
        <f t="shared" si="24"/>
        <v>133750</v>
      </c>
      <c r="BH6" s="37">
        <f t="shared" si="18"/>
        <v>141400</v>
      </c>
      <c r="BI6">
        <v>133750</v>
      </c>
      <c r="BL6" s="8">
        <f t="shared" si="19"/>
        <v>200000</v>
      </c>
      <c r="BM6" s="7" t="str">
        <f t="shared" si="20"/>
        <v>Terdaftar BPJS Kes &amp; Naker</v>
      </c>
      <c r="BN6" s="11">
        <f t="shared" si="21"/>
        <v>161196</v>
      </c>
      <c r="BO6" s="11">
        <f t="shared" si="22"/>
        <v>128391.20000000001</v>
      </c>
      <c r="BP6" s="9">
        <f t="shared" si="23"/>
        <v>0</v>
      </c>
      <c r="BQ6" t="str">
        <f>_xlfn.XLOOKUP(X6,'[2]NON TETAP'!$H:$H,'[2]NON TETAP'!$I:$I)</f>
        <v>ELTI</v>
      </c>
    </row>
    <row r="7" spans="1:69" x14ac:dyDescent="0.3">
      <c r="A7" s="2">
        <v>6</v>
      </c>
      <c r="B7" s="5" t="s">
        <v>4122</v>
      </c>
      <c r="C7" s="6" t="s">
        <v>241</v>
      </c>
      <c r="D7" s="6"/>
      <c r="E7" s="6" t="s">
        <v>73</v>
      </c>
      <c r="F7" s="6"/>
      <c r="G7" s="6"/>
      <c r="H7" s="6"/>
      <c r="I7" s="6"/>
      <c r="J7" s="6"/>
      <c r="K7" s="6">
        <v>800006</v>
      </c>
      <c r="L7" s="6"/>
      <c r="M7" s="6">
        <v>25023140152</v>
      </c>
      <c r="N7" s="46" t="s">
        <v>4121</v>
      </c>
      <c r="O7" s="6">
        <v>1136681379</v>
      </c>
      <c r="P7" s="78" t="s">
        <v>4120</v>
      </c>
      <c r="Q7" s="6">
        <v>26012</v>
      </c>
      <c r="R7" s="6">
        <v>27002</v>
      </c>
      <c r="S7" s="5" t="str">
        <f>VLOOKUP(T7,'[1]Kode Posisi'!$A$3:$B$45,2,)</f>
        <v>Outsourcing Penjualan</v>
      </c>
      <c r="T7" s="36" t="s">
        <v>907</v>
      </c>
      <c r="U7" s="44" t="s">
        <v>4108</v>
      </c>
      <c r="V7" s="44" t="s">
        <v>4119</v>
      </c>
      <c r="W7" s="36" t="s">
        <v>4106</v>
      </c>
      <c r="X7" s="36" t="s">
        <v>4106</v>
      </c>
      <c r="Y7" s="36" t="s">
        <v>52</v>
      </c>
      <c r="Z7" s="79" t="s">
        <v>4118</v>
      </c>
      <c r="AA7" s="36" t="s">
        <v>4117</v>
      </c>
      <c r="AB7" s="47">
        <v>2720000</v>
      </c>
      <c r="AC7" s="41">
        <v>2570000</v>
      </c>
      <c r="AD7" s="47">
        <v>2675000</v>
      </c>
      <c r="AE7" s="16">
        <f t="shared" si="0"/>
        <v>45000</v>
      </c>
      <c r="AF7" s="16">
        <v>0</v>
      </c>
      <c r="AG7" s="16">
        <v>0</v>
      </c>
      <c r="AH7" s="16"/>
      <c r="AI7" s="16">
        <v>0</v>
      </c>
      <c r="AJ7" s="16"/>
      <c r="AK7" s="16">
        <v>0</v>
      </c>
      <c r="AL7" s="11">
        <f t="shared" si="1"/>
        <v>2720000</v>
      </c>
      <c r="AM7" s="16">
        <f t="shared" si="2"/>
        <v>263168</v>
      </c>
      <c r="AN7" s="16">
        <f t="shared" si="3"/>
        <v>102800</v>
      </c>
      <c r="AO7" s="16">
        <f t="shared" si="4"/>
        <v>160368</v>
      </c>
      <c r="AP7" s="16">
        <f t="shared" si="5"/>
        <v>100640</v>
      </c>
      <c r="AQ7" s="16">
        <f t="shared" si="6"/>
        <v>2983168</v>
      </c>
      <c r="AR7" s="16">
        <f t="shared" si="7"/>
        <v>178990.07999999999</v>
      </c>
      <c r="AS7" s="16">
        <f t="shared" si="8"/>
        <v>19688.908799999997</v>
      </c>
      <c r="AT7" s="16">
        <f t="shared" si="9"/>
        <v>-3579.8015999999998</v>
      </c>
      <c r="AU7" s="16">
        <f t="shared" si="10"/>
        <v>3158578.2784000002</v>
      </c>
      <c r="AV7" s="16">
        <f t="shared" si="11"/>
        <v>3162158.08</v>
      </c>
      <c r="AW7" s="16">
        <f t="shared" si="12"/>
        <v>102800</v>
      </c>
      <c r="AX7" s="16" t="s">
        <v>286</v>
      </c>
      <c r="AY7" s="17"/>
      <c r="AZ7" s="17">
        <f t="shared" si="13"/>
        <v>0</v>
      </c>
      <c r="BA7" s="16">
        <f t="shared" si="14"/>
        <v>2617200</v>
      </c>
      <c r="BB7" s="16">
        <f t="shared" si="15"/>
        <v>2617200</v>
      </c>
      <c r="BC7" s="15">
        <v>0.03</v>
      </c>
      <c r="BD7" s="15">
        <v>0.01</v>
      </c>
      <c r="BE7" s="37">
        <f t="shared" si="16"/>
        <v>237468</v>
      </c>
      <c r="BF7" s="38">
        <f t="shared" si="17"/>
        <v>146490</v>
      </c>
      <c r="BG7" s="37">
        <f t="shared" si="24"/>
        <v>133750</v>
      </c>
      <c r="BH7" s="37">
        <f t="shared" si="18"/>
        <v>128500</v>
      </c>
      <c r="BI7">
        <v>133750</v>
      </c>
      <c r="BL7" s="8">
        <f t="shared" si="19"/>
        <v>0</v>
      </c>
      <c r="BM7" s="7" t="str">
        <f t="shared" si="20"/>
        <v>Terdaftar BPJS Kes &amp; Naker</v>
      </c>
      <c r="BN7" s="11">
        <f t="shared" si="21"/>
        <v>146490</v>
      </c>
      <c r="BO7" s="11">
        <f t="shared" si="22"/>
        <v>116678.00000000001</v>
      </c>
      <c r="BP7" s="9">
        <f t="shared" si="23"/>
        <v>0</v>
      </c>
      <c r="BQ7" t="str">
        <f>_xlfn.XLOOKUP(X7,'[2]NON TETAP'!$H:$H,'[2]NON TETAP'!$I:$I)</f>
        <v>ELTI</v>
      </c>
    </row>
    <row r="8" spans="1:69" x14ac:dyDescent="0.3">
      <c r="A8" s="2">
        <v>7</v>
      </c>
      <c r="B8" s="5" t="s">
        <v>4112</v>
      </c>
      <c r="C8" s="6" t="s">
        <v>241</v>
      </c>
      <c r="D8" s="6"/>
      <c r="E8" s="6" t="s">
        <v>73</v>
      </c>
      <c r="F8" s="6"/>
      <c r="G8" s="6"/>
      <c r="H8" s="6"/>
      <c r="I8" s="6"/>
      <c r="J8" s="6"/>
      <c r="K8" s="6">
        <v>800007</v>
      </c>
      <c r="L8" s="6"/>
      <c r="M8" s="6">
        <v>25023140137</v>
      </c>
      <c r="N8" s="46" t="s">
        <v>4116</v>
      </c>
      <c r="O8" s="6">
        <v>1270920036</v>
      </c>
      <c r="P8" s="78" t="s">
        <v>4115</v>
      </c>
      <c r="Q8" s="6">
        <v>26012</v>
      </c>
      <c r="R8" s="6">
        <v>27002</v>
      </c>
      <c r="S8" s="5" t="str">
        <f>VLOOKUP(T8,'[1]Kode Posisi'!$A$3:$B$45,2,)</f>
        <v>Outsourcing Cleaning Service</v>
      </c>
      <c r="T8" s="36" t="s">
        <v>1</v>
      </c>
      <c r="U8" s="44" t="s">
        <v>4108</v>
      </c>
      <c r="V8" s="44" t="s">
        <v>4114</v>
      </c>
      <c r="W8" s="36" t="s">
        <v>4106</v>
      </c>
      <c r="X8" s="36" t="s">
        <v>4106</v>
      </c>
      <c r="Y8" s="36" t="s">
        <v>52</v>
      </c>
      <c r="Z8" s="79" t="s">
        <v>4113</v>
      </c>
      <c r="AA8" s="36" t="s">
        <v>4112</v>
      </c>
      <c r="AB8" s="47">
        <v>2570000</v>
      </c>
      <c r="AC8" s="41">
        <v>2570000</v>
      </c>
      <c r="AD8" s="47">
        <v>2420000</v>
      </c>
      <c r="AE8" s="16">
        <f t="shared" si="0"/>
        <v>150000</v>
      </c>
      <c r="AF8" s="16">
        <v>0</v>
      </c>
      <c r="AG8" s="16">
        <v>0</v>
      </c>
      <c r="AH8" s="16"/>
      <c r="AI8" s="16">
        <v>0</v>
      </c>
      <c r="AJ8" s="16"/>
      <c r="AK8" s="16">
        <v>0</v>
      </c>
      <c r="AL8" s="11">
        <f t="shared" si="1"/>
        <v>2570000</v>
      </c>
      <c r="AM8" s="16">
        <f t="shared" si="2"/>
        <v>263168</v>
      </c>
      <c r="AN8" s="16">
        <f t="shared" si="3"/>
        <v>102800</v>
      </c>
      <c r="AO8" s="16">
        <f t="shared" si="4"/>
        <v>160368</v>
      </c>
      <c r="AP8" s="16">
        <f t="shared" si="5"/>
        <v>95090</v>
      </c>
      <c r="AQ8" s="16">
        <f t="shared" si="6"/>
        <v>2833168</v>
      </c>
      <c r="AR8" s="16">
        <f t="shared" si="7"/>
        <v>169990.08</v>
      </c>
      <c r="AS8" s="16">
        <f t="shared" si="8"/>
        <v>18698.908799999997</v>
      </c>
      <c r="AT8" s="16">
        <f t="shared" si="9"/>
        <v>-3399.8015999999998</v>
      </c>
      <c r="AU8" s="16">
        <f t="shared" si="10"/>
        <v>2999758.2784000002</v>
      </c>
      <c r="AV8" s="16">
        <f t="shared" si="11"/>
        <v>3003158.08</v>
      </c>
      <c r="AW8" s="16">
        <f t="shared" si="12"/>
        <v>102800</v>
      </c>
      <c r="AX8" s="16" t="s">
        <v>243</v>
      </c>
      <c r="AY8" s="17"/>
      <c r="AZ8" s="17">
        <f t="shared" si="13"/>
        <v>0</v>
      </c>
      <c r="BA8" s="16">
        <f t="shared" si="14"/>
        <v>2467200</v>
      </c>
      <c r="BB8" s="16">
        <f t="shared" si="15"/>
        <v>2467200</v>
      </c>
      <c r="BC8" s="15">
        <v>0.03</v>
      </c>
      <c r="BD8" s="15">
        <v>0.01</v>
      </c>
      <c r="BE8" s="37">
        <f t="shared" si="16"/>
        <v>237468</v>
      </c>
      <c r="BF8" s="38">
        <f t="shared" si="17"/>
        <v>146490</v>
      </c>
      <c r="BG8" s="37">
        <f t="shared" si="24"/>
        <v>121000</v>
      </c>
      <c r="BH8" s="37">
        <f t="shared" si="18"/>
        <v>128500</v>
      </c>
      <c r="BI8">
        <v>121000</v>
      </c>
      <c r="BL8" s="8">
        <f t="shared" si="19"/>
        <v>0</v>
      </c>
      <c r="BM8" s="7" t="str">
        <f t="shared" si="20"/>
        <v>Terdaftar BPJS Kes &amp; Naker</v>
      </c>
      <c r="BN8" s="11">
        <f t="shared" si="21"/>
        <v>146490</v>
      </c>
      <c r="BO8" s="11">
        <f t="shared" si="22"/>
        <v>116678.00000000001</v>
      </c>
      <c r="BP8" s="9">
        <f t="shared" si="23"/>
        <v>0</v>
      </c>
      <c r="BQ8" t="str">
        <f>_xlfn.XLOOKUP(X8,'[2]NON TETAP'!$H:$H,'[2]NON TETAP'!$I:$I)</f>
        <v>ELTI</v>
      </c>
    </row>
    <row r="9" spans="1:69" x14ac:dyDescent="0.3">
      <c r="A9" s="2">
        <v>8</v>
      </c>
      <c r="B9" s="5" t="s">
        <v>4111</v>
      </c>
      <c r="C9" s="6" t="s">
        <v>241</v>
      </c>
      <c r="D9" s="6"/>
      <c r="E9" s="6" t="s">
        <v>73</v>
      </c>
      <c r="F9" s="6"/>
      <c r="G9" s="6"/>
      <c r="H9" s="6"/>
      <c r="I9" s="6"/>
      <c r="J9" s="6"/>
      <c r="K9" s="6">
        <v>800008</v>
      </c>
      <c r="L9" s="6"/>
      <c r="M9" s="6">
        <v>25023140202</v>
      </c>
      <c r="N9" s="46" t="s">
        <v>4110</v>
      </c>
      <c r="O9" s="6">
        <v>1270922815</v>
      </c>
      <c r="P9" s="78" t="s">
        <v>4109</v>
      </c>
      <c r="Q9" s="6">
        <v>26012</v>
      </c>
      <c r="R9" s="6">
        <v>27002</v>
      </c>
      <c r="S9" s="5" t="str">
        <f>VLOOKUP(T9,'[1]Kode Posisi'!$A$3:$B$45,2,)</f>
        <v>Outsourcing Cleaning Service</v>
      </c>
      <c r="T9" s="36" t="s">
        <v>1</v>
      </c>
      <c r="U9" s="44" t="s">
        <v>4108</v>
      </c>
      <c r="V9" s="44" t="s">
        <v>4107</v>
      </c>
      <c r="W9" s="36" t="s">
        <v>4106</v>
      </c>
      <c r="X9" s="36" t="s">
        <v>4106</v>
      </c>
      <c r="Y9" s="36" t="s">
        <v>52</v>
      </c>
      <c r="Z9" s="79" t="s">
        <v>4105</v>
      </c>
      <c r="AA9" s="36" t="s">
        <v>4104</v>
      </c>
      <c r="AB9" s="47">
        <v>2570000</v>
      </c>
      <c r="AC9" s="41">
        <v>2570000</v>
      </c>
      <c r="AD9" s="47">
        <v>2420000</v>
      </c>
      <c r="AE9" s="16">
        <f t="shared" si="0"/>
        <v>150000</v>
      </c>
      <c r="AF9" s="16">
        <v>0</v>
      </c>
      <c r="AG9" s="16">
        <v>0</v>
      </c>
      <c r="AH9" s="16"/>
      <c r="AI9" s="16">
        <v>0</v>
      </c>
      <c r="AJ9" s="16"/>
      <c r="AK9" s="16">
        <v>0</v>
      </c>
      <c r="AL9" s="11">
        <f t="shared" si="1"/>
        <v>2570000</v>
      </c>
      <c r="AM9" s="16">
        <f t="shared" si="2"/>
        <v>263168</v>
      </c>
      <c r="AN9" s="16">
        <f t="shared" si="3"/>
        <v>102800</v>
      </c>
      <c r="AO9" s="16">
        <f t="shared" si="4"/>
        <v>160368</v>
      </c>
      <c r="AP9" s="16">
        <f t="shared" si="5"/>
        <v>95090</v>
      </c>
      <c r="AQ9" s="16">
        <f t="shared" si="6"/>
        <v>2833168</v>
      </c>
      <c r="AR9" s="16">
        <f t="shared" si="7"/>
        <v>169990.08</v>
      </c>
      <c r="AS9" s="16">
        <f t="shared" si="8"/>
        <v>18698.908799999997</v>
      </c>
      <c r="AT9" s="16">
        <f t="shared" si="9"/>
        <v>-3399.8015999999998</v>
      </c>
      <c r="AU9" s="16">
        <f t="shared" si="10"/>
        <v>2999758.2784000002</v>
      </c>
      <c r="AV9" s="16">
        <f t="shared" si="11"/>
        <v>3003158.08</v>
      </c>
      <c r="AW9" s="16">
        <f t="shared" si="12"/>
        <v>102800</v>
      </c>
      <c r="AX9" s="16" t="s">
        <v>235</v>
      </c>
      <c r="AY9" s="17"/>
      <c r="AZ9" s="17">
        <f t="shared" si="13"/>
        <v>0</v>
      </c>
      <c r="BA9" s="16">
        <f t="shared" si="14"/>
        <v>2467200</v>
      </c>
      <c r="BB9" s="16">
        <f t="shared" si="15"/>
        <v>2467200</v>
      </c>
      <c r="BC9" s="15">
        <v>0.03</v>
      </c>
      <c r="BD9" s="15">
        <v>0.01</v>
      </c>
      <c r="BE9" s="37">
        <f t="shared" si="16"/>
        <v>237468</v>
      </c>
      <c r="BF9" s="38">
        <f t="shared" si="17"/>
        <v>146490</v>
      </c>
      <c r="BG9" s="37">
        <f t="shared" si="24"/>
        <v>121000</v>
      </c>
      <c r="BH9" s="37">
        <f t="shared" si="18"/>
        <v>128500</v>
      </c>
      <c r="BI9">
        <v>121000</v>
      </c>
      <c r="BL9" s="8">
        <f t="shared" si="19"/>
        <v>0</v>
      </c>
      <c r="BM9" s="7" t="str">
        <f t="shared" si="20"/>
        <v>Terdaftar BPJS Kes &amp; Naker</v>
      </c>
      <c r="BN9" s="11">
        <f t="shared" si="21"/>
        <v>146490</v>
      </c>
      <c r="BO9" s="11">
        <f t="shared" si="22"/>
        <v>116678.00000000001</v>
      </c>
      <c r="BP9" s="9">
        <f t="shared" si="23"/>
        <v>0</v>
      </c>
      <c r="BQ9" t="str">
        <f>_xlfn.XLOOKUP(X9,'[2]NON TETAP'!$H:$H,'[2]NON TETAP'!$I:$I)</f>
        <v>ELTI</v>
      </c>
    </row>
    <row r="10" spans="1:69" x14ac:dyDescent="0.3">
      <c r="A10" s="2">
        <v>9</v>
      </c>
      <c r="B10" s="5" t="s">
        <v>4103</v>
      </c>
      <c r="C10" s="6" t="s">
        <v>241</v>
      </c>
      <c r="D10" s="6"/>
      <c r="E10" s="6" t="s">
        <v>73</v>
      </c>
      <c r="F10" s="6"/>
      <c r="G10" s="6"/>
      <c r="H10" s="6"/>
      <c r="I10" s="6"/>
      <c r="J10" s="6"/>
      <c r="K10" s="6">
        <v>800010</v>
      </c>
      <c r="L10" s="6"/>
      <c r="M10" s="6">
        <v>25023140178</v>
      </c>
      <c r="N10" s="46" t="s">
        <v>4102</v>
      </c>
      <c r="O10" s="6">
        <v>81833455</v>
      </c>
      <c r="P10" s="78" t="s">
        <v>4101</v>
      </c>
      <c r="Q10" s="6">
        <v>26013</v>
      </c>
      <c r="R10" s="6">
        <v>27003</v>
      </c>
      <c r="S10" s="5" t="str">
        <f>VLOOKUP(T10,'[1]Kode Posisi'!$A$3:$B$45,2,)</f>
        <v>Outsourcing Penjualan</v>
      </c>
      <c r="T10" s="36" t="s">
        <v>1063</v>
      </c>
      <c r="U10" s="44" t="s">
        <v>1062</v>
      </c>
      <c r="V10" s="44" t="s">
        <v>4100</v>
      </c>
      <c r="W10" s="36" t="s">
        <v>1060</v>
      </c>
      <c r="X10" s="36" t="s">
        <v>1060</v>
      </c>
      <c r="Y10" s="36" t="s">
        <v>52</v>
      </c>
      <c r="Z10" s="79" t="s">
        <v>4099</v>
      </c>
      <c r="AA10" s="36" t="s">
        <v>4098</v>
      </c>
      <c r="AB10" s="47">
        <v>2500000</v>
      </c>
      <c r="AC10" s="41">
        <v>2475000</v>
      </c>
      <c r="AD10" s="47">
        <v>2375000</v>
      </c>
      <c r="AE10" s="16">
        <f t="shared" si="0"/>
        <v>125000</v>
      </c>
      <c r="AF10" s="16">
        <v>0</v>
      </c>
      <c r="AG10" s="16">
        <v>150000</v>
      </c>
      <c r="AH10" s="16"/>
      <c r="AI10" s="16">
        <v>0</v>
      </c>
      <c r="AJ10" s="16"/>
      <c r="AK10" s="16">
        <v>0</v>
      </c>
      <c r="AL10" s="11">
        <f t="shared" si="1"/>
        <v>2650000</v>
      </c>
      <c r="AM10" s="16">
        <f t="shared" si="2"/>
        <v>253440</v>
      </c>
      <c r="AN10" s="16">
        <f t="shared" si="3"/>
        <v>99000</v>
      </c>
      <c r="AO10" s="16">
        <f t="shared" si="4"/>
        <v>154440</v>
      </c>
      <c r="AP10" s="16">
        <f t="shared" si="5"/>
        <v>92500</v>
      </c>
      <c r="AQ10" s="16">
        <f t="shared" si="6"/>
        <v>2903440</v>
      </c>
      <c r="AR10" s="16">
        <f t="shared" si="7"/>
        <v>174206.4</v>
      </c>
      <c r="AS10" s="16">
        <f t="shared" si="8"/>
        <v>19162.703999999998</v>
      </c>
      <c r="AT10" s="16">
        <f t="shared" si="9"/>
        <v>-3484.1280000000002</v>
      </c>
      <c r="AU10" s="16">
        <f t="shared" si="10"/>
        <v>3074162.2719999999</v>
      </c>
      <c r="AV10" s="16">
        <f t="shared" si="11"/>
        <v>3077646.4</v>
      </c>
      <c r="AW10" s="16">
        <f t="shared" si="12"/>
        <v>99000</v>
      </c>
      <c r="AX10" s="16" t="s">
        <v>235</v>
      </c>
      <c r="AY10" s="17"/>
      <c r="AZ10" s="17">
        <f t="shared" si="13"/>
        <v>0</v>
      </c>
      <c r="BA10" s="16">
        <f t="shared" si="14"/>
        <v>2551000</v>
      </c>
      <c r="BB10" s="16">
        <f t="shared" si="15"/>
        <v>2551000</v>
      </c>
      <c r="BC10" s="15">
        <v>0.03</v>
      </c>
      <c r="BD10" s="15">
        <v>0.01</v>
      </c>
      <c r="BE10" s="37">
        <f t="shared" si="16"/>
        <v>228690</v>
      </c>
      <c r="BF10" s="38">
        <f t="shared" si="17"/>
        <v>141075</v>
      </c>
      <c r="BG10" s="37">
        <f t="shared" si="24"/>
        <v>118750</v>
      </c>
      <c r="BH10" s="37">
        <f t="shared" si="18"/>
        <v>123750</v>
      </c>
      <c r="BI10">
        <v>118750</v>
      </c>
      <c r="BL10" s="8">
        <f t="shared" si="19"/>
        <v>150000</v>
      </c>
      <c r="BM10" s="7" t="str">
        <f t="shared" si="20"/>
        <v>Terdaftar BPJS Kes &amp; Naker</v>
      </c>
      <c r="BN10" s="11">
        <f t="shared" si="21"/>
        <v>141075</v>
      </c>
      <c r="BO10" s="11">
        <f t="shared" si="22"/>
        <v>112365</v>
      </c>
      <c r="BP10" s="9">
        <f t="shared" si="23"/>
        <v>0</v>
      </c>
      <c r="BQ10" t="str">
        <f>_xlfn.XLOOKUP(X10,'[2]NON TETAP'!$H:$H,'[2]NON TETAP'!$I:$I)</f>
        <v>ELTI</v>
      </c>
    </row>
    <row r="11" spans="1:69" x14ac:dyDescent="0.3">
      <c r="A11" s="2">
        <v>10</v>
      </c>
      <c r="B11" s="5" t="s">
        <v>4097</v>
      </c>
      <c r="C11" s="6" t="s">
        <v>241</v>
      </c>
      <c r="D11" s="6"/>
      <c r="E11" s="6" t="s">
        <v>73</v>
      </c>
      <c r="F11" s="6"/>
      <c r="G11" s="6"/>
      <c r="H11" s="6"/>
      <c r="I11" s="6"/>
      <c r="J11" s="6"/>
      <c r="K11" s="6">
        <v>800011</v>
      </c>
      <c r="L11" s="6"/>
      <c r="M11" s="6">
        <v>25023140129</v>
      </c>
      <c r="N11" s="46" t="s">
        <v>4096</v>
      </c>
      <c r="O11" s="6">
        <v>3530587645</v>
      </c>
      <c r="P11" s="78" t="s">
        <v>4095</v>
      </c>
      <c r="Q11" s="6">
        <v>26013</v>
      </c>
      <c r="R11" s="6">
        <v>27003</v>
      </c>
      <c r="S11" s="5" t="str">
        <f>VLOOKUP(T11,'[1]Kode Posisi'!$A$3:$B$45,2,)</f>
        <v>Outsourcing Penjualan</v>
      </c>
      <c r="T11" s="36" t="s">
        <v>1063</v>
      </c>
      <c r="U11" s="44" t="s">
        <v>1062</v>
      </c>
      <c r="V11" s="44" t="s">
        <v>4094</v>
      </c>
      <c r="W11" s="36" t="s">
        <v>1060</v>
      </c>
      <c r="X11" s="36" t="s">
        <v>1060</v>
      </c>
      <c r="Y11" s="36" t="s">
        <v>52</v>
      </c>
      <c r="Z11" s="79" t="s">
        <v>4093</v>
      </c>
      <c r="AA11" s="36" t="s">
        <v>4092</v>
      </c>
      <c r="AB11" s="47">
        <v>2525000</v>
      </c>
      <c r="AC11" s="41">
        <v>2475000</v>
      </c>
      <c r="AD11" s="47">
        <v>2375000</v>
      </c>
      <c r="AE11" s="16">
        <f t="shared" si="0"/>
        <v>150000</v>
      </c>
      <c r="AF11" s="16">
        <v>0</v>
      </c>
      <c r="AG11" s="16">
        <v>0</v>
      </c>
      <c r="AH11" s="16"/>
      <c r="AI11" s="16">
        <v>0</v>
      </c>
      <c r="AJ11" s="16"/>
      <c r="AK11" s="16">
        <v>0</v>
      </c>
      <c r="AL11" s="11">
        <f t="shared" si="1"/>
        <v>2525000</v>
      </c>
      <c r="AM11" s="16">
        <f t="shared" si="2"/>
        <v>253440</v>
      </c>
      <c r="AN11" s="16">
        <f t="shared" si="3"/>
        <v>99000</v>
      </c>
      <c r="AO11" s="16">
        <f t="shared" si="4"/>
        <v>154440</v>
      </c>
      <c r="AP11" s="16">
        <f t="shared" si="5"/>
        <v>93425</v>
      </c>
      <c r="AQ11" s="16">
        <f t="shared" si="6"/>
        <v>2778440</v>
      </c>
      <c r="AR11" s="16">
        <f t="shared" si="7"/>
        <v>166706.4</v>
      </c>
      <c r="AS11" s="16">
        <f t="shared" si="8"/>
        <v>18337.703999999998</v>
      </c>
      <c r="AT11" s="16">
        <f t="shared" si="9"/>
        <v>-3334.1280000000002</v>
      </c>
      <c r="AU11" s="16">
        <f t="shared" si="10"/>
        <v>2941812.2719999999</v>
      </c>
      <c r="AV11" s="16">
        <f t="shared" si="11"/>
        <v>2945146.4</v>
      </c>
      <c r="AW11" s="16">
        <f t="shared" si="12"/>
        <v>99000</v>
      </c>
      <c r="AX11" s="16" t="s">
        <v>235</v>
      </c>
      <c r="AY11" s="17"/>
      <c r="AZ11" s="17">
        <f t="shared" si="13"/>
        <v>0</v>
      </c>
      <c r="BA11" s="16">
        <f t="shared" si="14"/>
        <v>2426000</v>
      </c>
      <c r="BB11" s="16">
        <f t="shared" si="15"/>
        <v>2426000</v>
      </c>
      <c r="BC11" s="15">
        <v>0.03</v>
      </c>
      <c r="BD11" s="15">
        <v>0.01</v>
      </c>
      <c r="BE11" s="37">
        <f t="shared" si="16"/>
        <v>228690</v>
      </c>
      <c r="BF11" s="38">
        <f t="shared" si="17"/>
        <v>141075</v>
      </c>
      <c r="BG11" s="37">
        <f t="shared" si="24"/>
        <v>118750</v>
      </c>
      <c r="BH11" s="37">
        <f t="shared" si="18"/>
        <v>123750</v>
      </c>
      <c r="BI11">
        <v>118750</v>
      </c>
      <c r="BL11" s="8">
        <f t="shared" si="19"/>
        <v>0</v>
      </c>
      <c r="BM11" s="7" t="str">
        <f t="shared" si="20"/>
        <v>Terdaftar BPJS Kes &amp; Naker</v>
      </c>
      <c r="BN11" s="11">
        <f t="shared" si="21"/>
        <v>141075</v>
      </c>
      <c r="BO11" s="11">
        <f t="shared" si="22"/>
        <v>112365</v>
      </c>
      <c r="BP11" s="9">
        <f t="shared" si="23"/>
        <v>0</v>
      </c>
      <c r="BQ11" t="str">
        <f>_xlfn.XLOOKUP(X11,'[2]NON TETAP'!$H:$H,'[2]NON TETAP'!$I:$I)</f>
        <v>ELTI</v>
      </c>
    </row>
    <row r="12" spans="1:69" x14ac:dyDescent="0.3">
      <c r="A12" s="2">
        <v>11</v>
      </c>
      <c r="B12" s="5" t="s">
        <v>4087</v>
      </c>
      <c r="C12" s="6" t="s">
        <v>241</v>
      </c>
      <c r="D12" s="6"/>
      <c r="E12" s="6" t="s">
        <v>73</v>
      </c>
      <c r="F12" s="6" t="s">
        <v>73</v>
      </c>
      <c r="G12" s="6"/>
      <c r="H12" s="6"/>
      <c r="I12" s="6"/>
      <c r="J12" s="6"/>
      <c r="K12" s="6">
        <v>800013</v>
      </c>
      <c r="L12" s="6"/>
      <c r="M12" s="6">
        <v>25023140087</v>
      </c>
      <c r="N12" s="46" t="s">
        <v>4091</v>
      </c>
      <c r="O12" s="6">
        <v>1224350403</v>
      </c>
      <c r="P12" s="78" t="s">
        <v>4090</v>
      </c>
      <c r="Q12" s="6">
        <v>99090</v>
      </c>
      <c r="R12" s="6">
        <v>27004</v>
      </c>
      <c r="S12" s="5" t="str">
        <f>VLOOKUP(T12,'[1]Kode Posisi'!$A$3:$B$45,2,)</f>
        <v>Outsourcing Petugas Administrasi</v>
      </c>
      <c r="T12" s="36" t="s">
        <v>35</v>
      </c>
      <c r="U12" s="44" t="s">
        <v>4077</v>
      </c>
      <c r="V12" s="44" t="s">
        <v>4089</v>
      </c>
      <c r="W12" s="36" t="s">
        <v>4075</v>
      </c>
      <c r="X12" s="36" t="s">
        <v>23</v>
      </c>
      <c r="Y12" s="36" t="s">
        <v>52</v>
      </c>
      <c r="Z12" s="79" t="s">
        <v>4088</v>
      </c>
      <c r="AA12" s="36" t="s">
        <v>4087</v>
      </c>
      <c r="AB12" s="47">
        <v>5400000</v>
      </c>
      <c r="AC12" s="41">
        <v>5730000</v>
      </c>
      <c r="AD12" s="47">
        <v>5400000</v>
      </c>
      <c r="AE12" s="16">
        <f t="shared" si="0"/>
        <v>0</v>
      </c>
      <c r="AF12" s="16">
        <v>0</v>
      </c>
      <c r="AG12" s="16">
        <v>0</v>
      </c>
      <c r="AH12" s="16"/>
      <c r="AI12" s="16">
        <v>0</v>
      </c>
      <c r="AJ12" s="115">
        <v>5400000</v>
      </c>
      <c r="AK12" s="16">
        <v>0</v>
      </c>
      <c r="AL12" s="11">
        <f t="shared" si="1"/>
        <v>10800000</v>
      </c>
      <c r="AM12" s="16">
        <f t="shared" si="2"/>
        <v>586752</v>
      </c>
      <c r="AN12" s="16">
        <f t="shared" si="3"/>
        <v>229200</v>
      </c>
      <c r="AO12" s="16">
        <f t="shared" si="4"/>
        <v>357552</v>
      </c>
      <c r="AP12" s="16">
        <f t="shared" si="5"/>
        <v>199800</v>
      </c>
      <c r="AQ12" s="16">
        <f t="shared" si="6"/>
        <v>11386752</v>
      </c>
      <c r="AR12" s="16">
        <f t="shared" si="7"/>
        <v>683205.12</v>
      </c>
      <c r="AS12" s="16">
        <f t="shared" si="8"/>
        <v>75152.563200000004</v>
      </c>
      <c r="AT12" s="16">
        <f t="shared" si="9"/>
        <v>-13664.1024</v>
      </c>
      <c r="AU12" s="16">
        <f t="shared" si="10"/>
        <v>12056293.0176</v>
      </c>
      <c r="AV12" s="16">
        <f t="shared" si="11"/>
        <v>12069957.119999999</v>
      </c>
      <c r="AW12" s="16">
        <f t="shared" si="12"/>
        <v>229200</v>
      </c>
      <c r="AX12" s="16" t="s">
        <v>286</v>
      </c>
      <c r="AY12" s="17"/>
      <c r="AZ12" s="17">
        <f t="shared" si="13"/>
        <v>0</v>
      </c>
      <c r="BA12" s="16">
        <f t="shared" si="14"/>
        <v>10570800</v>
      </c>
      <c r="BB12" s="16">
        <f t="shared" si="15"/>
        <v>10570800</v>
      </c>
      <c r="BC12" s="15">
        <v>0.03</v>
      </c>
      <c r="BD12" s="15">
        <v>0.01</v>
      </c>
      <c r="BE12" s="37">
        <f t="shared" si="16"/>
        <v>529452</v>
      </c>
      <c r="BF12" s="38">
        <f t="shared" si="17"/>
        <v>326610</v>
      </c>
      <c r="BG12" s="37">
        <f t="shared" si="24"/>
        <v>270000</v>
      </c>
      <c r="BH12" s="37">
        <f t="shared" si="18"/>
        <v>286500</v>
      </c>
      <c r="BI12">
        <v>270000</v>
      </c>
      <c r="BL12" s="8">
        <f t="shared" si="19"/>
        <v>5400000</v>
      </c>
      <c r="BM12" s="7" t="str">
        <f t="shared" si="20"/>
        <v>Terdaftar BPJS Kes &amp; Naker</v>
      </c>
      <c r="BN12" s="11">
        <f t="shared" si="21"/>
        <v>326610</v>
      </c>
      <c r="BO12" s="11">
        <f t="shared" si="22"/>
        <v>260142.00000000003</v>
      </c>
      <c r="BP12" s="9">
        <f t="shared" si="23"/>
        <v>0</v>
      </c>
      <c r="BQ12" t="str">
        <f>_xlfn.XLOOKUP(X12,'[2]NON TETAP'!$H:$H,'[2]NON TETAP'!$I:$I)</f>
        <v>GLOBAL LINTAS KARYA UTAMA</v>
      </c>
    </row>
    <row r="13" spans="1:69" x14ac:dyDescent="0.3">
      <c r="A13" s="2">
        <v>12</v>
      </c>
      <c r="B13" s="5" t="s">
        <v>4086</v>
      </c>
      <c r="C13" s="6" t="s">
        <v>241</v>
      </c>
      <c r="D13" s="6"/>
      <c r="E13" s="6" t="s">
        <v>73</v>
      </c>
      <c r="F13" s="6" t="s">
        <v>73</v>
      </c>
      <c r="G13" s="6"/>
      <c r="H13" s="6"/>
      <c r="I13" s="6"/>
      <c r="J13" s="6"/>
      <c r="K13" s="6">
        <v>800014</v>
      </c>
      <c r="L13" s="6"/>
      <c r="M13" s="6">
        <v>25023140095</v>
      </c>
      <c r="N13" s="46" t="s">
        <v>4085</v>
      </c>
      <c r="O13" s="6">
        <v>1141491881</v>
      </c>
      <c r="P13" s="78" t="s">
        <v>4084</v>
      </c>
      <c r="Q13" s="6">
        <v>99090</v>
      </c>
      <c r="R13" s="6">
        <v>27004</v>
      </c>
      <c r="S13" s="5" t="str">
        <f>VLOOKUP(T13,'[1]Kode Posisi'!$A$3:$B$45,2,)</f>
        <v>Outsourcing Petugas Gudang</v>
      </c>
      <c r="T13" s="36" t="s">
        <v>6</v>
      </c>
      <c r="U13" s="44" t="s">
        <v>4077</v>
      </c>
      <c r="V13" s="44" t="s">
        <v>4083</v>
      </c>
      <c r="W13" s="36" t="s">
        <v>4075</v>
      </c>
      <c r="X13" s="36" t="s">
        <v>23</v>
      </c>
      <c r="Y13" s="36" t="s">
        <v>52</v>
      </c>
      <c r="Z13" s="79" t="s">
        <v>4082</v>
      </c>
      <c r="AA13" s="36" t="s">
        <v>4081</v>
      </c>
      <c r="AB13" s="47">
        <v>5837000</v>
      </c>
      <c r="AC13" s="41">
        <v>5730000</v>
      </c>
      <c r="AD13" s="47">
        <v>5837000</v>
      </c>
      <c r="AE13" s="16">
        <f t="shared" si="0"/>
        <v>0</v>
      </c>
      <c r="AF13" s="16">
        <v>0</v>
      </c>
      <c r="AG13" s="16">
        <v>0</v>
      </c>
      <c r="AH13" s="16"/>
      <c r="AI13" s="16">
        <v>0</v>
      </c>
      <c r="AJ13" s="116">
        <v>5837000</v>
      </c>
      <c r="AK13" s="16">
        <v>0</v>
      </c>
      <c r="AL13" s="11">
        <f t="shared" si="1"/>
        <v>11674000</v>
      </c>
      <c r="AM13" s="16">
        <f t="shared" si="2"/>
        <v>586752</v>
      </c>
      <c r="AN13" s="16">
        <f t="shared" si="3"/>
        <v>229200</v>
      </c>
      <c r="AO13" s="16">
        <f t="shared" si="4"/>
        <v>357552</v>
      </c>
      <c r="AP13" s="16">
        <f t="shared" si="5"/>
        <v>215969</v>
      </c>
      <c r="AQ13" s="16">
        <f t="shared" si="6"/>
        <v>12260752</v>
      </c>
      <c r="AR13" s="16">
        <f t="shared" si="7"/>
        <v>735645.12</v>
      </c>
      <c r="AS13" s="16">
        <f t="shared" si="8"/>
        <v>80920.963199999998</v>
      </c>
      <c r="AT13" s="16">
        <f t="shared" si="9"/>
        <v>-14712.902400000001</v>
      </c>
      <c r="AU13" s="16">
        <f t="shared" si="10"/>
        <v>12981684.217599999</v>
      </c>
      <c r="AV13" s="16">
        <f t="shared" si="11"/>
        <v>12996397.119999999</v>
      </c>
      <c r="AW13" s="16">
        <f t="shared" si="12"/>
        <v>229200</v>
      </c>
      <c r="AX13" s="16" t="s">
        <v>286</v>
      </c>
      <c r="AY13" s="17"/>
      <c r="AZ13" s="17">
        <f t="shared" si="13"/>
        <v>0</v>
      </c>
      <c r="BA13" s="16">
        <f t="shared" si="14"/>
        <v>11444800</v>
      </c>
      <c r="BB13" s="16">
        <f t="shared" si="15"/>
        <v>11444800</v>
      </c>
      <c r="BC13" s="15">
        <v>0.03</v>
      </c>
      <c r="BD13" s="15">
        <v>0.01</v>
      </c>
      <c r="BE13" s="37">
        <f t="shared" si="16"/>
        <v>529452</v>
      </c>
      <c r="BF13" s="38">
        <f t="shared" si="17"/>
        <v>326610</v>
      </c>
      <c r="BG13" s="37">
        <f t="shared" si="24"/>
        <v>291850</v>
      </c>
      <c r="BH13" s="37">
        <f t="shared" si="18"/>
        <v>286500</v>
      </c>
      <c r="BI13">
        <v>291850</v>
      </c>
      <c r="BL13" s="8">
        <f t="shared" si="19"/>
        <v>5837000</v>
      </c>
      <c r="BM13" s="7" t="str">
        <f t="shared" si="20"/>
        <v>Terdaftar BPJS Kes &amp; Naker</v>
      </c>
      <c r="BN13" s="11">
        <f t="shared" si="21"/>
        <v>326610</v>
      </c>
      <c r="BO13" s="11">
        <f t="shared" si="22"/>
        <v>260142.00000000003</v>
      </c>
      <c r="BP13" s="9">
        <f t="shared" si="23"/>
        <v>0</v>
      </c>
      <c r="BQ13" t="str">
        <f>_xlfn.XLOOKUP(X13,'[2]NON TETAP'!$H:$H,'[2]NON TETAP'!$I:$I)</f>
        <v>GLOBAL LINTAS KARYA UTAMA</v>
      </c>
    </row>
    <row r="14" spans="1:69" x14ac:dyDescent="0.3">
      <c r="A14" s="2">
        <v>13</v>
      </c>
      <c r="B14" s="5" t="s">
        <v>4080</v>
      </c>
      <c r="C14" s="6" t="s">
        <v>241</v>
      </c>
      <c r="D14" s="6"/>
      <c r="E14" s="6" t="s">
        <v>73</v>
      </c>
      <c r="F14" s="6" t="s">
        <v>73</v>
      </c>
      <c r="G14" s="6"/>
      <c r="H14" s="6"/>
      <c r="I14" s="6"/>
      <c r="J14" s="6"/>
      <c r="K14" s="6">
        <v>800015</v>
      </c>
      <c r="L14" s="6"/>
      <c r="M14" s="6">
        <v>25023140103</v>
      </c>
      <c r="N14" s="46" t="s">
        <v>4079</v>
      </c>
      <c r="O14" s="6">
        <v>1124901022</v>
      </c>
      <c r="P14" s="78" t="s">
        <v>4078</v>
      </c>
      <c r="Q14" s="6">
        <v>99090</v>
      </c>
      <c r="R14" s="6">
        <v>27004</v>
      </c>
      <c r="S14" s="5" t="str">
        <f>VLOOKUP(T14,'[1]Kode Posisi'!$A$3:$B$45,2,)</f>
        <v>Outsourcing Petugas Gudang</v>
      </c>
      <c r="T14" s="36" t="s">
        <v>6</v>
      </c>
      <c r="U14" s="44" t="s">
        <v>4077</v>
      </c>
      <c r="V14" s="44" t="s">
        <v>4076</v>
      </c>
      <c r="W14" s="36" t="s">
        <v>4075</v>
      </c>
      <c r="X14" s="36" t="s">
        <v>23</v>
      </c>
      <c r="Y14" s="36" t="s">
        <v>52</v>
      </c>
      <c r="Z14" s="79" t="s">
        <v>4074</v>
      </c>
      <c r="AA14" s="36" t="s">
        <v>4073</v>
      </c>
      <c r="AB14" s="47">
        <v>5654000</v>
      </c>
      <c r="AC14" s="41">
        <v>5730000</v>
      </c>
      <c r="AD14" s="47">
        <v>5654000</v>
      </c>
      <c r="AE14" s="16">
        <f t="shared" si="0"/>
        <v>0</v>
      </c>
      <c r="AF14" s="16">
        <v>0</v>
      </c>
      <c r="AG14" s="16">
        <v>0</v>
      </c>
      <c r="AH14" s="16"/>
      <c r="AI14" s="16">
        <v>0</v>
      </c>
      <c r="AJ14" s="115">
        <v>5654000</v>
      </c>
      <c r="AK14" s="16">
        <v>0</v>
      </c>
      <c r="AL14" s="11">
        <f t="shared" si="1"/>
        <v>11308000</v>
      </c>
      <c r="AM14" s="16">
        <f t="shared" si="2"/>
        <v>586752</v>
      </c>
      <c r="AN14" s="16">
        <f t="shared" si="3"/>
        <v>229200</v>
      </c>
      <c r="AO14" s="16">
        <f t="shared" si="4"/>
        <v>357552</v>
      </c>
      <c r="AP14" s="16">
        <f t="shared" si="5"/>
        <v>209198</v>
      </c>
      <c r="AQ14" s="16">
        <f t="shared" si="6"/>
        <v>11894752</v>
      </c>
      <c r="AR14" s="16">
        <f t="shared" si="7"/>
        <v>713685.12</v>
      </c>
      <c r="AS14" s="16">
        <f t="shared" si="8"/>
        <v>78505.363200000007</v>
      </c>
      <c r="AT14" s="16">
        <f t="shared" si="9"/>
        <v>-14273.7024</v>
      </c>
      <c r="AU14" s="16">
        <f t="shared" si="10"/>
        <v>12594163.417599998</v>
      </c>
      <c r="AV14" s="16">
        <f t="shared" si="11"/>
        <v>12608437.119999999</v>
      </c>
      <c r="AW14" s="16">
        <f t="shared" si="12"/>
        <v>229200</v>
      </c>
      <c r="AX14" s="16" t="s">
        <v>243</v>
      </c>
      <c r="AY14" s="17"/>
      <c r="AZ14" s="17">
        <f t="shared" si="13"/>
        <v>0</v>
      </c>
      <c r="BA14" s="16">
        <f t="shared" si="14"/>
        <v>11078800</v>
      </c>
      <c r="BB14" s="16">
        <f t="shared" si="15"/>
        <v>11078800</v>
      </c>
      <c r="BC14" s="15">
        <v>0.03</v>
      </c>
      <c r="BD14" s="15">
        <v>0.01</v>
      </c>
      <c r="BE14" s="37">
        <f t="shared" si="16"/>
        <v>529452</v>
      </c>
      <c r="BF14" s="38">
        <f t="shared" si="17"/>
        <v>326610</v>
      </c>
      <c r="BG14" s="37">
        <f t="shared" si="24"/>
        <v>282700</v>
      </c>
      <c r="BH14" s="37">
        <f t="shared" si="18"/>
        <v>286500</v>
      </c>
      <c r="BI14">
        <v>282700</v>
      </c>
      <c r="BL14" s="8">
        <f t="shared" si="19"/>
        <v>5654000</v>
      </c>
      <c r="BM14" s="7" t="str">
        <f t="shared" si="20"/>
        <v>Terdaftar BPJS Kes &amp; Naker</v>
      </c>
      <c r="BN14" s="11">
        <f t="shared" si="21"/>
        <v>326610</v>
      </c>
      <c r="BO14" s="11">
        <f t="shared" si="22"/>
        <v>260142.00000000003</v>
      </c>
      <c r="BP14" s="9">
        <f t="shared" si="23"/>
        <v>0</v>
      </c>
      <c r="BQ14" t="str">
        <f>_xlfn.XLOOKUP(X14,'[2]NON TETAP'!$H:$H,'[2]NON TETAP'!$I:$I)</f>
        <v>GLOBAL LINTAS KARYA UTAMA</v>
      </c>
    </row>
    <row r="15" spans="1:69" x14ac:dyDescent="0.3">
      <c r="A15" s="2">
        <v>14</v>
      </c>
      <c r="B15" s="5" t="s">
        <v>4072</v>
      </c>
      <c r="C15" s="6" t="s">
        <v>4071</v>
      </c>
      <c r="D15" s="6" t="s">
        <v>4070</v>
      </c>
      <c r="E15" s="6" t="s">
        <v>73</v>
      </c>
      <c r="F15" s="6" t="s">
        <v>73</v>
      </c>
      <c r="G15" s="6"/>
      <c r="H15" s="6"/>
      <c r="I15" s="6" t="s">
        <v>4069</v>
      </c>
      <c r="J15" s="6"/>
      <c r="K15" s="6">
        <v>800017</v>
      </c>
      <c r="L15" s="6"/>
      <c r="M15" s="6">
        <v>21059477139</v>
      </c>
      <c r="N15" s="46" t="s">
        <v>4068</v>
      </c>
      <c r="O15" s="6">
        <v>1218159011</v>
      </c>
      <c r="P15" s="78" t="s">
        <v>4067</v>
      </c>
      <c r="Q15" s="6">
        <v>33086</v>
      </c>
      <c r="R15" s="6">
        <v>27521</v>
      </c>
      <c r="S15" s="5" t="str">
        <f>VLOOKUP(T15,'[1]Kode Posisi'!$A$3:$B$45,2,)</f>
        <v>Outsourcing Petugas Administrasi</v>
      </c>
      <c r="T15" s="36" t="s">
        <v>2358</v>
      </c>
      <c r="U15" s="44" t="s">
        <v>1106</v>
      </c>
      <c r="V15" s="44" t="s">
        <v>4066</v>
      </c>
      <c r="W15" s="36" t="s">
        <v>25</v>
      </c>
      <c r="X15" s="36" t="s">
        <v>25</v>
      </c>
      <c r="Y15" s="36" t="s">
        <v>52</v>
      </c>
      <c r="Z15" s="79" t="s">
        <v>4065</v>
      </c>
      <c r="AA15" s="36" t="s">
        <v>4064</v>
      </c>
      <c r="AB15" s="47">
        <v>5500000</v>
      </c>
      <c r="AC15" s="41">
        <v>5730000</v>
      </c>
      <c r="AD15" s="47">
        <v>5500000</v>
      </c>
      <c r="AE15" s="16">
        <f t="shared" si="0"/>
        <v>0</v>
      </c>
      <c r="AF15" s="16">
        <v>200000</v>
      </c>
      <c r="AG15" s="16">
        <v>0</v>
      </c>
      <c r="AH15" s="16"/>
      <c r="AI15" s="16">
        <v>0</v>
      </c>
      <c r="AJ15" s="16"/>
      <c r="AK15" s="16">
        <v>0</v>
      </c>
      <c r="AL15" s="11">
        <f t="shared" si="1"/>
        <v>5700000</v>
      </c>
      <c r="AM15" s="16">
        <f t="shared" si="2"/>
        <v>586752</v>
      </c>
      <c r="AN15" s="16">
        <f t="shared" si="3"/>
        <v>229200</v>
      </c>
      <c r="AO15" s="16">
        <f t="shared" si="4"/>
        <v>357552</v>
      </c>
      <c r="AP15" s="16">
        <f t="shared" si="5"/>
        <v>210900</v>
      </c>
      <c r="AQ15" s="16">
        <f t="shared" si="6"/>
        <v>6286752</v>
      </c>
      <c r="AR15" s="16">
        <f t="shared" si="7"/>
        <v>377205.12</v>
      </c>
      <c r="AS15" s="16">
        <f t="shared" si="8"/>
        <v>41492.563199999997</v>
      </c>
      <c r="AT15" s="16">
        <f t="shared" si="9"/>
        <v>-7544.1023999999998</v>
      </c>
      <c r="AU15" s="16">
        <f t="shared" si="10"/>
        <v>6656413.0175999999</v>
      </c>
      <c r="AV15" s="16">
        <f t="shared" si="11"/>
        <v>6663957.1200000001</v>
      </c>
      <c r="AW15" s="16">
        <f t="shared" si="12"/>
        <v>229200</v>
      </c>
      <c r="AX15" s="16" t="s">
        <v>235</v>
      </c>
      <c r="AY15" s="17"/>
      <c r="AZ15" s="17">
        <f t="shared" si="13"/>
        <v>0</v>
      </c>
      <c r="BA15" s="16">
        <f t="shared" si="14"/>
        <v>5470800</v>
      </c>
      <c r="BB15" s="16">
        <f t="shared" si="15"/>
        <v>5470800</v>
      </c>
      <c r="BC15" s="15">
        <v>0.03</v>
      </c>
      <c r="BD15" s="15">
        <v>0.01</v>
      </c>
      <c r="BE15" s="37">
        <f t="shared" si="16"/>
        <v>529452</v>
      </c>
      <c r="BF15" s="38">
        <f t="shared" si="17"/>
        <v>326610</v>
      </c>
      <c r="BG15" s="37">
        <f t="shared" si="24"/>
        <v>275000</v>
      </c>
      <c r="BH15" s="37">
        <f t="shared" si="18"/>
        <v>286500</v>
      </c>
      <c r="BI15">
        <v>275000</v>
      </c>
      <c r="BL15" s="8">
        <f t="shared" si="19"/>
        <v>200000</v>
      </c>
      <c r="BM15" s="7" t="str">
        <f t="shared" si="20"/>
        <v>Terdaftar BPJS Kes &amp; Naker</v>
      </c>
      <c r="BN15" s="11">
        <f t="shared" si="21"/>
        <v>326610</v>
      </c>
      <c r="BO15" s="11">
        <f t="shared" si="22"/>
        <v>260142.00000000003</v>
      </c>
      <c r="BP15" s="9">
        <f t="shared" si="23"/>
        <v>0</v>
      </c>
      <c r="BQ15" t="str">
        <f>_xlfn.XLOOKUP(X15,'[2]NON TETAP'!$H:$H,'[2]NON TETAP'!$I:$I)</f>
        <v>GRAMEDIA ASRI MEDIA</v>
      </c>
    </row>
    <row r="16" spans="1:69" x14ac:dyDescent="0.3">
      <c r="A16" s="2">
        <v>15</v>
      </c>
      <c r="B16" s="5" t="s">
        <v>4059</v>
      </c>
      <c r="C16" s="6" t="s">
        <v>241</v>
      </c>
      <c r="D16" s="6"/>
      <c r="E16" s="6" t="s">
        <v>73</v>
      </c>
      <c r="F16" s="6"/>
      <c r="G16" s="6"/>
      <c r="H16" s="6"/>
      <c r="I16" s="6"/>
      <c r="J16" s="6"/>
      <c r="K16" s="6">
        <v>800018</v>
      </c>
      <c r="L16" s="6"/>
      <c r="M16" s="6">
        <v>25023140210</v>
      </c>
      <c r="N16" s="46" t="s">
        <v>4063</v>
      </c>
      <c r="O16" s="6">
        <v>529581262</v>
      </c>
      <c r="P16" s="78" t="s">
        <v>4062</v>
      </c>
      <c r="Q16" s="6">
        <v>26013</v>
      </c>
      <c r="R16" s="6">
        <v>27003</v>
      </c>
      <c r="S16" s="5" t="str">
        <f>VLOOKUP(T16,'[1]Kode Posisi'!$A$3:$B$45,2,)</f>
        <v>Outsourcing Cleaning Service</v>
      </c>
      <c r="T16" s="36" t="s">
        <v>1</v>
      </c>
      <c r="U16" s="44" t="s">
        <v>1062</v>
      </c>
      <c r="V16" s="44" t="s">
        <v>4061</v>
      </c>
      <c r="W16" s="36" t="s">
        <v>1060</v>
      </c>
      <c r="X16" s="36" t="s">
        <v>1060</v>
      </c>
      <c r="Y16" s="36" t="s">
        <v>52</v>
      </c>
      <c r="Z16" s="79" t="s">
        <v>4060</v>
      </c>
      <c r="AA16" s="36" t="s">
        <v>4059</v>
      </c>
      <c r="AB16" s="47">
        <v>2475000</v>
      </c>
      <c r="AC16" s="41">
        <v>2475000</v>
      </c>
      <c r="AD16" s="47">
        <v>2350000</v>
      </c>
      <c r="AE16" s="16">
        <f t="shared" si="0"/>
        <v>125000</v>
      </c>
      <c r="AF16" s="16">
        <v>0</v>
      </c>
      <c r="AG16" s="16">
        <v>0</v>
      </c>
      <c r="AH16" s="16"/>
      <c r="AI16" s="16">
        <v>0</v>
      </c>
      <c r="AJ16" s="16"/>
      <c r="AK16" s="16">
        <v>0</v>
      </c>
      <c r="AL16" s="11">
        <f t="shared" si="1"/>
        <v>2475000</v>
      </c>
      <c r="AM16" s="16">
        <f t="shared" si="2"/>
        <v>253440</v>
      </c>
      <c r="AN16" s="16">
        <f t="shared" si="3"/>
        <v>99000</v>
      </c>
      <c r="AO16" s="16">
        <f t="shared" si="4"/>
        <v>154440</v>
      </c>
      <c r="AP16" s="16">
        <f t="shared" si="5"/>
        <v>91575</v>
      </c>
      <c r="AQ16" s="16">
        <f t="shared" si="6"/>
        <v>2728440</v>
      </c>
      <c r="AR16" s="16">
        <f t="shared" si="7"/>
        <v>163706.4</v>
      </c>
      <c r="AS16" s="16">
        <f t="shared" si="8"/>
        <v>18007.703999999998</v>
      </c>
      <c r="AT16" s="16">
        <f t="shared" si="9"/>
        <v>-3274.1280000000002</v>
      </c>
      <c r="AU16" s="16">
        <f t="shared" si="10"/>
        <v>2888872.2719999999</v>
      </c>
      <c r="AV16" s="16">
        <f t="shared" si="11"/>
        <v>2892146.4</v>
      </c>
      <c r="AW16" s="16">
        <f t="shared" si="12"/>
        <v>99000</v>
      </c>
      <c r="AX16" s="16" t="s">
        <v>91</v>
      </c>
      <c r="AY16" s="17"/>
      <c r="AZ16" s="17">
        <f t="shared" si="13"/>
        <v>0</v>
      </c>
      <c r="BA16" s="16">
        <f t="shared" si="14"/>
        <v>2376000</v>
      </c>
      <c r="BB16" s="16">
        <f t="shared" si="15"/>
        <v>2376000</v>
      </c>
      <c r="BC16" s="15">
        <v>0.03</v>
      </c>
      <c r="BD16" s="15">
        <v>0.01</v>
      </c>
      <c r="BE16" s="37">
        <f t="shared" si="16"/>
        <v>228690</v>
      </c>
      <c r="BF16" s="38">
        <f t="shared" si="17"/>
        <v>141075</v>
      </c>
      <c r="BG16" s="37">
        <f t="shared" si="24"/>
        <v>117500</v>
      </c>
      <c r="BH16" s="37">
        <f t="shared" si="18"/>
        <v>123750</v>
      </c>
      <c r="BI16">
        <v>117500</v>
      </c>
      <c r="BL16" s="8">
        <f t="shared" si="19"/>
        <v>0</v>
      </c>
      <c r="BM16" s="7" t="str">
        <f t="shared" si="20"/>
        <v>Terdaftar BPJS Kes &amp; Naker</v>
      </c>
      <c r="BN16" s="11">
        <f t="shared" si="21"/>
        <v>141075</v>
      </c>
      <c r="BO16" s="11">
        <f t="shared" si="22"/>
        <v>112365</v>
      </c>
      <c r="BP16" s="9">
        <f t="shared" si="23"/>
        <v>0</v>
      </c>
      <c r="BQ16" t="str">
        <f>_xlfn.XLOOKUP(X16,'[2]NON TETAP'!$H:$H,'[2]NON TETAP'!$I:$I)</f>
        <v>ELTI</v>
      </c>
    </row>
    <row r="17" spans="1:69" x14ac:dyDescent="0.3">
      <c r="A17" s="2">
        <v>16</v>
      </c>
      <c r="B17" s="5" t="s">
        <v>4058</v>
      </c>
      <c r="C17" s="6" t="s">
        <v>241</v>
      </c>
      <c r="D17" s="6"/>
      <c r="E17" s="6" t="s">
        <v>73</v>
      </c>
      <c r="F17" s="6" t="s">
        <v>73</v>
      </c>
      <c r="G17" s="6"/>
      <c r="H17" s="6"/>
      <c r="I17" s="6"/>
      <c r="J17" s="6"/>
      <c r="K17" s="6">
        <v>800026</v>
      </c>
      <c r="L17" s="6"/>
      <c r="M17" s="6">
        <v>25023141333</v>
      </c>
      <c r="N17" s="46" t="s">
        <v>4057</v>
      </c>
      <c r="O17" s="6">
        <v>1150754365</v>
      </c>
      <c r="P17" s="78" t="s">
        <v>4056</v>
      </c>
      <c r="Q17" s="6">
        <v>10106</v>
      </c>
      <c r="R17" s="6">
        <v>27106</v>
      </c>
      <c r="S17" s="5" t="str">
        <f>VLOOKUP(T17,'[1]Kode Posisi'!$A$3:$B$45,2,)</f>
        <v>Outsourcing Keamanan</v>
      </c>
      <c r="T17" s="36" t="s">
        <v>2850</v>
      </c>
      <c r="U17" s="44" t="s">
        <v>1167</v>
      </c>
      <c r="V17" s="44" t="s">
        <v>4055</v>
      </c>
      <c r="W17" s="36" t="s">
        <v>1045</v>
      </c>
      <c r="X17" s="36" t="s">
        <v>1044</v>
      </c>
      <c r="Y17" s="36" t="s">
        <v>1294</v>
      </c>
      <c r="Z17" s="79" t="s">
        <v>4054</v>
      </c>
      <c r="AA17" s="36" t="s">
        <v>4053</v>
      </c>
      <c r="AB17" s="47">
        <v>3702000</v>
      </c>
      <c r="AC17" s="41">
        <v>3702000</v>
      </c>
      <c r="AD17" s="47">
        <v>3455000</v>
      </c>
      <c r="AE17" s="16">
        <f t="shared" si="0"/>
        <v>247000</v>
      </c>
      <c r="AF17" s="16">
        <v>0</v>
      </c>
      <c r="AG17" s="16">
        <v>300000</v>
      </c>
      <c r="AH17" s="16"/>
      <c r="AI17" s="16">
        <v>0</v>
      </c>
      <c r="AJ17" s="16"/>
      <c r="AK17" s="16">
        <v>0</v>
      </c>
      <c r="AL17" s="11">
        <f t="shared" si="1"/>
        <v>4002000</v>
      </c>
      <c r="AM17" s="16">
        <f t="shared" si="2"/>
        <v>379084.79999999999</v>
      </c>
      <c r="AN17" s="16">
        <f t="shared" si="3"/>
        <v>148080</v>
      </c>
      <c r="AO17" s="16">
        <f t="shared" si="4"/>
        <v>231004.79999999999</v>
      </c>
      <c r="AP17" s="16">
        <f t="shared" si="5"/>
        <v>136974</v>
      </c>
      <c r="AQ17" s="16">
        <f t="shared" si="6"/>
        <v>4381084.8</v>
      </c>
      <c r="AR17" s="16">
        <f t="shared" si="7"/>
        <v>262865.08799999999</v>
      </c>
      <c r="AS17" s="16">
        <f t="shared" si="8"/>
        <v>28915.159680000001</v>
      </c>
      <c r="AT17" s="16">
        <f t="shared" si="9"/>
        <v>-5257.3017600000003</v>
      </c>
      <c r="AU17" s="16">
        <f t="shared" si="10"/>
        <v>4638692.5862400001</v>
      </c>
      <c r="AV17" s="16">
        <f t="shared" si="11"/>
        <v>4643949.8880000003</v>
      </c>
      <c r="AW17" s="16">
        <f t="shared" si="12"/>
        <v>148080</v>
      </c>
      <c r="AX17" s="16" t="s">
        <v>286</v>
      </c>
      <c r="AY17" s="17"/>
      <c r="AZ17" s="17">
        <f t="shared" si="13"/>
        <v>2900</v>
      </c>
      <c r="BA17" s="16">
        <f t="shared" si="14"/>
        <v>3853920</v>
      </c>
      <c r="BB17" s="16">
        <f t="shared" si="15"/>
        <v>3851020</v>
      </c>
      <c r="BC17" s="15">
        <v>0.03</v>
      </c>
      <c r="BD17" s="15">
        <v>0.01</v>
      </c>
      <c r="BE17" s="37">
        <f t="shared" si="16"/>
        <v>342064.8</v>
      </c>
      <c r="BF17" s="38">
        <f t="shared" si="17"/>
        <v>211014</v>
      </c>
      <c r="BG17" s="37">
        <f t="shared" si="24"/>
        <v>172750</v>
      </c>
      <c r="BH17" s="37">
        <f t="shared" si="18"/>
        <v>185100</v>
      </c>
      <c r="BI17">
        <v>172750</v>
      </c>
      <c r="BL17" s="8">
        <f t="shared" si="19"/>
        <v>300000</v>
      </c>
      <c r="BM17" s="7" t="str">
        <f t="shared" si="20"/>
        <v>Terdaftar BPJS Kes &amp; Naker</v>
      </c>
      <c r="BN17" s="11">
        <f t="shared" si="21"/>
        <v>211014</v>
      </c>
      <c r="BO17" s="11">
        <f t="shared" si="22"/>
        <v>168070.80000000002</v>
      </c>
      <c r="BP17" s="9">
        <f t="shared" si="23"/>
        <v>0</v>
      </c>
      <c r="BQ17" t="str">
        <f>_xlfn.XLOOKUP(X17,'[2]NON TETAP'!$H:$H,'[2]NON TETAP'!$I:$I)</f>
        <v>GRAMEDIA ASRI MEDIA</v>
      </c>
    </row>
    <row r="18" spans="1:69" x14ac:dyDescent="0.3">
      <c r="A18" s="2">
        <v>17</v>
      </c>
      <c r="B18" s="5" t="s">
        <v>4048</v>
      </c>
      <c r="C18" s="6" t="s">
        <v>241</v>
      </c>
      <c r="D18" s="6"/>
      <c r="E18" s="6" t="s">
        <v>73</v>
      </c>
      <c r="F18" s="6" t="s">
        <v>73</v>
      </c>
      <c r="G18" s="6"/>
      <c r="H18" s="6"/>
      <c r="I18" s="6"/>
      <c r="J18" s="6"/>
      <c r="K18" s="6">
        <v>800028</v>
      </c>
      <c r="L18" s="6"/>
      <c r="M18" s="6">
        <v>24017836677</v>
      </c>
      <c r="N18" s="46" t="s">
        <v>4052</v>
      </c>
      <c r="O18" s="6">
        <v>1153129601</v>
      </c>
      <c r="P18" s="78" t="s">
        <v>4051</v>
      </c>
      <c r="Q18" s="6">
        <v>10106</v>
      </c>
      <c r="R18" s="6">
        <v>27106</v>
      </c>
      <c r="S18" s="5" t="str">
        <f>VLOOKUP(T18,'[1]Kode Posisi'!$A$3:$B$45,2,)</f>
        <v>Outsourcing Keamanan</v>
      </c>
      <c r="T18" s="36" t="s">
        <v>37</v>
      </c>
      <c r="U18" s="44" t="s">
        <v>1167</v>
      </c>
      <c r="V18" s="44" t="s">
        <v>4050</v>
      </c>
      <c r="W18" s="36" t="s">
        <v>1045</v>
      </c>
      <c r="X18" s="36" t="s">
        <v>1044</v>
      </c>
      <c r="Y18" s="36" t="s">
        <v>1294</v>
      </c>
      <c r="Z18" s="79" t="s">
        <v>4049</v>
      </c>
      <c r="AA18" s="36" t="s">
        <v>4048</v>
      </c>
      <c r="AB18" s="47">
        <v>3702000</v>
      </c>
      <c r="AC18" s="41">
        <v>3702000</v>
      </c>
      <c r="AD18" s="47">
        <v>3455000</v>
      </c>
      <c r="AE18" s="16">
        <f t="shared" si="0"/>
        <v>247000</v>
      </c>
      <c r="AF18" s="16">
        <v>0</v>
      </c>
      <c r="AG18" s="16">
        <v>0</v>
      </c>
      <c r="AH18" s="16"/>
      <c r="AI18" s="16">
        <v>0</v>
      </c>
      <c r="AJ18" s="16"/>
      <c r="AK18" s="16">
        <v>0</v>
      </c>
      <c r="AL18" s="11">
        <f t="shared" si="1"/>
        <v>3702000</v>
      </c>
      <c r="AM18" s="16">
        <f t="shared" si="2"/>
        <v>379084.79999999999</v>
      </c>
      <c r="AN18" s="16">
        <f t="shared" si="3"/>
        <v>148080</v>
      </c>
      <c r="AO18" s="16">
        <f t="shared" si="4"/>
        <v>231004.79999999999</v>
      </c>
      <c r="AP18" s="16">
        <f t="shared" si="5"/>
        <v>136974</v>
      </c>
      <c r="AQ18" s="16">
        <f t="shared" si="6"/>
        <v>4081084.8</v>
      </c>
      <c r="AR18" s="16">
        <f t="shared" si="7"/>
        <v>244865.08799999999</v>
      </c>
      <c r="AS18" s="16">
        <f t="shared" si="8"/>
        <v>26935.159680000001</v>
      </c>
      <c r="AT18" s="16">
        <f t="shared" si="9"/>
        <v>-4897.3017600000003</v>
      </c>
      <c r="AU18" s="16">
        <f t="shared" si="10"/>
        <v>4321052.5862400001</v>
      </c>
      <c r="AV18" s="16">
        <f t="shared" si="11"/>
        <v>4325949.8880000003</v>
      </c>
      <c r="AW18" s="16">
        <f t="shared" si="12"/>
        <v>148080</v>
      </c>
      <c r="AX18" s="16" t="s">
        <v>235</v>
      </c>
      <c r="AY18" s="17"/>
      <c r="AZ18" s="17">
        <f t="shared" si="13"/>
        <v>2900</v>
      </c>
      <c r="BA18" s="16">
        <f t="shared" si="14"/>
        <v>3553920</v>
      </c>
      <c r="BB18" s="16">
        <f t="shared" si="15"/>
        <v>3551020</v>
      </c>
      <c r="BC18" s="15">
        <v>0.03</v>
      </c>
      <c r="BD18" s="15">
        <v>0.01</v>
      </c>
      <c r="BE18" s="37">
        <f t="shared" si="16"/>
        <v>342064.8</v>
      </c>
      <c r="BF18" s="38">
        <f t="shared" si="17"/>
        <v>211014</v>
      </c>
      <c r="BG18" s="37">
        <f t="shared" si="24"/>
        <v>172750</v>
      </c>
      <c r="BH18" s="37">
        <f t="shared" si="18"/>
        <v>185100</v>
      </c>
      <c r="BI18">
        <v>172750</v>
      </c>
      <c r="BL18" s="8">
        <f t="shared" si="19"/>
        <v>0</v>
      </c>
      <c r="BM18" s="7" t="str">
        <f t="shared" si="20"/>
        <v>Terdaftar BPJS Kes &amp; Naker</v>
      </c>
      <c r="BN18" s="11">
        <f t="shared" si="21"/>
        <v>211014</v>
      </c>
      <c r="BO18" s="11">
        <f t="shared" si="22"/>
        <v>168070.80000000002</v>
      </c>
      <c r="BP18" s="9">
        <f t="shared" si="23"/>
        <v>0</v>
      </c>
      <c r="BQ18" t="str">
        <f>_xlfn.XLOOKUP(X18,'[2]NON TETAP'!$H:$H,'[2]NON TETAP'!$I:$I)</f>
        <v>GRAMEDIA ASRI MEDIA</v>
      </c>
    </row>
    <row r="19" spans="1:69" x14ac:dyDescent="0.3">
      <c r="A19" s="2">
        <v>18</v>
      </c>
      <c r="B19" s="5" t="s">
        <v>4043</v>
      </c>
      <c r="C19" s="6" t="s">
        <v>241</v>
      </c>
      <c r="D19" s="6"/>
      <c r="E19" s="6" t="s">
        <v>73</v>
      </c>
      <c r="F19" s="6" t="s">
        <v>73</v>
      </c>
      <c r="G19" s="6" t="s">
        <v>2753</v>
      </c>
      <c r="H19" s="6"/>
      <c r="I19" s="6"/>
      <c r="J19" s="6"/>
      <c r="K19" s="6">
        <v>800029</v>
      </c>
      <c r="L19" s="6"/>
      <c r="M19" s="6">
        <v>24017836867</v>
      </c>
      <c r="N19" s="46" t="s">
        <v>4047</v>
      </c>
      <c r="O19" s="6">
        <v>1847524757</v>
      </c>
      <c r="P19" s="78" t="s">
        <v>4046</v>
      </c>
      <c r="Q19" s="6">
        <v>10106</v>
      </c>
      <c r="R19" s="6">
        <v>27106</v>
      </c>
      <c r="S19" s="5" t="str">
        <f>VLOOKUP(T19,'[1]Kode Posisi'!$A$3:$B$45,2,)</f>
        <v>Outsourcing Keamanan</v>
      </c>
      <c r="T19" s="36" t="s">
        <v>37</v>
      </c>
      <c r="U19" s="44" t="s">
        <v>1167</v>
      </c>
      <c r="V19" s="44" t="s">
        <v>4045</v>
      </c>
      <c r="W19" s="36" t="s">
        <v>1045</v>
      </c>
      <c r="X19" s="36" t="s">
        <v>1044</v>
      </c>
      <c r="Y19" s="36" t="s">
        <v>1294</v>
      </c>
      <c r="Z19" s="79" t="s">
        <v>4044</v>
      </c>
      <c r="AA19" s="36" t="s">
        <v>4043</v>
      </c>
      <c r="AB19" s="47">
        <v>3702000</v>
      </c>
      <c r="AC19" s="41">
        <v>3702000</v>
      </c>
      <c r="AD19" s="47">
        <v>3455000</v>
      </c>
      <c r="AE19" s="16">
        <f t="shared" si="0"/>
        <v>247000</v>
      </c>
      <c r="AF19" s="16">
        <v>0</v>
      </c>
      <c r="AG19" s="16">
        <v>0</v>
      </c>
      <c r="AH19" s="16"/>
      <c r="AI19" s="16">
        <v>0</v>
      </c>
      <c r="AJ19" s="16"/>
      <c r="AK19" s="16">
        <v>0</v>
      </c>
      <c r="AL19" s="11">
        <f t="shared" si="1"/>
        <v>3702000</v>
      </c>
      <c r="AM19" s="16">
        <f t="shared" si="2"/>
        <v>379084.79999999999</v>
      </c>
      <c r="AN19" s="16">
        <f t="shared" si="3"/>
        <v>148080</v>
      </c>
      <c r="AO19" s="16">
        <f t="shared" si="4"/>
        <v>231004.79999999999</v>
      </c>
      <c r="AP19" s="16">
        <f t="shared" si="5"/>
        <v>136974</v>
      </c>
      <c r="AQ19" s="16">
        <f t="shared" si="6"/>
        <v>4081084.8</v>
      </c>
      <c r="AR19" s="16">
        <f t="shared" si="7"/>
        <v>244865.08799999999</v>
      </c>
      <c r="AS19" s="16">
        <f t="shared" si="8"/>
        <v>26935.159680000001</v>
      </c>
      <c r="AT19" s="16">
        <f t="shared" si="9"/>
        <v>-4897.3017600000003</v>
      </c>
      <c r="AU19" s="16">
        <f t="shared" si="10"/>
        <v>4321052.5862400001</v>
      </c>
      <c r="AV19" s="16">
        <f t="shared" si="11"/>
        <v>4325949.8880000003</v>
      </c>
      <c r="AW19" s="16">
        <f t="shared" si="12"/>
        <v>148080</v>
      </c>
      <c r="AX19" s="16" t="s">
        <v>243</v>
      </c>
      <c r="AY19" s="17"/>
      <c r="AZ19" s="17">
        <f t="shared" si="13"/>
        <v>2900</v>
      </c>
      <c r="BA19" s="16">
        <f t="shared" si="14"/>
        <v>3553920</v>
      </c>
      <c r="BB19" s="16">
        <f t="shared" si="15"/>
        <v>3551020</v>
      </c>
      <c r="BC19" s="15">
        <v>0.03</v>
      </c>
      <c r="BD19" s="15">
        <v>0.01</v>
      </c>
      <c r="BE19" s="37">
        <f t="shared" si="16"/>
        <v>342064.8</v>
      </c>
      <c r="BF19" s="38">
        <f t="shared" si="17"/>
        <v>211014</v>
      </c>
      <c r="BG19" s="37">
        <f t="shared" si="24"/>
        <v>172750</v>
      </c>
      <c r="BH19" s="37">
        <f t="shared" si="18"/>
        <v>185100</v>
      </c>
      <c r="BI19">
        <v>172750</v>
      </c>
      <c r="BL19" s="8">
        <f t="shared" si="19"/>
        <v>0</v>
      </c>
      <c r="BM19" s="7" t="str">
        <f t="shared" si="20"/>
        <v>Terdaftar BPJS Kes &amp; Naker</v>
      </c>
      <c r="BN19" s="11">
        <f t="shared" si="21"/>
        <v>211014</v>
      </c>
      <c r="BO19" s="11">
        <f t="shared" si="22"/>
        <v>168070.80000000002</v>
      </c>
      <c r="BP19" s="9">
        <f t="shared" si="23"/>
        <v>0</v>
      </c>
      <c r="BQ19" t="str">
        <f>_xlfn.XLOOKUP(X19,'[2]NON TETAP'!$H:$H,'[2]NON TETAP'!$I:$I)</f>
        <v>GRAMEDIA ASRI MEDIA</v>
      </c>
    </row>
    <row r="20" spans="1:69" x14ac:dyDescent="0.3">
      <c r="A20" s="2">
        <v>19</v>
      </c>
      <c r="B20" s="5" t="s">
        <v>4038</v>
      </c>
      <c r="C20" s="6" t="s">
        <v>241</v>
      </c>
      <c r="D20" s="6"/>
      <c r="E20" s="6" t="s">
        <v>73</v>
      </c>
      <c r="F20" s="6" t="s">
        <v>73</v>
      </c>
      <c r="G20" s="6"/>
      <c r="H20" s="6"/>
      <c r="I20" s="6"/>
      <c r="J20" s="6"/>
      <c r="K20" s="6">
        <v>800032</v>
      </c>
      <c r="L20" s="6"/>
      <c r="M20" s="6">
        <v>25023141366</v>
      </c>
      <c r="N20" s="46" t="s">
        <v>4042</v>
      </c>
      <c r="O20" s="6">
        <v>1852241545</v>
      </c>
      <c r="P20" s="78" t="s">
        <v>4041</v>
      </c>
      <c r="Q20" s="6">
        <v>10106</v>
      </c>
      <c r="R20" s="6">
        <v>27106</v>
      </c>
      <c r="S20" s="5" t="str">
        <f>VLOOKUP(T20,'[1]Kode Posisi'!$A$3:$B$45,2,)</f>
        <v>Outsourcing Keamanan</v>
      </c>
      <c r="T20" s="36" t="s">
        <v>37</v>
      </c>
      <c r="U20" s="44" t="s">
        <v>1167</v>
      </c>
      <c r="V20" s="44" t="s">
        <v>4040</v>
      </c>
      <c r="W20" s="36" t="s">
        <v>1045</v>
      </c>
      <c r="X20" s="36" t="s">
        <v>1044</v>
      </c>
      <c r="Y20" s="36" t="s">
        <v>1294</v>
      </c>
      <c r="Z20" s="79" t="s">
        <v>4039</v>
      </c>
      <c r="AA20" s="36" t="s">
        <v>4038</v>
      </c>
      <c r="AB20" s="47">
        <v>3702000</v>
      </c>
      <c r="AC20" s="41">
        <v>3702000</v>
      </c>
      <c r="AD20" s="47">
        <v>3455000</v>
      </c>
      <c r="AE20" s="16">
        <f t="shared" si="0"/>
        <v>247000</v>
      </c>
      <c r="AF20" s="16">
        <v>0</v>
      </c>
      <c r="AG20" s="16">
        <v>0</v>
      </c>
      <c r="AH20" s="16"/>
      <c r="AI20" s="16">
        <v>0</v>
      </c>
      <c r="AJ20" s="16"/>
      <c r="AK20" s="16">
        <v>0</v>
      </c>
      <c r="AL20" s="11">
        <f t="shared" si="1"/>
        <v>3702000</v>
      </c>
      <c r="AM20" s="16">
        <f t="shared" si="2"/>
        <v>379084.79999999999</v>
      </c>
      <c r="AN20" s="16">
        <f t="shared" si="3"/>
        <v>148080</v>
      </c>
      <c r="AO20" s="16">
        <f t="shared" si="4"/>
        <v>231004.79999999999</v>
      </c>
      <c r="AP20" s="16">
        <f t="shared" si="5"/>
        <v>136974</v>
      </c>
      <c r="AQ20" s="16">
        <f t="shared" si="6"/>
        <v>4081084.8</v>
      </c>
      <c r="AR20" s="16">
        <f t="shared" si="7"/>
        <v>244865.08799999999</v>
      </c>
      <c r="AS20" s="16">
        <f t="shared" si="8"/>
        <v>26935.159680000001</v>
      </c>
      <c r="AT20" s="16">
        <f t="shared" si="9"/>
        <v>-4897.3017600000003</v>
      </c>
      <c r="AU20" s="16">
        <f t="shared" si="10"/>
        <v>4321052.5862400001</v>
      </c>
      <c r="AV20" s="16">
        <f t="shared" si="11"/>
        <v>4325949.8880000003</v>
      </c>
      <c r="AW20" s="16">
        <f t="shared" si="12"/>
        <v>148080</v>
      </c>
      <c r="AX20" s="16" t="s">
        <v>286</v>
      </c>
      <c r="AY20" s="17"/>
      <c r="AZ20" s="17">
        <f t="shared" si="13"/>
        <v>2900</v>
      </c>
      <c r="BA20" s="16">
        <f t="shared" si="14"/>
        <v>3553920</v>
      </c>
      <c r="BB20" s="16">
        <f t="shared" si="15"/>
        <v>3551020</v>
      </c>
      <c r="BC20" s="15">
        <v>0.03</v>
      </c>
      <c r="BD20" s="15">
        <v>0.01</v>
      </c>
      <c r="BE20" s="37">
        <f t="shared" si="16"/>
        <v>342064.8</v>
      </c>
      <c r="BF20" s="38">
        <f t="shared" si="17"/>
        <v>211014</v>
      </c>
      <c r="BG20" s="37">
        <f t="shared" si="24"/>
        <v>172750</v>
      </c>
      <c r="BH20" s="37">
        <f t="shared" si="18"/>
        <v>185100</v>
      </c>
      <c r="BI20">
        <v>172750</v>
      </c>
      <c r="BL20" s="8">
        <f t="shared" si="19"/>
        <v>0</v>
      </c>
      <c r="BM20" s="7" t="str">
        <f t="shared" si="20"/>
        <v>Terdaftar BPJS Kes &amp; Naker</v>
      </c>
      <c r="BN20" s="11">
        <f t="shared" si="21"/>
        <v>211014</v>
      </c>
      <c r="BO20" s="11">
        <f t="shared" si="22"/>
        <v>168070.80000000002</v>
      </c>
      <c r="BP20" s="9">
        <f t="shared" si="23"/>
        <v>0</v>
      </c>
      <c r="BQ20" t="str">
        <f>_xlfn.XLOOKUP(X20,'[2]NON TETAP'!$H:$H,'[2]NON TETAP'!$I:$I)</f>
        <v>GRAMEDIA ASRI MEDIA</v>
      </c>
    </row>
    <row r="21" spans="1:69" x14ac:dyDescent="0.3">
      <c r="A21" s="2">
        <v>20</v>
      </c>
      <c r="B21" s="5" t="s">
        <v>4033</v>
      </c>
      <c r="C21" s="6" t="s">
        <v>241</v>
      </c>
      <c r="D21" s="6"/>
      <c r="E21" s="6" t="s">
        <v>73</v>
      </c>
      <c r="F21" s="6" t="s">
        <v>73</v>
      </c>
      <c r="G21" s="6" t="s">
        <v>73</v>
      </c>
      <c r="H21" s="6"/>
      <c r="I21" s="6"/>
      <c r="J21" s="6"/>
      <c r="K21" s="6">
        <v>800033</v>
      </c>
      <c r="L21" s="6"/>
      <c r="M21" s="6">
        <v>25023140624</v>
      </c>
      <c r="N21" s="46" t="s">
        <v>4037</v>
      </c>
      <c r="O21" s="6">
        <v>1386136315</v>
      </c>
      <c r="P21" s="78" t="s">
        <v>4036</v>
      </c>
      <c r="Q21" s="6">
        <v>10153</v>
      </c>
      <c r="R21" s="6">
        <v>27153</v>
      </c>
      <c r="S21" s="5" t="str">
        <f>VLOOKUP(T21,'[1]Kode Posisi'!$A$3:$B$45,2,)</f>
        <v>Outsourcing Keamanan</v>
      </c>
      <c r="T21" s="36" t="s">
        <v>37</v>
      </c>
      <c r="U21" s="44" t="s">
        <v>2030</v>
      </c>
      <c r="V21" s="44" t="s">
        <v>4035</v>
      </c>
      <c r="W21" s="36" t="s">
        <v>1037</v>
      </c>
      <c r="X21" s="36" t="s">
        <v>191</v>
      </c>
      <c r="Y21" s="36" t="s">
        <v>1294</v>
      </c>
      <c r="Z21" s="79" t="s">
        <v>4034</v>
      </c>
      <c r="AA21" s="36" t="s">
        <v>4033</v>
      </c>
      <c r="AB21" s="47">
        <v>2570000</v>
      </c>
      <c r="AC21" s="41">
        <v>2570000</v>
      </c>
      <c r="AD21" s="47">
        <v>2417000</v>
      </c>
      <c r="AE21" s="16">
        <f t="shared" si="0"/>
        <v>153000</v>
      </c>
      <c r="AF21" s="16">
        <v>0</v>
      </c>
      <c r="AG21" s="16">
        <v>0</v>
      </c>
      <c r="AH21" s="16"/>
      <c r="AI21" s="16">
        <v>0</v>
      </c>
      <c r="AJ21" s="16"/>
      <c r="AK21" s="16">
        <v>0</v>
      </c>
      <c r="AL21" s="11">
        <f t="shared" si="1"/>
        <v>2570000</v>
      </c>
      <c r="AM21" s="16">
        <f t="shared" si="2"/>
        <v>263168</v>
      </c>
      <c r="AN21" s="16">
        <f t="shared" si="3"/>
        <v>102800</v>
      </c>
      <c r="AO21" s="16">
        <f t="shared" si="4"/>
        <v>160368</v>
      </c>
      <c r="AP21" s="16">
        <f t="shared" si="5"/>
        <v>95090</v>
      </c>
      <c r="AQ21" s="16">
        <f t="shared" si="6"/>
        <v>2833168</v>
      </c>
      <c r="AR21" s="16">
        <f t="shared" si="7"/>
        <v>169990.08</v>
      </c>
      <c r="AS21" s="16">
        <f t="shared" si="8"/>
        <v>18698.908799999997</v>
      </c>
      <c r="AT21" s="16">
        <f t="shared" si="9"/>
        <v>-3399.8015999999998</v>
      </c>
      <c r="AU21" s="16">
        <f t="shared" si="10"/>
        <v>2999758.2784000002</v>
      </c>
      <c r="AV21" s="16">
        <f t="shared" si="11"/>
        <v>3003158.08</v>
      </c>
      <c r="AW21" s="16">
        <f t="shared" si="12"/>
        <v>102800</v>
      </c>
      <c r="AX21" s="16" t="s">
        <v>477</v>
      </c>
      <c r="AY21" s="17"/>
      <c r="AZ21" s="17">
        <f t="shared" si="13"/>
        <v>2900</v>
      </c>
      <c r="BA21" s="16">
        <f t="shared" si="14"/>
        <v>2467200</v>
      </c>
      <c r="BB21" s="16">
        <f t="shared" si="15"/>
        <v>2464300</v>
      </c>
      <c r="BC21" s="15">
        <v>0.03</v>
      </c>
      <c r="BD21" s="15">
        <v>0.01</v>
      </c>
      <c r="BE21" s="37">
        <f t="shared" si="16"/>
        <v>237468</v>
      </c>
      <c r="BF21" s="38">
        <f t="shared" si="17"/>
        <v>146490</v>
      </c>
      <c r="BG21" s="37">
        <f t="shared" si="24"/>
        <v>120850</v>
      </c>
      <c r="BH21" s="37">
        <f t="shared" si="18"/>
        <v>128500</v>
      </c>
      <c r="BI21">
        <v>120850</v>
      </c>
      <c r="BL21" s="8">
        <f t="shared" si="19"/>
        <v>0</v>
      </c>
      <c r="BM21" s="7" t="str">
        <f t="shared" si="20"/>
        <v>Terdaftar BPJS Kes &amp; Naker</v>
      </c>
      <c r="BN21" s="11">
        <f t="shared" si="21"/>
        <v>146490</v>
      </c>
      <c r="BO21" s="11">
        <f t="shared" si="22"/>
        <v>116678.00000000001</v>
      </c>
      <c r="BP21" s="9">
        <f t="shared" si="23"/>
        <v>0</v>
      </c>
      <c r="BQ21" t="str">
        <f>_xlfn.XLOOKUP(X21,'[2]NON TETAP'!$H:$H,'[2]NON TETAP'!$I:$I)</f>
        <v>GRAMEDIA ASRI MEDIA</v>
      </c>
    </row>
    <row r="22" spans="1:69" x14ac:dyDescent="0.3">
      <c r="A22" s="2">
        <v>21</v>
      </c>
      <c r="B22" s="5" t="s">
        <v>4032</v>
      </c>
      <c r="C22" s="6" t="s">
        <v>241</v>
      </c>
      <c r="D22" s="6"/>
      <c r="E22" s="6" t="s">
        <v>73</v>
      </c>
      <c r="F22" s="6" t="s">
        <v>73</v>
      </c>
      <c r="G22" s="6" t="s">
        <v>73</v>
      </c>
      <c r="H22" s="6"/>
      <c r="I22" s="6"/>
      <c r="J22" s="6"/>
      <c r="K22" s="6">
        <v>800035</v>
      </c>
      <c r="L22" s="6"/>
      <c r="M22" s="6">
        <v>25023141358</v>
      </c>
      <c r="N22" s="46" t="s">
        <v>4031</v>
      </c>
      <c r="O22" s="6">
        <v>2908584369</v>
      </c>
      <c r="P22" s="78" t="s">
        <v>4030</v>
      </c>
      <c r="Q22" s="6">
        <v>10153</v>
      </c>
      <c r="R22" s="6">
        <v>27153</v>
      </c>
      <c r="S22" s="5" t="str">
        <f>VLOOKUP(T22,'[1]Kode Posisi'!$A$3:$B$45,2,)</f>
        <v>Outsourcing Keamanan</v>
      </c>
      <c r="T22" s="36" t="s">
        <v>2850</v>
      </c>
      <c r="U22" s="44" t="s">
        <v>2030</v>
      </c>
      <c r="V22" s="44" t="s">
        <v>4029</v>
      </c>
      <c r="W22" s="36" t="s">
        <v>1037</v>
      </c>
      <c r="X22" s="36" t="s">
        <v>191</v>
      </c>
      <c r="Y22" s="36" t="s">
        <v>1294</v>
      </c>
      <c r="Z22" s="79" t="s">
        <v>4028</v>
      </c>
      <c r="AA22" s="36" t="s">
        <v>4027</v>
      </c>
      <c r="AB22" s="47">
        <v>2570000</v>
      </c>
      <c r="AC22" s="41">
        <v>2570000</v>
      </c>
      <c r="AD22" s="47">
        <v>2417000</v>
      </c>
      <c r="AE22" s="16">
        <f t="shared" si="0"/>
        <v>153000</v>
      </c>
      <c r="AF22" s="16">
        <v>0</v>
      </c>
      <c r="AG22" s="16">
        <v>300000</v>
      </c>
      <c r="AH22" s="16"/>
      <c r="AI22" s="16">
        <v>0</v>
      </c>
      <c r="AJ22" s="16"/>
      <c r="AK22" s="16">
        <v>0</v>
      </c>
      <c r="AL22" s="11">
        <f t="shared" si="1"/>
        <v>2870000</v>
      </c>
      <c r="AM22" s="16">
        <f t="shared" si="2"/>
        <v>263168</v>
      </c>
      <c r="AN22" s="16">
        <f t="shared" si="3"/>
        <v>102800</v>
      </c>
      <c r="AO22" s="16">
        <f t="shared" si="4"/>
        <v>160368</v>
      </c>
      <c r="AP22" s="16">
        <f t="shared" si="5"/>
        <v>95090</v>
      </c>
      <c r="AQ22" s="16">
        <f t="shared" si="6"/>
        <v>3133168</v>
      </c>
      <c r="AR22" s="16">
        <f t="shared" si="7"/>
        <v>187990.08</v>
      </c>
      <c r="AS22" s="16">
        <f t="shared" si="8"/>
        <v>20678.908799999997</v>
      </c>
      <c r="AT22" s="16">
        <f t="shared" si="9"/>
        <v>-3759.8015999999998</v>
      </c>
      <c r="AU22" s="16">
        <f t="shared" si="10"/>
        <v>3317398.2784000002</v>
      </c>
      <c r="AV22" s="16">
        <f t="shared" si="11"/>
        <v>3321158.08</v>
      </c>
      <c r="AW22" s="16">
        <f t="shared" si="12"/>
        <v>102800</v>
      </c>
      <c r="AX22" s="16" t="s">
        <v>319</v>
      </c>
      <c r="AY22" s="17"/>
      <c r="AZ22" s="17">
        <f t="shared" si="13"/>
        <v>2900</v>
      </c>
      <c r="BA22" s="16">
        <f t="shared" si="14"/>
        <v>2767200</v>
      </c>
      <c r="BB22" s="16">
        <f t="shared" si="15"/>
        <v>2764300</v>
      </c>
      <c r="BC22" s="15">
        <v>0.03</v>
      </c>
      <c r="BD22" s="15">
        <v>0.01</v>
      </c>
      <c r="BE22" s="37">
        <f t="shared" si="16"/>
        <v>237468</v>
      </c>
      <c r="BF22" s="38">
        <f t="shared" si="17"/>
        <v>146490</v>
      </c>
      <c r="BG22" s="37">
        <f t="shared" si="24"/>
        <v>120850</v>
      </c>
      <c r="BH22" s="37">
        <f t="shared" si="18"/>
        <v>128500</v>
      </c>
      <c r="BI22">
        <v>120850</v>
      </c>
      <c r="BL22" s="8">
        <f t="shared" si="19"/>
        <v>300000</v>
      </c>
      <c r="BM22" s="7" t="str">
        <f t="shared" si="20"/>
        <v>Terdaftar BPJS Kes &amp; Naker</v>
      </c>
      <c r="BN22" s="11">
        <f t="shared" si="21"/>
        <v>146490</v>
      </c>
      <c r="BO22" s="11">
        <f t="shared" si="22"/>
        <v>116678.00000000001</v>
      </c>
      <c r="BP22" s="9">
        <f t="shared" si="23"/>
        <v>0</v>
      </c>
      <c r="BQ22" t="str">
        <f>_xlfn.XLOOKUP(X22,'[2]NON TETAP'!$H:$H,'[2]NON TETAP'!$I:$I)</f>
        <v>GRAMEDIA ASRI MEDIA</v>
      </c>
    </row>
    <row r="23" spans="1:69" x14ac:dyDescent="0.3">
      <c r="A23" s="2">
        <v>22</v>
      </c>
      <c r="B23" s="5" t="s">
        <v>4026</v>
      </c>
      <c r="C23" s="6" t="s">
        <v>241</v>
      </c>
      <c r="D23" s="6"/>
      <c r="E23" s="6" t="s">
        <v>73</v>
      </c>
      <c r="F23" s="6" t="s">
        <v>73</v>
      </c>
      <c r="G23" s="6" t="s">
        <v>73</v>
      </c>
      <c r="H23" s="6"/>
      <c r="I23" s="6"/>
      <c r="J23" s="6"/>
      <c r="K23" s="6">
        <v>800037</v>
      </c>
      <c r="L23" s="6"/>
      <c r="M23" s="6">
        <v>25023140020</v>
      </c>
      <c r="N23" s="46" t="s">
        <v>4025</v>
      </c>
      <c r="O23" s="6">
        <v>1648692483</v>
      </c>
      <c r="P23" s="78" t="s">
        <v>4024</v>
      </c>
      <c r="Q23" s="6">
        <v>10153</v>
      </c>
      <c r="R23" s="6">
        <v>27153</v>
      </c>
      <c r="S23" s="5" t="str">
        <f>VLOOKUP(T23,'[1]Kode Posisi'!$A$3:$B$45,2,)</f>
        <v>Outsourcing Keamanan</v>
      </c>
      <c r="T23" s="36" t="s">
        <v>2850</v>
      </c>
      <c r="U23" s="44" t="s">
        <v>2030</v>
      </c>
      <c r="V23" s="44" t="s">
        <v>4023</v>
      </c>
      <c r="W23" s="36" t="s">
        <v>1037</v>
      </c>
      <c r="X23" s="36" t="s">
        <v>191</v>
      </c>
      <c r="Y23" s="36" t="s">
        <v>1294</v>
      </c>
      <c r="Z23" s="79" t="s">
        <v>4022</v>
      </c>
      <c r="AA23" s="36" t="s">
        <v>4021</v>
      </c>
      <c r="AB23" s="47">
        <v>2570000</v>
      </c>
      <c r="AC23" s="41">
        <v>2570000</v>
      </c>
      <c r="AD23" s="47">
        <v>2417000</v>
      </c>
      <c r="AE23" s="16">
        <f t="shared" si="0"/>
        <v>153000</v>
      </c>
      <c r="AF23" s="16">
        <v>0</v>
      </c>
      <c r="AG23" s="16">
        <v>300000</v>
      </c>
      <c r="AH23" s="16"/>
      <c r="AI23" s="16">
        <v>0</v>
      </c>
      <c r="AJ23" s="16"/>
      <c r="AK23" s="16">
        <v>0</v>
      </c>
      <c r="AL23" s="11">
        <f t="shared" si="1"/>
        <v>2870000</v>
      </c>
      <c r="AM23" s="16">
        <f t="shared" si="2"/>
        <v>263168</v>
      </c>
      <c r="AN23" s="16">
        <f t="shared" si="3"/>
        <v>102800</v>
      </c>
      <c r="AO23" s="16">
        <f t="shared" si="4"/>
        <v>160368</v>
      </c>
      <c r="AP23" s="16">
        <f t="shared" si="5"/>
        <v>95090</v>
      </c>
      <c r="AQ23" s="16">
        <f t="shared" si="6"/>
        <v>3133168</v>
      </c>
      <c r="AR23" s="16">
        <f t="shared" si="7"/>
        <v>187990.08</v>
      </c>
      <c r="AS23" s="16">
        <f t="shared" si="8"/>
        <v>20678.908799999997</v>
      </c>
      <c r="AT23" s="16">
        <f t="shared" si="9"/>
        <v>-3759.8015999999998</v>
      </c>
      <c r="AU23" s="16">
        <f t="shared" si="10"/>
        <v>3317398.2784000002</v>
      </c>
      <c r="AV23" s="16">
        <f t="shared" si="11"/>
        <v>3321158.08</v>
      </c>
      <c r="AW23" s="16">
        <f t="shared" si="12"/>
        <v>102800</v>
      </c>
      <c r="AX23" s="16" t="s">
        <v>235</v>
      </c>
      <c r="AY23" s="17"/>
      <c r="AZ23" s="17">
        <f t="shared" si="13"/>
        <v>2900</v>
      </c>
      <c r="BA23" s="16">
        <f t="shared" si="14"/>
        <v>2767200</v>
      </c>
      <c r="BB23" s="16">
        <f t="shared" si="15"/>
        <v>2764300</v>
      </c>
      <c r="BC23" s="15">
        <v>0.03</v>
      </c>
      <c r="BD23" s="15">
        <v>0.01</v>
      </c>
      <c r="BE23" s="37">
        <f t="shared" si="16"/>
        <v>237468</v>
      </c>
      <c r="BF23" s="38">
        <f t="shared" si="17"/>
        <v>146490</v>
      </c>
      <c r="BG23" s="37">
        <f t="shared" si="24"/>
        <v>120850</v>
      </c>
      <c r="BH23" s="37">
        <f t="shared" si="18"/>
        <v>128500</v>
      </c>
      <c r="BI23">
        <v>120850</v>
      </c>
      <c r="BL23" s="8">
        <f t="shared" si="19"/>
        <v>300000</v>
      </c>
      <c r="BM23" s="7" t="str">
        <f t="shared" si="20"/>
        <v>Terdaftar BPJS Kes &amp; Naker</v>
      </c>
      <c r="BN23" s="11">
        <f t="shared" si="21"/>
        <v>146490</v>
      </c>
      <c r="BO23" s="11">
        <f t="shared" si="22"/>
        <v>116678.00000000001</v>
      </c>
      <c r="BP23" s="9">
        <f t="shared" si="23"/>
        <v>0</v>
      </c>
      <c r="BQ23" t="str">
        <f>_xlfn.XLOOKUP(X23,'[2]NON TETAP'!$H:$H,'[2]NON TETAP'!$I:$I)</f>
        <v>GRAMEDIA ASRI MEDIA</v>
      </c>
    </row>
    <row r="24" spans="1:69" x14ac:dyDescent="0.3">
      <c r="A24" s="2">
        <v>23</v>
      </c>
      <c r="B24" s="5" t="s">
        <v>4016</v>
      </c>
      <c r="C24" s="6" t="s">
        <v>241</v>
      </c>
      <c r="D24" s="6"/>
      <c r="E24" s="6" t="s">
        <v>73</v>
      </c>
      <c r="F24" s="6" t="s">
        <v>73</v>
      </c>
      <c r="G24" s="6" t="s">
        <v>73</v>
      </c>
      <c r="H24" s="6"/>
      <c r="I24" s="6"/>
      <c r="J24" s="6"/>
      <c r="K24" s="6">
        <v>800038</v>
      </c>
      <c r="L24" s="6"/>
      <c r="M24" s="6">
        <v>25023140640</v>
      </c>
      <c r="N24" s="46" t="s">
        <v>4020</v>
      </c>
      <c r="O24" s="6">
        <v>1692232165</v>
      </c>
      <c r="P24" s="78" t="s">
        <v>4019</v>
      </c>
      <c r="Q24" s="6">
        <v>10153</v>
      </c>
      <c r="R24" s="6">
        <v>27153</v>
      </c>
      <c r="S24" s="5" t="str">
        <f>VLOOKUP(T24,'[1]Kode Posisi'!$A$3:$B$45,2,)</f>
        <v>Outsourcing Keamanan</v>
      </c>
      <c r="T24" s="36" t="s">
        <v>37</v>
      </c>
      <c r="U24" s="44" t="s">
        <v>2030</v>
      </c>
      <c r="V24" s="44" t="s">
        <v>4018</v>
      </c>
      <c r="W24" s="36" t="s">
        <v>1037</v>
      </c>
      <c r="X24" s="36" t="s">
        <v>191</v>
      </c>
      <c r="Y24" s="36" t="s">
        <v>1294</v>
      </c>
      <c r="Z24" s="79" t="s">
        <v>4017</v>
      </c>
      <c r="AA24" s="36" t="s">
        <v>4016</v>
      </c>
      <c r="AB24" s="47">
        <v>2570000</v>
      </c>
      <c r="AC24" s="41">
        <v>2570000</v>
      </c>
      <c r="AD24" s="47">
        <v>2417000</v>
      </c>
      <c r="AE24" s="16">
        <f t="shared" si="0"/>
        <v>153000</v>
      </c>
      <c r="AF24" s="16">
        <v>0</v>
      </c>
      <c r="AG24" s="16">
        <v>0</v>
      </c>
      <c r="AH24" s="16"/>
      <c r="AI24" s="16">
        <v>0</v>
      </c>
      <c r="AJ24" s="16"/>
      <c r="AK24" s="16">
        <v>0</v>
      </c>
      <c r="AL24" s="11">
        <f t="shared" si="1"/>
        <v>2570000</v>
      </c>
      <c r="AM24" s="16">
        <f t="shared" si="2"/>
        <v>263168</v>
      </c>
      <c r="AN24" s="16">
        <f t="shared" si="3"/>
        <v>102800</v>
      </c>
      <c r="AO24" s="16">
        <f t="shared" si="4"/>
        <v>160368</v>
      </c>
      <c r="AP24" s="16">
        <f t="shared" si="5"/>
        <v>95090</v>
      </c>
      <c r="AQ24" s="16">
        <f t="shared" si="6"/>
        <v>2833168</v>
      </c>
      <c r="AR24" s="16">
        <f t="shared" si="7"/>
        <v>169990.08</v>
      </c>
      <c r="AS24" s="16">
        <f t="shared" si="8"/>
        <v>18698.908799999997</v>
      </c>
      <c r="AT24" s="16">
        <f t="shared" si="9"/>
        <v>-3399.8015999999998</v>
      </c>
      <c r="AU24" s="16">
        <f t="shared" si="10"/>
        <v>2999758.2784000002</v>
      </c>
      <c r="AV24" s="16">
        <f t="shared" si="11"/>
        <v>3003158.08</v>
      </c>
      <c r="AW24" s="16">
        <f t="shared" si="12"/>
        <v>102800</v>
      </c>
      <c r="AX24" s="16" t="s">
        <v>319</v>
      </c>
      <c r="AY24" s="17"/>
      <c r="AZ24" s="17">
        <f t="shared" si="13"/>
        <v>2900</v>
      </c>
      <c r="BA24" s="16">
        <f t="shared" si="14"/>
        <v>2467200</v>
      </c>
      <c r="BB24" s="16">
        <f t="shared" si="15"/>
        <v>2464300</v>
      </c>
      <c r="BC24" s="15">
        <v>0.03</v>
      </c>
      <c r="BD24" s="15">
        <v>0.01</v>
      </c>
      <c r="BE24" s="37">
        <f t="shared" si="16"/>
        <v>237468</v>
      </c>
      <c r="BF24" s="38">
        <f t="shared" si="17"/>
        <v>146490</v>
      </c>
      <c r="BG24" s="37">
        <f t="shared" si="24"/>
        <v>120850</v>
      </c>
      <c r="BH24" s="37">
        <f t="shared" si="18"/>
        <v>128500</v>
      </c>
      <c r="BI24">
        <v>120850</v>
      </c>
      <c r="BL24" s="8">
        <f t="shared" si="19"/>
        <v>0</v>
      </c>
      <c r="BM24" s="7" t="str">
        <f t="shared" si="20"/>
        <v>Terdaftar BPJS Kes &amp; Naker</v>
      </c>
      <c r="BN24" s="11">
        <f t="shared" si="21"/>
        <v>146490</v>
      </c>
      <c r="BO24" s="11">
        <f t="shared" si="22"/>
        <v>116678.00000000001</v>
      </c>
      <c r="BP24" s="9">
        <f t="shared" si="23"/>
        <v>0</v>
      </c>
      <c r="BQ24" t="str">
        <f>_xlfn.XLOOKUP(X24,'[2]NON TETAP'!$H:$H,'[2]NON TETAP'!$I:$I)</f>
        <v>GRAMEDIA ASRI MEDIA</v>
      </c>
    </row>
    <row r="25" spans="1:69" x14ac:dyDescent="0.3">
      <c r="A25" s="2">
        <v>24</v>
      </c>
      <c r="B25" s="5" t="s">
        <v>4011</v>
      </c>
      <c r="C25" s="6" t="s">
        <v>241</v>
      </c>
      <c r="D25" s="6"/>
      <c r="E25" s="6" t="s">
        <v>73</v>
      </c>
      <c r="F25" s="6" t="s">
        <v>73</v>
      </c>
      <c r="G25" s="6" t="s">
        <v>73</v>
      </c>
      <c r="H25" s="6"/>
      <c r="I25" s="6"/>
      <c r="J25" s="6"/>
      <c r="K25" s="6">
        <v>800040</v>
      </c>
      <c r="L25" s="6"/>
      <c r="M25" s="6">
        <v>24017836883</v>
      </c>
      <c r="N25" s="46" t="s">
        <v>4015</v>
      </c>
      <c r="O25" s="6">
        <v>1525444964</v>
      </c>
      <c r="P25" s="78" t="s">
        <v>4014</v>
      </c>
      <c r="Q25" s="6">
        <v>10105</v>
      </c>
      <c r="R25" s="6">
        <v>27105</v>
      </c>
      <c r="S25" s="5" t="str">
        <f>VLOOKUP(T25,'[1]Kode Posisi'!$A$3:$B$45,2,)</f>
        <v>Outsourcing Keamanan</v>
      </c>
      <c r="T25" s="36" t="s">
        <v>37</v>
      </c>
      <c r="U25" s="44" t="s">
        <v>1071</v>
      </c>
      <c r="V25" s="44" t="s">
        <v>4013</v>
      </c>
      <c r="W25" s="36" t="s">
        <v>1989</v>
      </c>
      <c r="X25" s="36" t="s">
        <v>104</v>
      </c>
      <c r="Y25" s="36" t="s">
        <v>1294</v>
      </c>
      <c r="Z25" s="79" t="s">
        <v>4012</v>
      </c>
      <c r="AA25" s="36" t="s">
        <v>4011</v>
      </c>
      <c r="AB25" s="47">
        <v>2828000</v>
      </c>
      <c r="AC25" s="41">
        <v>2828000</v>
      </c>
      <c r="AD25" s="47">
        <v>2656000</v>
      </c>
      <c r="AE25" s="16">
        <f t="shared" si="0"/>
        <v>172000</v>
      </c>
      <c r="AF25" s="16">
        <v>0</v>
      </c>
      <c r="AG25" s="16">
        <v>0</v>
      </c>
      <c r="AH25" s="16"/>
      <c r="AI25" s="16">
        <v>0</v>
      </c>
      <c r="AJ25" s="16"/>
      <c r="AK25" s="16">
        <v>0</v>
      </c>
      <c r="AL25" s="11">
        <f t="shared" si="1"/>
        <v>2828000</v>
      </c>
      <c r="AM25" s="16">
        <f t="shared" si="2"/>
        <v>289587.19999999995</v>
      </c>
      <c r="AN25" s="16">
        <f t="shared" si="3"/>
        <v>113120</v>
      </c>
      <c r="AO25" s="16">
        <f t="shared" si="4"/>
        <v>176467.19999999998</v>
      </c>
      <c r="AP25" s="16">
        <f t="shared" si="5"/>
        <v>104636</v>
      </c>
      <c r="AQ25" s="16">
        <f t="shared" si="6"/>
        <v>3117587.2</v>
      </c>
      <c r="AR25" s="16">
        <f t="shared" si="7"/>
        <v>187055.23200000002</v>
      </c>
      <c r="AS25" s="16">
        <f t="shared" si="8"/>
        <v>20576.075520000002</v>
      </c>
      <c r="AT25" s="16">
        <f t="shared" si="9"/>
        <v>-3741.1046400000005</v>
      </c>
      <c r="AU25" s="16">
        <f t="shared" si="10"/>
        <v>3300901.32736</v>
      </c>
      <c r="AV25" s="16">
        <f t="shared" si="11"/>
        <v>3304642.432</v>
      </c>
      <c r="AW25" s="16">
        <f t="shared" si="12"/>
        <v>113120</v>
      </c>
      <c r="AX25" s="16" t="s">
        <v>235</v>
      </c>
      <c r="AY25" s="17"/>
      <c r="AZ25" s="17">
        <f t="shared" si="13"/>
        <v>2900</v>
      </c>
      <c r="BA25" s="16">
        <f t="shared" si="14"/>
        <v>2714880</v>
      </c>
      <c r="BB25" s="16">
        <f t="shared" si="15"/>
        <v>2711980</v>
      </c>
      <c r="BC25" s="15">
        <v>0.03</v>
      </c>
      <c r="BD25" s="15">
        <v>0.01</v>
      </c>
      <c r="BE25" s="37">
        <f t="shared" si="16"/>
        <v>261307.19999999998</v>
      </c>
      <c r="BF25" s="38">
        <f t="shared" si="17"/>
        <v>161196</v>
      </c>
      <c r="BG25" s="37">
        <f t="shared" si="24"/>
        <v>132800</v>
      </c>
      <c r="BH25" s="37">
        <f t="shared" si="18"/>
        <v>141400</v>
      </c>
      <c r="BI25">
        <v>132800</v>
      </c>
      <c r="BL25" s="8">
        <f t="shared" si="19"/>
        <v>0</v>
      </c>
      <c r="BM25" s="7" t="str">
        <f t="shared" si="20"/>
        <v>Terdaftar BPJS Kes &amp; Naker</v>
      </c>
      <c r="BN25" s="11">
        <f t="shared" si="21"/>
        <v>161196</v>
      </c>
      <c r="BO25" s="11">
        <f t="shared" si="22"/>
        <v>128391.20000000001</v>
      </c>
      <c r="BP25" s="9">
        <f t="shared" si="23"/>
        <v>0</v>
      </c>
      <c r="BQ25" t="str">
        <f>_xlfn.XLOOKUP(X25,'[2]NON TETAP'!$H:$H,'[2]NON TETAP'!$I:$I)</f>
        <v>GRAMEDIA ASRI MEDIA</v>
      </c>
    </row>
    <row r="26" spans="1:69" x14ac:dyDescent="0.3">
      <c r="A26" s="2">
        <v>25</v>
      </c>
      <c r="B26" s="5" t="s">
        <v>4010</v>
      </c>
      <c r="C26" s="6" t="s">
        <v>241</v>
      </c>
      <c r="D26" s="6"/>
      <c r="E26" s="6" t="s">
        <v>73</v>
      </c>
      <c r="F26" s="6" t="s">
        <v>73</v>
      </c>
      <c r="G26" s="6" t="s">
        <v>73</v>
      </c>
      <c r="H26" s="6"/>
      <c r="I26" s="6"/>
      <c r="J26" s="6"/>
      <c r="K26" s="6">
        <v>800041</v>
      </c>
      <c r="L26" s="6"/>
      <c r="M26" s="6">
        <v>25023140574</v>
      </c>
      <c r="N26" s="46" t="s">
        <v>4009</v>
      </c>
      <c r="O26" s="6">
        <v>1035863335</v>
      </c>
      <c r="P26" s="78" t="s">
        <v>4008</v>
      </c>
      <c r="Q26" s="6">
        <v>10105</v>
      </c>
      <c r="R26" s="6">
        <v>27105</v>
      </c>
      <c r="S26" s="5" t="str">
        <f>VLOOKUP(T26,'[1]Kode Posisi'!$A$3:$B$45,2,)</f>
        <v>Outsourcing Keamanan</v>
      </c>
      <c r="T26" s="36" t="s">
        <v>2850</v>
      </c>
      <c r="U26" s="44" t="s">
        <v>1071</v>
      </c>
      <c r="V26" s="44" t="s">
        <v>4007</v>
      </c>
      <c r="W26" s="36" t="s">
        <v>1989</v>
      </c>
      <c r="X26" s="36" t="s">
        <v>104</v>
      </c>
      <c r="Y26" s="36" t="s">
        <v>52</v>
      </c>
      <c r="Z26" s="79" t="s">
        <v>4006</v>
      </c>
      <c r="AA26" s="36" t="s">
        <v>4005</v>
      </c>
      <c r="AB26" s="47">
        <v>2828000</v>
      </c>
      <c r="AC26" s="41">
        <v>2828000</v>
      </c>
      <c r="AD26" s="47">
        <v>2656000</v>
      </c>
      <c r="AE26" s="16">
        <f t="shared" si="0"/>
        <v>172000</v>
      </c>
      <c r="AF26" s="16"/>
      <c r="AG26" s="16">
        <v>300000</v>
      </c>
      <c r="AH26" s="16"/>
      <c r="AI26" s="16">
        <v>0</v>
      </c>
      <c r="AJ26" s="16"/>
      <c r="AK26" s="16">
        <v>0</v>
      </c>
      <c r="AL26" s="11">
        <f t="shared" si="1"/>
        <v>3128000</v>
      </c>
      <c r="AM26" s="16">
        <f t="shared" si="2"/>
        <v>289587.19999999995</v>
      </c>
      <c r="AN26" s="16">
        <f t="shared" si="3"/>
        <v>113120</v>
      </c>
      <c r="AO26" s="16">
        <f t="shared" si="4"/>
        <v>176467.19999999998</v>
      </c>
      <c r="AP26" s="16">
        <f t="shared" si="5"/>
        <v>104636</v>
      </c>
      <c r="AQ26" s="16">
        <f t="shared" si="6"/>
        <v>3417587.2</v>
      </c>
      <c r="AR26" s="16">
        <f t="shared" si="7"/>
        <v>205055.23199999999</v>
      </c>
      <c r="AS26" s="16">
        <f t="shared" si="8"/>
        <v>22556.075519999999</v>
      </c>
      <c r="AT26" s="16">
        <f t="shared" si="9"/>
        <v>-4101.1046399999996</v>
      </c>
      <c r="AU26" s="16">
        <f t="shared" si="10"/>
        <v>3618541.32736</v>
      </c>
      <c r="AV26" s="16">
        <f t="shared" si="11"/>
        <v>3622642.432</v>
      </c>
      <c r="AW26" s="16">
        <f t="shared" si="12"/>
        <v>113120</v>
      </c>
      <c r="AX26" s="16" t="s">
        <v>235</v>
      </c>
      <c r="AY26" s="17"/>
      <c r="AZ26" s="17">
        <f t="shared" si="13"/>
        <v>0</v>
      </c>
      <c r="BA26" s="16">
        <f t="shared" si="14"/>
        <v>3014880</v>
      </c>
      <c r="BB26" s="16">
        <f t="shared" si="15"/>
        <v>3014880</v>
      </c>
      <c r="BC26" s="15">
        <v>0.03</v>
      </c>
      <c r="BD26" s="15">
        <v>0.01</v>
      </c>
      <c r="BE26" s="37">
        <f t="shared" si="16"/>
        <v>261307.19999999998</v>
      </c>
      <c r="BF26" s="38">
        <f t="shared" si="17"/>
        <v>161196</v>
      </c>
      <c r="BG26" s="37">
        <f t="shared" si="24"/>
        <v>132800</v>
      </c>
      <c r="BH26" s="37">
        <f t="shared" si="18"/>
        <v>141400</v>
      </c>
      <c r="BI26">
        <v>132800</v>
      </c>
      <c r="BL26" s="8">
        <f t="shared" si="19"/>
        <v>300000</v>
      </c>
      <c r="BM26" s="7" t="str">
        <f t="shared" si="20"/>
        <v>Terdaftar BPJS Kes &amp; Naker</v>
      </c>
      <c r="BN26" s="11">
        <f t="shared" si="21"/>
        <v>161196</v>
      </c>
      <c r="BO26" s="11">
        <f t="shared" si="22"/>
        <v>128391.20000000001</v>
      </c>
      <c r="BP26" s="9">
        <f t="shared" si="23"/>
        <v>0</v>
      </c>
      <c r="BQ26" t="str">
        <f>_xlfn.XLOOKUP(X26,'[2]NON TETAP'!$H:$H,'[2]NON TETAP'!$I:$I)</f>
        <v>GRAMEDIA ASRI MEDIA</v>
      </c>
    </row>
    <row r="27" spans="1:69" x14ac:dyDescent="0.3">
      <c r="A27" s="2">
        <v>26</v>
      </c>
      <c r="B27" s="5" t="s">
        <v>4004</v>
      </c>
      <c r="C27" s="6" t="s">
        <v>241</v>
      </c>
      <c r="D27" s="6"/>
      <c r="E27" s="6" t="s">
        <v>73</v>
      </c>
      <c r="F27" s="6" t="s">
        <v>73</v>
      </c>
      <c r="G27" s="6" t="s">
        <v>73</v>
      </c>
      <c r="H27" s="6"/>
      <c r="I27" s="6"/>
      <c r="J27" s="6"/>
      <c r="K27" s="6">
        <v>800042</v>
      </c>
      <c r="L27" s="6"/>
      <c r="M27" s="6">
        <v>25023141028</v>
      </c>
      <c r="N27" s="46" t="s">
        <v>4003</v>
      </c>
      <c r="O27" s="6">
        <v>3257755683</v>
      </c>
      <c r="P27" s="78" t="s">
        <v>4002</v>
      </c>
      <c r="Q27" s="6">
        <v>10105</v>
      </c>
      <c r="R27" s="6">
        <v>27105</v>
      </c>
      <c r="S27" s="5" t="str">
        <f>VLOOKUP(T27,'[1]Kode Posisi'!$A$3:$B$45,2,)</f>
        <v>Outsourcing Keamanan</v>
      </c>
      <c r="T27" s="36" t="s">
        <v>37</v>
      </c>
      <c r="U27" s="44" t="s">
        <v>1071</v>
      </c>
      <c r="V27" s="44" t="s">
        <v>4001</v>
      </c>
      <c r="W27" s="36" t="s">
        <v>1989</v>
      </c>
      <c r="X27" s="36" t="s">
        <v>104</v>
      </c>
      <c r="Y27" s="36" t="s">
        <v>1294</v>
      </c>
      <c r="Z27" s="79" t="s">
        <v>4000</v>
      </c>
      <c r="AA27" s="36" t="s">
        <v>3999</v>
      </c>
      <c r="AB27" s="47">
        <v>2828000</v>
      </c>
      <c r="AC27" s="41">
        <v>2828000</v>
      </c>
      <c r="AD27" s="47">
        <v>2656000</v>
      </c>
      <c r="AE27" s="16">
        <f t="shared" si="0"/>
        <v>172000</v>
      </c>
      <c r="AF27" s="16">
        <v>0</v>
      </c>
      <c r="AG27" s="16">
        <v>0</v>
      </c>
      <c r="AH27" s="16"/>
      <c r="AI27" s="16">
        <v>0</v>
      </c>
      <c r="AJ27" s="16"/>
      <c r="AK27" s="16">
        <v>0</v>
      </c>
      <c r="AL27" s="11">
        <f t="shared" si="1"/>
        <v>2828000</v>
      </c>
      <c r="AM27" s="16">
        <f t="shared" si="2"/>
        <v>289587.19999999995</v>
      </c>
      <c r="AN27" s="16">
        <f t="shared" si="3"/>
        <v>113120</v>
      </c>
      <c r="AO27" s="16">
        <f t="shared" si="4"/>
        <v>176467.19999999998</v>
      </c>
      <c r="AP27" s="16">
        <f t="shared" si="5"/>
        <v>104636</v>
      </c>
      <c r="AQ27" s="16">
        <f t="shared" si="6"/>
        <v>3117587.2</v>
      </c>
      <c r="AR27" s="16">
        <f t="shared" si="7"/>
        <v>187055.23200000002</v>
      </c>
      <c r="AS27" s="16">
        <f t="shared" si="8"/>
        <v>20576.075520000002</v>
      </c>
      <c r="AT27" s="16">
        <f t="shared" si="9"/>
        <v>-3741.1046400000005</v>
      </c>
      <c r="AU27" s="16">
        <f t="shared" si="10"/>
        <v>3300901.32736</v>
      </c>
      <c r="AV27" s="16">
        <f t="shared" si="11"/>
        <v>3304642.432</v>
      </c>
      <c r="AW27" s="16">
        <f t="shared" si="12"/>
        <v>113120</v>
      </c>
      <c r="AX27" s="16" t="s">
        <v>235</v>
      </c>
      <c r="AY27" s="17"/>
      <c r="AZ27" s="17">
        <f t="shared" si="13"/>
        <v>2900</v>
      </c>
      <c r="BA27" s="16">
        <f t="shared" si="14"/>
        <v>2714880</v>
      </c>
      <c r="BB27" s="16">
        <f t="shared" si="15"/>
        <v>2711980</v>
      </c>
      <c r="BC27" s="15">
        <v>0.03</v>
      </c>
      <c r="BD27" s="15">
        <v>0.01</v>
      </c>
      <c r="BE27" s="37">
        <f t="shared" si="16"/>
        <v>261307.19999999998</v>
      </c>
      <c r="BF27" s="38">
        <f t="shared" si="17"/>
        <v>161196</v>
      </c>
      <c r="BG27" s="37">
        <f t="shared" si="24"/>
        <v>132800</v>
      </c>
      <c r="BH27" s="37">
        <f t="shared" si="18"/>
        <v>141400</v>
      </c>
      <c r="BI27">
        <v>132800</v>
      </c>
      <c r="BL27" s="8">
        <f t="shared" si="19"/>
        <v>0</v>
      </c>
      <c r="BM27" s="7" t="str">
        <f t="shared" si="20"/>
        <v>Terdaftar BPJS Kes &amp; Naker</v>
      </c>
      <c r="BN27" s="11">
        <f t="shared" si="21"/>
        <v>161196</v>
      </c>
      <c r="BO27" s="11">
        <f t="shared" si="22"/>
        <v>128391.20000000001</v>
      </c>
      <c r="BP27" s="9">
        <f t="shared" si="23"/>
        <v>0</v>
      </c>
      <c r="BQ27" t="str">
        <f>_xlfn.XLOOKUP(X27,'[2]NON TETAP'!$H:$H,'[2]NON TETAP'!$I:$I)</f>
        <v>GRAMEDIA ASRI MEDIA</v>
      </c>
    </row>
    <row r="28" spans="1:69" x14ac:dyDescent="0.3">
      <c r="A28" s="2">
        <v>27</v>
      </c>
      <c r="B28" s="5" t="s">
        <v>3998</v>
      </c>
      <c r="C28" s="6" t="s">
        <v>241</v>
      </c>
      <c r="D28" s="6"/>
      <c r="E28" s="6" t="s">
        <v>73</v>
      </c>
      <c r="F28" s="6" t="s">
        <v>73</v>
      </c>
      <c r="G28" s="6" t="s">
        <v>73</v>
      </c>
      <c r="H28" s="6"/>
      <c r="I28" s="6"/>
      <c r="J28" s="6"/>
      <c r="K28" s="6">
        <v>800043</v>
      </c>
      <c r="L28" s="6"/>
      <c r="M28" s="6">
        <v>25023141036</v>
      </c>
      <c r="N28" s="46" t="s">
        <v>3997</v>
      </c>
      <c r="O28" s="6">
        <v>1775387924</v>
      </c>
      <c r="P28" s="78" t="s">
        <v>3996</v>
      </c>
      <c r="Q28" s="6">
        <v>10105</v>
      </c>
      <c r="R28" s="6">
        <v>27105</v>
      </c>
      <c r="S28" s="5" t="str">
        <f>VLOOKUP(T28,'[1]Kode Posisi'!$A$3:$B$45,2,)</f>
        <v>Outsourcing Keamanan</v>
      </c>
      <c r="T28" s="36" t="s">
        <v>37</v>
      </c>
      <c r="U28" s="44" t="s">
        <v>1071</v>
      </c>
      <c r="V28" s="44" t="s">
        <v>3995</v>
      </c>
      <c r="W28" s="36" t="s">
        <v>1989</v>
      </c>
      <c r="X28" s="36" t="s">
        <v>104</v>
      </c>
      <c r="Y28" s="36" t="s">
        <v>1294</v>
      </c>
      <c r="Z28" s="79" t="s">
        <v>3994</v>
      </c>
      <c r="AA28" s="36" t="s">
        <v>3993</v>
      </c>
      <c r="AB28" s="47">
        <v>2828000</v>
      </c>
      <c r="AC28" s="41">
        <v>2828000</v>
      </c>
      <c r="AD28" s="47">
        <v>2656000</v>
      </c>
      <c r="AE28" s="16">
        <f t="shared" si="0"/>
        <v>172000</v>
      </c>
      <c r="AF28" s="16">
        <v>0</v>
      </c>
      <c r="AG28" s="16">
        <v>0</v>
      </c>
      <c r="AH28" s="16"/>
      <c r="AI28" s="16">
        <v>0</v>
      </c>
      <c r="AJ28" s="16"/>
      <c r="AK28" s="16">
        <v>0</v>
      </c>
      <c r="AL28" s="11">
        <f t="shared" si="1"/>
        <v>2828000</v>
      </c>
      <c r="AM28" s="16">
        <f t="shared" si="2"/>
        <v>289587.19999999995</v>
      </c>
      <c r="AN28" s="16">
        <f t="shared" si="3"/>
        <v>113120</v>
      </c>
      <c r="AO28" s="16">
        <f t="shared" si="4"/>
        <v>176467.19999999998</v>
      </c>
      <c r="AP28" s="16">
        <f t="shared" si="5"/>
        <v>104636</v>
      </c>
      <c r="AQ28" s="16">
        <f t="shared" si="6"/>
        <v>3117587.2</v>
      </c>
      <c r="AR28" s="16">
        <f t="shared" si="7"/>
        <v>187055.23200000002</v>
      </c>
      <c r="AS28" s="16">
        <f t="shared" si="8"/>
        <v>20576.075520000002</v>
      </c>
      <c r="AT28" s="16">
        <f t="shared" si="9"/>
        <v>-3741.1046400000005</v>
      </c>
      <c r="AU28" s="16">
        <f t="shared" si="10"/>
        <v>3300901.32736</v>
      </c>
      <c r="AV28" s="16">
        <f t="shared" si="11"/>
        <v>3304642.432</v>
      </c>
      <c r="AW28" s="16">
        <f t="shared" si="12"/>
        <v>113120</v>
      </c>
      <c r="AX28" s="16" t="s">
        <v>235</v>
      </c>
      <c r="AY28" s="17"/>
      <c r="AZ28" s="17">
        <f t="shared" si="13"/>
        <v>2900</v>
      </c>
      <c r="BA28" s="16">
        <f t="shared" si="14"/>
        <v>2714880</v>
      </c>
      <c r="BB28" s="16">
        <f t="shared" si="15"/>
        <v>2711980</v>
      </c>
      <c r="BC28" s="15">
        <v>0.03</v>
      </c>
      <c r="BD28" s="15">
        <v>0.01</v>
      </c>
      <c r="BE28" s="37">
        <f t="shared" si="16"/>
        <v>261307.19999999998</v>
      </c>
      <c r="BF28" s="38">
        <f t="shared" si="17"/>
        <v>161196</v>
      </c>
      <c r="BG28" s="37">
        <f t="shared" si="24"/>
        <v>132800</v>
      </c>
      <c r="BH28" s="37">
        <f t="shared" si="18"/>
        <v>141400</v>
      </c>
      <c r="BI28">
        <v>132800</v>
      </c>
      <c r="BL28" s="8">
        <f t="shared" si="19"/>
        <v>0</v>
      </c>
      <c r="BM28" s="7" t="str">
        <f t="shared" si="20"/>
        <v>Terdaftar BPJS Kes &amp; Naker</v>
      </c>
      <c r="BN28" s="11">
        <f t="shared" si="21"/>
        <v>161196</v>
      </c>
      <c r="BO28" s="11">
        <f t="shared" si="22"/>
        <v>128391.20000000001</v>
      </c>
      <c r="BP28" s="9">
        <f t="shared" si="23"/>
        <v>0</v>
      </c>
      <c r="BQ28" t="str">
        <f>_xlfn.XLOOKUP(X28,'[2]NON TETAP'!$H:$H,'[2]NON TETAP'!$I:$I)</f>
        <v>GRAMEDIA ASRI MEDIA</v>
      </c>
    </row>
    <row r="29" spans="1:69" x14ac:dyDescent="0.3">
      <c r="A29" s="2">
        <v>28</v>
      </c>
      <c r="B29" s="5" t="s">
        <v>3988</v>
      </c>
      <c r="C29" s="6" t="s">
        <v>241</v>
      </c>
      <c r="D29" s="6"/>
      <c r="E29" s="6" t="s">
        <v>73</v>
      </c>
      <c r="F29" s="6" t="s">
        <v>73</v>
      </c>
      <c r="G29" s="6" t="s">
        <v>73</v>
      </c>
      <c r="H29" s="6"/>
      <c r="I29" s="6"/>
      <c r="J29" s="6"/>
      <c r="K29" s="6">
        <v>800044</v>
      </c>
      <c r="L29" s="6"/>
      <c r="M29" s="6">
        <v>24062870696</v>
      </c>
      <c r="N29" s="46" t="s">
        <v>3992</v>
      </c>
      <c r="O29" s="6">
        <v>1437496885</v>
      </c>
      <c r="P29" s="78" t="s">
        <v>3991</v>
      </c>
      <c r="Q29" s="6">
        <v>10105</v>
      </c>
      <c r="R29" s="6">
        <v>27105</v>
      </c>
      <c r="S29" s="5" t="str">
        <f>VLOOKUP(T29,'[1]Kode Posisi'!$A$3:$B$45,2,)</f>
        <v>Outsourcing Keamanan</v>
      </c>
      <c r="T29" s="36" t="s">
        <v>37</v>
      </c>
      <c r="U29" s="44" t="s">
        <v>1071</v>
      </c>
      <c r="V29" s="44" t="s">
        <v>3990</v>
      </c>
      <c r="W29" s="36" t="s">
        <v>1989</v>
      </c>
      <c r="X29" s="36" t="s">
        <v>104</v>
      </c>
      <c r="Y29" s="36" t="s">
        <v>1294</v>
      </c>
      <c r="Z29" s="76" t="s">
        <v>3989</v>
      </c>
      <c r="AA29" s="36" t="s">
        <v>3988</v>
      </c>
      <c r="AB29" s="47">
        <v>2828000</v>
      </c>
      <c r="AC29" s="41">
        <v>2828000</v>
      </c>
      <c r="AD29" s="47">
        <v>2656000</v>
      </c>
      <c r="AE29" s="16">
        <f t="shared" si="0"/>
        <v>172000</v>
      </c>
      <c r="AF29" s="16">
        <v>0</v>
      </c>
      <c r="AG29" s="16">
        <v>0</v>
      </c>
      <c r="AH29" s="16"/>
      <c r="AI29" s="16">
        <v>0</v>
      </c>
      <c r="AJ29" s="16"/>
      <c r="AK29" s="16">
        <v>0</v>
      </c>
      <c r="AL29" s="11">
        <f t="shared" si="1"/>
        <v>2828000</v>
      </c>
      <c r="AM29" s="16">
        <f t="shared" si="2"/>
        <v>289587.19999999995</v>
      </c>
      <c r="AN29" s="16">
        <f t="shared" si="3"/>
        <v>113120</v>
      </c>
      <c r="AO29" s="16">
        <f t="shared" si="4"/>
        <v>176467.19999999998</v>
      </c>
      <c r="AP29" s="16">
        <f t="shared" si="5"/>
        <v>104636</v>
      </c>
      <c r="AQ29" s="16">
        <f t="shared" si="6"/>
        <v>3117587.2</v>
      </c>
      <c r="AR29" s="16">
        <f t="shared" si="7"/>
        <v>187055.23200000002</v>
      </c>
      <c r="AS29" s="16">
        <f t="shared" si="8"/>
        <v>20576.075520000002</v>
      </c>
      <c r="AT29" s="16">
        <f t="shared" si="9"/>
        <v>-3741.1046400000005</v>
      </c>
      <c r="AU29" s="16">
        <f t="shared" si="10"/>
        <v>3300901.32736</v>
      </c>
      <c r="AV29" s="16">
        <f t="shared" si="11"/>
        <v>3304642.432</v>
      </c>
      <c r="AW29" s="16">
        <f t="shared" si="12"/>
        <v>113120</v>
      </c>
      <c r="AX29" s="16" t="s">
        <v>235</v>
      </c>
      <c r="AY29" s="17"/>
      <c r="AZ29" s="17">
        <f t="shared" si="13"/>
        <v>2900</v>
      </c>
      <c r="BA29" s="16">
        <f t="shared" si="14"/>
        <v>2714880</v>
      </c>
      <c r="BB29" s="16">
        <f t="shared" si="15"/>
        <v>2711980</v>
      </c>
      <c r="BC29" s="15">
        <v>0.03</v>
      </c>
      <c r="BD29" s="15">
        <v>0.01</v>
      </c>
      <c r="BE29" s="37">
        <f t="shared" si="16"/>
        <v>261307.19999999998</v>
      </c>
      <c r="BF29" s="38">
        <f t="shared" si="17"/>
        <v>161196</v>
      </c>
      <c r="BG29" s="37">
        <f t="shared" si="24"/>
        <v>132800</v>
      </c>
      <c r="BH29" s="37">
        <f t="shared" si="18"/>
        <v>141400</v>
      </c>
      <c r="BI29">
        <v>132800</v>
      </c>
      <c r="BL29" s="8">
        <f t="shared" si="19"/>
        <v>0</v>
      </c>
      <c r="BM29" s="7" t="str">
        <f t="shared" si="20"/>
        <v>Terdaftar BPJS Kes &amp; Naker</v>
      </c>
      <c r="BN29" s="11">
        <f t="shared" si="21"/>
        <v>161196</v>
      </c>
      <c r="BO29" s="11">
        <f t="shared" si="22"/>
        <v>128391.20000000001</v>
      </c>
      <c r="BP29" s="9">
        <f t="shared" si="23"/>
        <v>0</v>
      </c>
      <c r="BQ29" t="str">
        <f>_xlfn.XLOOKUP(X29,'[2]NON TETAP'!$H:$H,'[2]NON TETAP'!$I:$I)</f>
        <v>GRAMEDIA ASRI MEDIA</v>
      </c>
    </row>
    <row r="30" spans="1:69" x14ac:dyDescent="0.3">
      <c r="A30" s="2">
        <v>29</v>
      </c>
      <c r="B30" s="5" t="s">
        <v>3983</v>
      </c>
      <c r="C30" s="6" t="s">
        <v>241</v>
      </c>
      <c r="D30" s="6"/>
      <c r="E30" s="6" t="s">
        <v>73</v>
      </c>
      <c r="F30" s="6" t="s">
        <v>73</v>
      </c>
      <c r="G30" s="6" t="s">
        <v>73</v>
      </c>
      <c r="H30" s="6"/>
      <c r="I30" s="6"/>
      <c r="J30" s="6"/>
      <c r="K30" s="6">
        <v>800045</v>
      </c>
      <c r="L30" s="6"/>
      <c r="M30" s="6">
        <v>25023141044</v>
      </c>
      <c r="N30" s="46" t="s">
        <v>3987</v>
      </c>
      <c r="O30" s="6">
        <v>655078904</v>
      </c>
      <c r="P30" s="78" t="s">
        <v>3986</v>
      </c>
      <c r="Q30" s="6">
        <v>10105</v>
      </c>
      <c r="R30" s="6">
        <v>27105</v>
      </c>
      <c r="S30" s="5" t="str">
        <f>VLOOKUP(T30,'[1]Kode Posisi'!$A$3:$B$45,2,)</f>
        <v>Outsourcing Keamanan</v>
      </c>
      <c r="T30" s="36" t="s">
        <v>37</v>
      </c>
      <c r="U30" s="44" t="s">
        <v>1071</v>
      </c>
      <c r="V30" s="44" t="s">
        <v>3985</v>
      </c>
      <c r="W30" s="36" t="s">
        <v>1989</v>
      </c>
      <c r="X30" s="36" t="s">
        <v>104</v>
      </c>
      <c r="Y30" s="36" t="s">
        <v>1294</v>
      </c>
      <c r="Z30" s="79" t="s">
        <v>3984</v>
      </c>
      <c r="AA30" s="36" t="s">
        <v>3983</v>
      </c>
      <c r="AB30" s="47">
        <v>2828000</v>
      </c>
      <c r="AC30" s="41">
        <v>2828000</v>
      </c>
      <c r="AD30" s="47">
        <v>2656000</v>
      </c>
      <c r="AE30" s="16">
        <f t="shared" si="0"/>
        <v>172000</v>
      </c>
      <c r="AF30" s="16">
        <v>0</v>
      </c>
      <c r="AG30" s="16">
        <v>0</v>
      </c>
      <c r="AH30" s="16"/>
      <c r="AI30" s="16">
        <v>0</v>
      </c>
      <c r="AJ30" s="16"/>
      <c r="AK30" s="16">
        <v>1357440</v>
      </c>
      <c r="AL30" s="11">
        <f t="shared" si="1"/>
        <v>1470560</v>
      </c>
      <c r="AM30" s="16">
        <f t="shared" si="2"/>
        <v>289587.19999999995</v>
      </c>
      <c r="AN30" s="16">
        <f t="shared" si="3"/>
        <v>113120</v>
      </c>
      <c r="AO30" s="16">
        <f t="shared" si="4"/>
        <v>176467.19999999998</v>
      </c>
      <c r="AP30" s="16">
        <f t="shared" si="5"/>
        <v>104636</v>
      </c>
      <c r="AQ30" s="16">
        <f t="shared" si="6"/>
        <v>1760147.2</v>
      </c>
      <c r="AR30" s="16">
        <f t="shared" si="7"/>
        <v>105608.83199999999</v>
      </c>
      <c r="AS30" s="16">
        <f t="shared" si="8"/>
        <v>11616.971519999999</v>
      </c>
      <c r="AT30" s="16">
        <f t="shared" si="9"/>
        <v>-2112.1766400000001</v>
      </c>
      <c r="AU30" s="16">
        <f t="shared" si="10"/>
        <v>1863643.8553599999</v>
      </c>
      <c r="AV30" s="16">
        <f t="shared" si="11"/>
        <v>1865756.0319999999</v>
      </c>
      <c r="AW30" s="16">
        <f t="shared" si="12"/>
        <v>113120</v>
      </c>
      <c r="AX30" s="16" t="s">
        <v>235</v>
      </c>
      <c r="AY30" s="17"/>
      <c r="AZ30" s="17">
        <f t="shared" si="13"/>
        <v>2900</v>
      </c>
      <c r="BA30" s="16">
        <f t="shared" si="14"/>
        <v>1357440</v>
      </c>
      <c r="BB30" s="16">
        <f t="shared" si="15"/>
        <v>1354540</v>
      </c>
      <c r="BC30" s="15">
        <v>0.03</v>
      </c>
      <c r="BD30" s="15">
        <v>0.01</v>
      </c>
      <c r="BE30" s="37">
        <f t="shared" si="16"/>
        <v>261307.19999999998</v>
      </c>
      <c r="BF30" s="38">
        <f t="shared" si="17"/>
        <v>161196</v>
      </c>
      <c r="BG30" s="37">
        <f t="shared" si="24"/>
        <v>132800</v>
      </c>
      <c r="BH30" s="37">
        <f t="shared" si="18"/>
        <v>141400</v>
      </c>
      <c r="BI30">
        <v>132800</v>
      </c>
      <c r="BL30" s="8">
        <f t="shared" si="19"/>
        <v>-1357440</v>
      </c>
      <c r="BM30" s="7" t="str">
        <f t="shared" si="20"/>
        <v>Terdaftar BPJS Kes &amp; Naker</v>
      </c>
      <c r="BN30" s="11">
        <f t="shared" si="21"/>
        <v>161196</v>
      </c>
      <c r="BO30" s="11">
        <f t="shared" si="22"/>
        <v>128391.20000000001</v>
      </c>
      <c r="BP30" s="9">
        <f t="shared" si="23"/>
        <v>0</v>
      </c>
      <c r="BQ30" t="str">
        <f>_xlfn.XLOOKUP(X30,'[2]NON TETAP'!$H:$H,'[2]NON TETAP'!$I:$I)</f>
        <v>GRAMEDIA ASRI MEDIA</v>
      </c>
    </row>
    <row r="31" spans="1:69" x14ac:dyDescent="0.3">
      <c r="A31" s="2">
        <v>30</v>
      </c>
      <c r="B31" s="5" t="s">
        <v>3978</v>
      </c>
      <c r="C31" s="6" t="s">
        <v>241</v>
      </c>
      <c r="D31" s="6"/>
      <c r="E31" s="6" t="s">
        <v>73</v>
      </c>
      <c r="F31" s="6" t="s">
        <v>73</v>
      </c>
      <c r="G31" s="6" t="s">
        <v>73</v>
      </c>
      <c r="H31" s="6"/>
      <c r="I31" s="6"/>
      <c r="J31" s="6"/>
      <c r="K31" s="6">
        <v>800046</v>
      </c>
      <c r="L31" s="6"/>
      <c r="M31" s="6">
        <v>24113167043</v>
      </c>
      <c r="N31" s="46" t="s">
        <v>3982</v>
      </c>
      <c r="O31" s="6">
        <v>1527496031</v>
      </c>
      <c r="P31" s="78" t="s">
        <v>3981</v>
      </c>
      <c r="Q31" s="6">
        <v>10105</v>
      </c>
      <c r="R31" s="6">
        <v>27105</v>
      </c>
      <c r="S31" s="5" t="str">
        <f>VLOOKUP(T31,'[1]Kode Posisi'!$A$3:$B$45,2,)</f>
        <v>Outsourcing Keamanan</v>
      </c>
      <c r="T31" s="36" t="s">
        <v>37</v>
      </c>
      <c r="U31" s="44" t="s">
        <v>1071</v>
      </c>
      <c r="V31" s="44" t="s">
        <v>3980</v>
      </c>
      <c r="W31" s="36" t="s">
        <v>1989</v>
      </c>
      <c r="X31" s="36" t="s">
        <v>104</v>
      </c>
      <c r="Y31" s="36" t="s">
        <v>1294</v>
      </c>
      <c r="Z31" s="79" t="s">
        <v>3979</v>
      </c>
      <c r="AA31" s="36" t="s">
        <v>3978</v>
      </c>
      <c r="AB31" s="47">
        <v>2828000</v>
      </c>
      <c r="AC31" s="41">
        <v>2828000</v>
      </c>
      <c r="AD31" s="47">
        <v>2656000</v>
      </c>
      <c r="AE31" s="16">
        <f t="shared" si="0"/>
        <v>172000</v>
      </c>
      <c r="AF31" s="16">
        <v>0</v>
      </c>
      <c r="AG31" s="16">
        <v>0</v>
      </c>
      <c r="AH31" s="16"/>
      <c r="AI31" s="16">
        <v>0</v>
      </c>
      <c r="AJ31" s="16"/>
      <c r="AK31" s="16">
        <v>0</v>
      </c>
      <c r="AL31" s="11">
        <f t="shared" si="1"/>
        <v>2828000</v>
      </c>
      <c r="AM31" s="16">
        <f t="shared" si="2"/>
        <v>289587.19999999995</v>
      </c>
      <c r="AN31" s="16">
        <f t="shared" si="3"/>
        <v>113120</v>
      </c>
      <c r="AO31" s="16">
        <f t="shared" si="4"/>
        <v>176467.19999999998</v>
      </c>
      <c r="AP31" s="16">
        <f t="shared" si="5"/>
        <v>104636</v>
      </c>
      <c r="AQ31" s="16">
        <f t="shared" si="6"/>
        <v>3117587.2</v>
      </c>
      <c r="AR31" s="16">
        <f t="shared" si="7"/>
        <v>187055.23200000002</v>
      </c>
      <c r="AS31" s="16">
        <f t="shared" si="8"/>
        <v>20576.075520000002</v>
      </c>
      <c r="AT31" s="16">
        <f t="shared" si="9"/>
        <v>-3741.1046400000005</v>
      </c>
      <c r="AU31" s="16">
        <f t="shared" si="10"/>
        <v>3300901.32736</v>
      </c>
      <c r="AV31" s="16">
        <f t="shared" si="11"/>
        <v>3304642.432</v>
      </c>
      <c r="AW31" s="16">
        <f t="shared" si="12"/>
        <v>113120</v>
      </c>
      <c r="AX31" s="16" t="s">
        <v>235</v>
      </c>
      <c r="AY31" s="17"/>
      <c r="AZ31" s="17">
        <f t="shared" si="13"/>
        <v>2900</v>
      </c>
      <c r="BA31" s="16">
        <f t="shared" si="14"/>
        <v>2714880</v>
      </c>
      <c r="BB31" s="16">
        <f t="shared" si="15"/>
        <v>2711980</v>
      </c>
      <c r="BC31" s="15">
        <v>0.03</v>
      </c>
      <c r="BD31" s="15">
        <v>0.01</v>
      </c>
      <c r="BE31" s="37">
        <f t="shared" si="16"/>
        <v>261307.19999999998</v>
      </c>
      <c r="BF31" s="38">
        <f t="shared" si="17"/>
        <v>161196</v>
      </c>
      <c r="BG31" s="37">
        <f t="shared" si="24"/>
        <v>132800</v>
      </c>
      <c r="BH31" s="37">
        <f t="shared" si="18"/>
        <v>141400</v>
      </c>
      <c r="BI31">
        <v>132800</v>
      </c>
      <c r="BL31" s="8">
        <f t="shared" si="19"/>
        <v>0</v>
      </c>
      <c r="BM31" s="7" t="str">
        <f t="shared" si="20"/>
        <v>Terdaftar BPJS Kes &amp; Naker</v>
      </c>
      <c r="BN31" s="11">
        <f t="shared" si="21"/>
        <v>161196</v>
      </c>
      <c r="BO31" s="11">
        <f t="shared" si="22"/>
        <v>128391.20000000001</v>
      </c>
      <c r="BP31" s="9">
        <f t="shared" si="23"/>
        <v>0</v>
      </c>
      <c r="BQ31" t="str">
        <f>_xlfn.XLOOKUP(X31,'[2]NON TETAP'!$H:$H,'[2]NON TETAP'!$I:$I)</f>
        <v>GRAMEDIA ASRI MEDIA</v>
      </c>
    </row>
    <row r="32" spans="1:69" x14ac:dyDescent="0.3">
      <c r="A32" s="2">
        <v>31</v>
      </c>
      <c r="B32" s="5" t="s">
        <v>3977</v>
      </c>
      <c r="C32" s="6" t="s">
        <v>241</v>
      </c>
      <c r="D32" s="6"/>
      <c r="E32" s="6" t="s">
        <v>73</v>
      </c>
      <c r="F32" s="6" t="s">
        <v>73</v>
      </c>
      <c r="G32" s="6"/>
      <c r="H32" s="6"/>
      <c r="I32" s="6"/>
      <c r="J32" s="6"/>
      <c r="K32" s="6">
        <v>800047</v>
      </c>
      <c r="L32" s="6"/>
      <c r="M32" s="6">
        <v>22152470757</v>
      </c>
      <c r="N32" s="46" t="s">
        <v>3976</v>
      </c>
      <c r="O32" s="6">
        <v>2361203908</v>
      </c>
      <c r="P32" s="80" t="s">
        <v>3975</v>
      </c>
      <c r="Q32" s="6">
        <v>20090</v>
      </c>
      <c r="R32" s="6">
        <v>27050</v>
      </c>
      <c r="S32" s="5" t="str">
        <f>VLOOKUP(T32,'[1]Kode Posisi'!$A$3:$B$45,2,)</f>
        <v>Outsourcing Petugas Administrasi</v>
      </c>
      <c r="T32" s="36" t="s">
        <v>201</v>
      </c>
      <c r="U32" s="44" t="s">
        <v>1106</v>
      </c>
      <c r="V32" s="44" t="s">
        <v>3974</v>
      </c>
      <c r="W32" s="36" t="s">
        <v>3964</v>
      </c>
      <c r="X32" s="36" t="s">
        <v>3964</v>
      </c>
      <c r="Y32" s="36" t="s">
        <v>52</v>
      </c>
      <c r="Z32" s="79">
        <v>4730832619</v>
      </c>
      <c r="AA32" s="36" t="s">
        <v>3973</v>
      </c>
      <c r="AB32" s="47">
        <v>5730000</v>
      </c>
      <c r="AC32" s="41">
        <v>5730000</v>
      </c>
      <c r="AD32" s="47">
        <v>5397000</v>
      </c>
      <c r="AE32" s="16">
        <f t="shared" si="0"/>
        <v>333000</v>
      </c>
      <c r="AF32" s="16">
        <v>0</v>
      </c>
      <c r="AG32" s="16">
        <v>200000</v>
      </c>
      <c r="AH32" s="16"/>
      <c r="AI32" s="16">
        <v>0</v>
      </c>
      <c r="AJ32" s="16"/>
      <c r="AK32" s="16">
        <v>0</v>
      </c>
      <c r="AL32" s="11">
        <f t="shared" si="1"/>
        <v>5930000</v>
      </c>
      <c r="AM32" s="16">
        <f t="shared" si="2"/>
        <v>586752</v>
      </c>
      <c r="AN32" s="16">
        <f t="shared" si="3"/>
        <v>229200</v>
      </c>
      <c r="AO32" s="16">
        <f t="shared" si="4"/>
        <v>357552</v>
      </c>
      <c r="AP32" s="16">
        <f t="shared" si="5"/>
        <v>212010</v>
      </c>
      <c r="AQ32" s="16">
        <f t="shared" si="6"/>
        <v>6516752</v>
      </c>
      <c r="AR32" s="16">
        <f t="shared" si="7"/>
        <v>391005.12</v>
      </c>
      <c r="AS32" s="16">
        <f t="shared" si="8"/>
        <v>43010.563199999997</v>
      </c>
      <c r="AT32" s="16">
        <f t="shared" si="9"/>
        <v>-7820.1023999999998</v>
      </c>
      <c r="AU32" s="16">
        <f t="shared" si="10"/>
        <v>6899937.0175999999</v>
      </c>
      <c r="AV32" s="16">
        <f t="shared" si="11"/>
        <v>6907757.1200000001</v>
      </c>
      <c r="AW32" s="16">
        <f t="shared" si="12"/>
        <v>229200</v>
      </c>
      <c r="AX32" s="16" t="s">
        <v>91</v>
      </c>
      <c r="AY32" s="17"/>
      <c r="AZ32" s="17">
        <f t="shared" si="13"/>
        <v>0</v>
      </c>
      <c r="BA32" s="16">
        <f t="shared" si="14"/>
        <v>5700800</v>
      </c>
      <c r="BB32" s="16">
        <f t="shared" si="15"/>
        <v>5700800</v>
      </c>
      <c r="BC32" s="15">
        <v>0.03</v>
      </c>
      <c r="BD32" s="15">
        <v>0.01</v>
      </c>
      <c r="BE32" s="37">
        <f t="shared" si="16"/>
        <v>529452</v>
      </c>
      <c r="BF32" s="38">
        <f t="shared" si="17"/>
        <v>326610</v>
      </c>
      <c r="BG32" s="37">
        <f t="shared" si="24"/>
        <v>269850</v>
      </c>
      <c r="BH32" s="37">
        <f t="shared" si="18"/>
        <v>286500</v>
      </c>
      <c r="BI32">
        <v>269850</v>
      </c>
      <c r="BL32" s="8">
        <f t="shared" si="19"/>
        <v>200000</v>
      </c>
      <c r="BM32" s="7" t="str">
        <f t="shared" si="20"/>
        <v>Terdaftar BPJS Kes &amp; Naker</v>
      </c>
      <c r="BN32" s="11">
        <f t="shared" si="21"/>
        <v>326610</v>
      </c>
      <c r="BO32" s="11">
        <f t="shared" si="22"/>
        <v>260142.00000000003</v>
      </c>
      <c r="BP32" s="9">
        <f t="shared" si="23"/>
        <v>0</v>
      </c>
      <c r="BQ32" t="s">
        <v>195</v>
      </c>
    </row>
    <row r="33" spans="1:69" x14ac:dyDescent="0.3">
      <c r="A33" s="2">
        <v>32</v>
      </c>
      <c r="B33" s="5" t="s">
        <v>3969</v>
      </c>
      <c r="C33" s="6" t="s">
        <v>241</v>
      </c>
      <c r="D33" s="6"/>
      <c r="E33" s="6" t="s">
        <v>73</v>
      </c>
      <c r="F33" s="6" t="s">
        <v>73</v>
      </c>
      <c r="G33" s="6"/>
      <c r="H33" s="6"/>
      <c r="I33" s="6"/>
      <c r="J33" s="6"/>
      <c r="K33" s="6">
        <v>800048</v>
      </c>
      <c r="L33" s="6"/>
      <c r="M33" s="6">
        <v>25023139972</v>
      </c>
      <c r="N33" s="46" t="s">
        <v>3972</v>
      </c>
      <c r="O33" s="6">
        <v>1306653726</v>
      </c>
      <c r="P33" s="78" t="s">
        <v>3971</v>
      </c>
      <c r="Q33" s="6">
        <v>20090</v>
      </c>
      <c r="R33" s="6">
        <v>27050</v>
      </c>
      <c r="S33" s="5" t="str">
        <f>VLOOKUP(T33,'[1]Kode Posisi'!$A$3:$B$45,2,)</f>
        <v>Outsourcing Petugas Administrasi</v>
      </c>
      <c r="T33" s="36" t="s">
        <v>201</v>
      </c>
      <c r="U33" s="44" t="s">
        <v>1106</v>
      </c>
      <c r="V33" s="44" t="s">
        <v>3970</v>
      </c>
      <c r="W33" s="36" t="s">
        <v>3964</v>
      </c>
      <c r="X33" s="36" t="s">
        <v>3964</v>
      </c>
      <c r="Y33" s="36" t="s">
        <v>52</v>
      </c>
      <c r="Z33" s="79">
        <v>7611315281</v>
      </c>
      <c r="AA33" s="36" t="s">
        <v>3969</v>
      </c>
      <c r="AB33" s="47">
        <v>5730000</v>
      </c>
      <c r="AC33" s="41">
        <v>5730000</v>
      </c>
      <c r="AD33" s="47">
        <v>5397000</v>
      </c>
      <c r="AE33" s="16">
        <f t="shared" si="0"/>
        <v>333000</v>
      </c>
      <c r="AF33" s="16">
        <v>0</v>
      </c>
      <c r="AG33" s="16">
        <v>200000</v>
      </c>
      <c r="AH33" s="16"/>
      <c r="AI33" s="16">
        <v>0</v>
      </c>
      <c r="AJ33" s="16"/>
      <c r="AK33" s="16">
        <v>0</v>
      </c>
      <c r="AL33" s="11">
        <f t="shared" si="1"/>
        <v>5930000</v>
      </c>
      <c r="AM33" s="16">
        <f t="shared" si="2"/>
        <v>586752</v>
      </c>
      <c r="AN33" s="16">
        <f t="shared" si="3"/>
        <v>229200</v>
      </c>
      <c r="AO33" s="16">
        <f t="shared" si="4"/>
        <v>357552</v>
      </c>
      <c r="AP33" s="16">
        <f t="shared" si="5"/>
        <v>212010</v>
      </c>
      <c r="AQ33" s="16">
        <f t="shared" si="6"/>
        <v>6516752</v>
      </c>
      <c r="AR33" s="16">
        <f t="shared" si="7"/>
        <v>391005.12</v>
      </c>
      <c r="AS33" s="16">
        <f t="shared" si="8"/>
        <v>43010.563199999997</v>
      </c>
      <c r="AT33" s="16">
        <f t="shared" si="9"/>
        <v>-7820.1023999999998</v>
      </c>
      <c r="AU33" s="16">
        <f t="shared" si="10"/>
        <v>6899937.0175999999</v>
      </c>
      <c r="AV33" s="16">
        <f t="shared" si="11"/>
        <v>6907757.1200000001</v>
      </c>
      <c r="AW33" s="16">
        <f t="shared" si="12"/>
        <v>229200</v>
      </c>
      <c r="AX33" s="16" t="s">
        <v>235</v>
      </c>
      <c r="AY33" s="17"/>
      <c r="AZ33" s="17">
        <f t="shared" si="13"/>
        <v>0</v>
      </c>
      <c r="BA33" s="16">
        <f t="shared" si="14"/>
        <v>5700800</v>
      </c>
      <c r="BB33" s="16">
        <f t="shared" si="15"/>
        <v>5700800</v>
      </c>
      <c r="BC33" s="15">
        <v>0.03</v>
      </c>
      <c r="BD33" s="15">
        <v>0.01</v>
      </c>
      <c r="BE33" s="37">
        <f t="shared" si="16"/>
        <v>529452</v>
      </c>
      <c r="BF33" s="38">
        <f t="shared" si="17"/>
        <v>326610</v>
      </c>
      <c r="BG33" s="37">
        <f t="shared" si="24"/>
        <v>269850</v>
      </c>
      <c r="BH33" s="37">
        <f t="shared" si="18"/>
        <v>286500</v>
      </c>
      <c r="BI33">
        <v>269850</v>
      </c>
      <c r="BL33" s="8">
        <f t="shared" si="19"/>
        <v>200000</v>
      </c>
      <c r="BM33" s="7" t="str">
        <f t="shared" si="20"/>
        <v>Terdaftar BPJS Kes &amp; Naker</v>
      </c>
      <c r="BN33" s="11">
        <f t="shared" si="21"/>
        <v>326610</v>
      </c>
      <c r="BO33" s="11">
        <f t="shared" si="22"/>
        <v>260142.00000000003</v>
      </c>
      <c r="BP33" s="9">
        <f t="shared" si="23"/>
        <v>0</v>
      </c>
      <c r="BQ33" t="s">
        <v>195</v>
      </c>
    </row>
    <row r="34" spans="1:69" x14ac:dyDescent="0.3">
      <c r="A34" s="2">
        <v>33</v>
      </c>
      <c r="B34" s="5" t="s">
        <v>3968</v>
      </c>
      <c r="C34" s="6" t="s">
        <v>241</v>
      </c>
      <c r="D34" s="6"/>
      <c r="E34" s="6" t="s">
        <v>73</v>
      </c>
      <c r="F34" s="6" t="s">
        <v>73</v>
      </c>
      <c r="G34" s="6"/>
      <c r="H34" s="6"/>
      <c r="I34" s="6"/>
      <c r="J34" s="6"/>
      <c r="K34" s="6">
        <v>800049</v>
      </c>
      <c r="L34" s="6"/>
      <c r="M34" s="6">
        <v>25023139964</v>
      </c>
      <c r="N34" s="46" t="s">
        <v>3967</v>
      </c>
      <c r="O34" s="6">
        <v>2330873199</v>
      </c>
      <c r="P34" s="78" t="s">
        <v>3966</v>
      </c>
      <c r="Q34" s="6">
        <v>20090</v>
      </c>
      <c r="R34" s="6">
        <v>27050</v>
      </c>
      <c r="S34" s="5" t="str">
        <f>VLOOKUP(T34,'[1]Kode Posisi'!$A$3:$B$45,2,)</f>
        <v>Outsourcing Petugas Administrasi</v>
      </c>
      <c r="T34" s="36" t="s">
        <v>201</v>
      </c>
      <c r="U34" s="44" t="s">
        <v>1106</v>
      </c>
      <c r="V34" s="44" t="s">
        <v>3965</v>
      </c>
      <c r="W34" s="36" t="s">
        <v>3964</v>
      </c>
      <c r="X34" s="36" t="s">
        <v>3964</v>
      </c>
      <c r="Y34" s="36" t="s">
        <v>52</v>
      </c>
      <c r="Z34" s="79">
        <v>1600034932</v>
      </c>
      <c r="AA34" s="36" t="s">
        <v>3963</v>
      </c>
      <c r="AB34" s="47">
        <v>5730000</v>
      </c>
      <c r="AC34" s="41">
        <v>5730000</v>
      </c>
      <c r="AD34" s="47">
        <v>5397000</v>
      </c>
      <c r="AE34" s="16">
        <f t="shared" ref="AE34:AE65" si="25">AB34-AD34</f>
        <v>333000</v>
      </c>
      <c r="AF34" s="16">
        <v>0</v>
      </c>
      <c r="AG34" s="16">
        <v>200000</v>
      </c>
      <c r="AH34" s="16"/>
      <c r="AI34" s="16">
        <v>0</v>
      </c>
      <c r="AJ34" s="16"/>
      <c r="AK34" s="16">
        <v>0</v>
      </c>
      <c r="AL34" s="11">
        <f t="shared" si="1"/>
        <v>5930000</v>
      </c>
      <c r="AM34" s="16">
        <f t="shared" si="2"/>
        <v>586752</v>
      </c>
      <c r="AN34" s="16">
        <f t="shared" si="3"/>
        <v>229200</v>
      </c>
      <c r="AO34" s="16">
        <f t="shared" si="4"/>
        <v>357552</v>
      </c>
      <c r="AP34" s="16">
        <f t="shared" si="5"/>
        <v>212010</v>
      </c>
      <c r="AQ34" s="16">
        <f t="shared" si="6"/>
        <v>6516752</v>
      </c>
      <c r="AR34" s="16">
        <f t="shared" si="7"/>
        <v>391005.12</v>
      </c>
      <c r="AS34" s="16">
        <f t="shared" si="8"/>
        <v>43010.563199999997</v>
      </c>
      <c r="AT34" s="16">
        <f t="shared" si="9"/>
        <v>-7820.1023999999998</v>
      </c>
      <c r="AU34" s="16">
        <f t="shared" si="10"/>
        <v>6899937.0175999999</v>
      </c>
      <c r="AV34" s="16">
        <f t="shared" si="11"/>
        <v>6907757.1200000001</v>
      </c>
      <c r="AW34" s="16">
        <f t="shared" si="12"/>
        <v>229200</v>
      </c>
      <c r="AX34" s="16" t="s">
        <v>235</v>
      </c>
      <c r="AY34" s="17"/>
      <c r="AZ34" s="17">
        <f t="shared" si="13"/>
        <v>0</v>
      </c>
      <c r="BA34" s="16">
        <f t="shared" si="14"/>
        <v>5700800</v>
      </c>
      <c r="BB34" s="16">
        <f t="shared" si="15"/>
        <v>5700800</v>
      </c>
      <c r="BC34" s="15">
        <v>0.03</v>
      </c>
      <c r="BD34" s="15">
        <v>0.01</v>
      </c>
      <c r="BE34" s="37">
        <f t="shared" si="16"/>
        <v>529452</v>
      </c>
      <c r="BF34" s="38">
        <f t="shared" si="17"/>
        <v>326610</v>
      </c>
      <c r="BG34" s="37">
        <f t="shared" si="24"/>
        <v>269850</v>
      </c>
      <c r="BH34" s="37">
        <f t="shared" si="18"/>
        <v>286500</v>
      </c>
      <c r="BI34">
        <v>269850</v>
      </c>
      <c r="BL34" s="8">
        <f t="shared" si="19"/>
        <v>200000</v>
      </c>
      <c r="BM34" s="7" t="str">
        <f t="shared" si="20"/>
        <v>Terdaftar BPJS Kes &amp; Naker</v>
      </c>
      <c r="BN34" s="11">
        <f t="shared" si="21"/>
        <v>326610</v>
      </c>
      <c r="BO34" s="11">
        <f t="shared" si="22"/>
        <v>260142.00000000003</v>
      </c>
      <c r="BP34" s="9">
        <f t="shared" si="23"/>
        <v>0</v>
      </c>
      <c r="BQ34" t="s">
        <v>195</v>
      </c>
    </row>
    <row r="35" spans="1:69" ht="15.6" x14ac:dyDescent="0.3">
      <c r="A35" s="2">
        <v>34</v>
      </c>
      <c r="B35" s="5" t="s">
        <v>3959</v>
      </c>
      <c r="C35" s="6" t="s">
        <v>241</v>
      </c>
      <c r="D35" s="6"/>
      <c r="E35" s="6" t="s">
        <v>73</v>
      </c>
      <c r="F35" s="6" t="s">
        <v>73</v>
      </c>
      <c r="G35" s="6"/>
      <c r="H35" s="6"/>
      <c r="I35" s="6"/>
      <c r="J35" s="6" t="s">
        <v>2746</v>
      </c>
      <c r="K35" s="6">
        <v>800052</v>
      </c>
      <c r="L35" s="6"/>
      <c r="M35" s="6">
        <v>25023140665</v>
      </c>
      <c r="N35" s="46" t="s">
        <v>1133</v>
      </c>
      <c r="O35" s="6"/>
      <c r="P35" s="36" t="s">
        <v>3962</v>
      </c>
      <c r="Q35" s="6" t="s">
        <v>30</v>
      </c>
      <c r="R35" s="6">
        <v>27090</v>
      </c>
      <c r="S35" s="5" t="str">
        <f>VLOOKUP(T35,'[1]Kode Posisi'!$A$3:$B$45,2,)</f>
        <v>Outsourcing Keamanan</v>
      </c>
      <c r="T35" s="36" t="s">
        <v>2743</v>
      </c>
      <c r="U35" s="44" t="s">
        <v>1106</v>
      </c>
      <c r="V35" s="44" t="s">
        <v>3961</v>
      </c>
      <c r="W35" s="36" t="s">
        <v>30</v>
      </c>
      <c r="X35" s="36" t="s">
        <v>30</v>
      </c>
      <c r="Y35" s="36" t="s">
        <v>1294</v>
      </c>
      <c r="Z35" s="79" t="s">
        <v>3960</v>
      </c>
      <c r="AA35" s="36" t="s">
        <v>3959</v>
      </c>
      <c r="AB35" s="47">
        <v>5865000</v>
      </c>
      <c r="AC35" s="41">
        <v>5730000</v>
      </c>
      <c r="AD35" s="47">
        <v>5500000</v>
      </c>
      <c r="AE35" s="16">
        <f t="shared" si="25"/>
        <v>365000</v>
      </c>
      <c r="AF35" s="16">
        <v>0</v>
      </c>
      <c r="AG35" s="16">
        <v>1250000</v>
      </c>
      <c r="AH35" s="16"/>
      <c r="AI35" s="16">
        <v>0</v>
      </c>
      <c r="AJ35" s="16"/>
      <c r="AK35" s="16">
        <v>0</v>
      </c>
      <c r="AL35" s="11">
        <f t="shared" si="1"/>
        <v>7115000</v>
      </c>
      <c r="AM35" s="16">
        <f t="shared" si="2"/>
        <v>58800</v>
      </c>
      <c r="AN35" s="16">
        <f t="shared" si="3"/>
        <v>0</v>
      </c>
      <c r="AO35" s="16">
        <f>352800/6</f>
        <v>58800</v>
      </c>
      <c r="AP35" s="16">
        <f t="shared" si="5"/>
        <v>0</v>
      </c>
      <c r="AQ35" s="16">
        <f t="shared" si="6"/>
        <v>7173800</v>
      </c>
      <c r="AR35" s="16"/>
      <c r="AS35" s="16">
        <f t="shared" si="8"/>
        <v>0</v>
      </c>
      <c r="AT35" s="16">
        <f t="shared" si="9"/>
        <v>0</v>
      </c>
      <c r="AU35" s="16">
        <f t="shared" si="10"/>
        <v>7173800</v>
      </c>
      <c r="AV35" s="16">
        <f t="shared" si="11"/>
        <v>7173800</v>
      </c>
      <c r="AW35" s="16">
        <f t="shared" si="12"/>
        <v>0</v>
      </c>
      <c r="AX35" s="16" t="s">
        <v>243</v>
      </c>
      <c r="AY35" s="17"/>
      <c r="AZ35" s="17">
        <f t="shared" si="13"/>
        <v>2900</v>
      </c>
      <c r="BA35" s="16">
        <f t="shared" si="14"/>
        <v>7115000</v>
      </c>
      <c r="BB35" s="16">
        <f t="shared" si="15"/>
        <v>7112100</v>
      </c>
      <c r="BC35" s="15">
        <v>0</v>
      </c>
      <c r="BD35" s="15">
        <v>0</v>
      </c>
      <c r="BE35" s="37">
        <f t="shared" si="16"/>
        <v>0</v>
      </c>
      <c r="BF35" s="38">
        <f t="shared" si="17"/>
        <v>0</v>
      </c>
      <c r="BG35" s="37">
        <f t="shared" si="24"/>
        <v>275000</v>
      </c>
      <c r="BH35" s="37">
        <f t="shared" si="18"/>
        <v>0</v>
      </c>
      <c r="BI35" t="e">
        <v>#N/A</v>
      </c>
      <c r="BL35" s="8">
        <f t="shared" si="19"/>
        <v>1250000</v>
      </c>
      <c r="BM35" s="7" t="str">
        <f>IF(AND(BC35=0.03,0.2,BD35=0.01),"Terdaftar BPJS Kes &amp; Naker","Tidak Terdaftar")</f>
        <v>Tidak Terdaftar</v>
      </c>
      <c r="BN35" s="56"/>
      <c r="BO35" s="92">
        <f>352800/6</f>
        <v>58800</v>
      </c>
      <c r="BP35" s="9">
        <f t="shared" si="23"/>
        <v>0</v>
      </c>
      <c r="BQ35" s="58" t="s">
        <v>29</v>
      </c>
    </row>
    <row r="36" spans="1:69" x14ac:dyDescent="0.3">
      <c r="A36" s="2">
        <v>35</v>
      </c>
      <c r="B36" s="5" t="s">
        <v>3954</v>
      </c>
      <c r="C36" s="6" t="s">
        <v>241</v>
      </c>
      <c r="D36" s="6"/>
      <c r="E36" s="6" t="s">
        <v>73</v>
      </c>
      <c r="F36" s="6" t="s">
        <v>73</v>
      </c>
      <c r="G36" s="6"/>
      <c r="H36" s="6"/>
      <c r="I36" s="6"/>
      <c r="J36" s="6"/>
      <c r="K36" s="6">
        <v>800053</v>
      </c>
      <c r="L36" s="6"/>
      <c r="M36" s="6">
        <v>25023140897</v>
      </c>
      <c r="N36" s="46" t="s">
        <v>3958</v>
      </c>
      <c r="O36" s="6">
        <v>1737596801</v>
      </c>
      <c r="P36" s="78" t="s">
        <v>3957</v>
      </c>
      <c r="Q36" s="6">
        <v>10108</v>
      </c>
      <c r="R36" s="6">
        <v>27108</v>
      </c>
      <c r="S36" s="5" t="str">
        <f>VLOOKUP(T36,'[1]Kode Posisi'!$A$3:$B$45,2,)</f>
        <v>Outsourcing Keamanan</v>
      </c>
      <c r="T36" s="36" t="s">
        <v>2743</v>
      </c>
      <c r="U36" s="44" t="s">
        <v>3761</v>
      </c>
      <c r="V36" s="44" t="s">
        <v>3956</v>
      </c>
      <c r="W36" s="36" t="s">
        <v>45</v>
      </c>
      <c r="X36" s="36" t="s">
        <v>44</v>
      </c>
      <c r="Y36" s="36" t="s">
        <v>52</v>
      </c>
      <c r="Z36" s="79" t="s">
        <v>3955</v>
      </c>
      <c r="AA36" s="36" t="s">
        <v>3954</v>
      </c>
      <c r="AB36" s="47">
        <v>5730000</v>
      </c>
      <c r="AC36" s="41">
        <v>5730000</v>
      </c>
      <c r="AD36" s="47">
        <v>5397000</v>
      </c>
      <c r="AE36" s="16">
        <f t="shared" si="25"/>
        <v>333000</v>
      </c>
      <c r="AF36" s="16">
        <v>0</v>
      </c>
      <c r="AG36" s="16">
        <v>500000</v>
      </c>
      <c r="AH36" s="16"/>
      <c r="AI36" s="16">
        <v>0</v>
      </c>
      <c r="AJ36" s="16"/>
      <c r="AK36" s="16">
        <v>0</v>
      </c>
      <c r="AL36" s="11">
        <f t="shared" si="1"/>
        <v>6230000</v>
      </c>
      <c r="AM36" s="16">
        <f t="shared" si="2"/>
        <v>586752</v>
      </c>
      <c r="AN36" s="16">
        <f t="shared" si="3"/>
        <v>229200</v>
      </c>
      <c r="AO36" s="16">
        <f>IF(BC36=0.03,AC36*0.0624,0)</f>
        <v>357552</v>
      </c>
      <c r="AP36" s="16">
        <f t="shared" si="5"/>
        <v>212010</v>
      </c>
      <c r="AQ36" s="16">
        <f t="shared" si="6"/>
        <v>6816752</v>
      </c>
      <c r="AR36" s="16">
        <f t="shared" ref="AR36:AR99" si="26">SUM(AQ36*0.06)</f>
        <v>409005.12</v>
      </c>
      <c r="AS36" s="16">
        <f t="shared" si="8"/>
        <v>44990.563199999997</v>
      </c>
      <c r="AT36" s="16">
        <f t="shared" si="9"/>
        <v>-8180.1023999999998</v>
      </c>
      <c r="AU36" s="16">
        <f t="shared" si="10"/>
        <v>7217577.0175999999</v>
      </c>
      <c r="AV36" s="16">
        <f t="shared" si="11"/>
        <v>7225757.1200000001</v>
      </c>
      <c r="AW36" s="16">
        <f t="shared" si="12"/>
        <v>229200</v>
      </c>
      <c r="AX36" s="16" t="s">
        <v>286</v>
      </c>
      <c r="AY36" s="17"/>
      <c r="AZ36" s="17">
        <f t="shared" si="13"/>
        <v>0</v>
      </c>
      <c r="BA36" s="16">
        <f t="shared" si="14"/>
        <v>6000800</v>
      </c>
      <c r="BB36" s="16">
        <f t="shared" si="15"/>
        <v>6000800</v>
      </c>
      <c r="BC36" s="15">
        <v>0.03</v>
      </c>
      <c r="BD36" s="15">
        <v>0.01</v>
      </c>
      <c r="BE36" s="37">
        <f t="shared" si="16"/>
        <v>529452</v>
      </c>
      <c r="BF36" s="38">
        <f t="shared" si="17"/>
        <v>326610</v>
      </c>
      <c r="BG36" s="37">
        <f t="shared" si="24"/>
        <v>269850</v>
      </c>
      <c r="BH36" s="37">
        <f t="shared" si="18"/>
        <v>286500</v>
      </c>
      <c r="BI36">
        <v>269850</v>
      </c>
      <c r="BL36" s="8">
        <f t="shared" si="19"/>
        <v>500000</v>
      </c>
      <c r="BM36" s="7" t="str">
        <f>IF(AND(BC36=0.03,BD36=0.01),"Terdaftar BPJS Kes &amp; Naker","Tidak Terdaftar")</f>
        <v>Terdaftar BPJS Kes &amp; Naker</v>
      </c>
      <c r="BN36" s="11">
        <f>AC36*5.7%</f>
        <v>326610</v>
      </c>
      <c r="BO36" s="11">
        <f>AC36*4.54%</f>
        <v>260142.00000000003</v>
      </c>
      <c r="BP36" s="9">
        <f t="shared" si="23"/>
        <v>0</v>
      </c>
      <c r="BQ36" t="str">
        <f>_xlfn.XLOOKUP(X36,'[2]NON TETAP'!$H:$H,'[2]NON TETAP'!$I:$I)</f>
        <v>GRAMEDIA ASRI MEDIA</v>
      </c>
    </row>
    <row r="37" spans="1:69" x14ac:dyDescent="0.3">
      <c r="A37" s="2">
        <v>36</v>
      </c>
      <c r="B37" s="5" t="s">
        <v>3950</v>
      </c>
      <c r="C37" s="6" t="s">
        <v>241</v>
      </c>
      <c r="D37" s="6"/>
      <c r="E37" s="6" t="s">
        <v>73</v>
      </c>
      <c r="F37" s="6" t="s">
        <v>73</v>
      </c>
      <c r="G37" s="6" t="s">
        <v>3110</v>
      </c>
      <c r="H37" s="6"/>
      <c r="I37" s="6"/>
      <c r="J37" s="6" t="s">
        <v>2746</v>
      </c>
      <c r="K37" s="6">
        <v>800054</v>
      </c>
      <c r="L37" s="6"/>
      <c r="M37" s="6">
        <v>25023139667</v>
      </c>
      <c r="N37" s="46" t="s">
        <v>1133</v>
      </c>
      <c r="O37" s="6"/>
      <c r="P37" s="36" t="s">
        <v>3953</v>
      </c>
      <c r="Q37" s="6">
        <v>10372</v>
      </c>
      <c r="R37" s="6">
        <v>27372</v>
      </c>
      <c r="S37" s="5" t="str">
        <f>VLOOKUP(T37,'[1]Kode Posisi'!$A$3:$B$45,2,)</f>
        <v>Outsourcing Keamanan</v>
      </c>
      <c r="T37" s="36" t="s">
        <v>2743</v>
      </c>
      <c r="U37" s="44" t="s">
        <v>1594</v>
      </c>
      <c r="V37" s="44" t="s">
        <v>3952</v>
      </c>
      <c r="W37" s="36" t="s">
        <v>1592</v>
      </c>
      <c r="X37" s="36" t="s">
        <v>480</v>
      </c>
      <c r="Y37" s="36" t="s">
        <v>1294</v>
      </c>
      <c r="Z37" s="79" t="s">
        <v>3951</v>
      </c>
      <c r="AA37" s="36" t="s">
        <v>3950</v>
      </c>
      <c r="AB37" s="47">
        <v>6000000</v>
      </c>
      <c r="AC37" s="41">
        <v>6000000</v>
      </c>
      <c r="AD37" s="47">
        <v>5691000</v>
      </c>
      <c r="AE37" s="16">
        <f t="shared" si="25"/>
        <v>309000</v>
      </c>
      <c r="AF37" s="16">
        <v>0</v>
      </c>
      <c r="AG37" s="16">
        <v>500000</v>
      </c>
      <c r="AH37" s="16"/>
      <c r="AI37" s="16">
        <v>0</v>
      </c>
      <c r="AJ37" s="16"/>
      <c r="AK37" s="16">
        <v>0</v>
      </c>
      <c r="AL37" s="11">
        <f t="shared" si="1"/>
        <v>6500000</v>
      </c>
      <c r="AM37" s="16">
        <f t="shared" si="2"/>
        <v>58800</v>
      </c>
      <c r="AN37" s="16">
        <f t="shared" si="3"/>
        <v>0</v>
      </c>
      <c r="AO37" s="16">
        <f>352800/6</f>
        <v>58800</v>
      </c>
      <c r="AP37" s="16">
        <f t="shared" si="5"/>
        <v>0</v>
      </c>
      <c r="AQ37" s="16">
        <f t="shared" si="6"/>
        <v>6558800</v>
      </c>
      <c r="AR37" s="16">
        <f t="shared" si="26"/>
        <v>393528</v>
      </c>
      <c r="AS37" s="16">
        <f t="shared" si="8"/>
        <v>43288.08</v>
      </c>
      <c r="AT37" s="16">
        <f t="shared" si="9"/>
        <v>-7870.56</v>
      </c>
      <c r="AU37" s="16">
        <f t="shared" si="10"/>
        <v>6944457.4400000004</v>
      </c>
      <c r="AV37" s="16">
        <f t="shared" si="11"/>
        <v>6952328</v>
      </c>
      <c r="AW37" s="16">
        <f t="shared" si="12"/>
        <v>0</v>
      </c>
      <c r="AX37" s="16" t="s">
        <v>243</v>
      </c>
      <c r="AY37" s="17"/>
      <c r="AZ37" s="17">
        <f t="shared" si="13"/>
        <v>2900</v>
      </c>
      <c r="BA37" s="16">
        <f t="shared" si="14"/>
        <v>6500000</v>
      </c>
      <c r="BB37" s="16">
        <f t="shared" si="15"/>
        <v>6497100</v>
      </c>
      <c r="BC37" s="15">
        <v>0</v>
      </c>
      <c r="BD37" s="15">
        <v>0</v>
      </c>
      <c r="BE37" s="37">
        <f t="shared" si="16"/>
        <v>0</v>
      </c>
      <c r="BF37" s="38">
        <f t="shared" si="17"/>
        <v>0</v>
      </c>
      <c r="BG37" s="37">
        <f t="shared" si="24"/>
        <v>284550</v>
      </c>
      <c r="BH37" s="37">
        <f t="shared" si="18"/>
        <v>0</v>
      </c>
      <c r="BI37" t="e">
        <v>#N/A</v>
      </c>
      <c r="BL37" s="8">
        <f t="shared" si="19"/>
        <v>500000</v>
      </c>
      <c r="BM37" s="7" t="str">
        <f>IF(AND(BC37=0.03,0.2,BD37=0.01),"Terdaftar BPJS Kes &amp; Naker","Tidak Terdaftar")</f>
        <v>Tidak Terdaftar</v>
      </c>
      <c r="BN37" s="56"/>
      <c r="BO37" s="92">
        <f>352800/6</f>
        <v>58800</v>
      </c>
      <c r="BP37" s="9">
        <f t="shared" si="23"/>
        <v>0</v>
      </c>
      <c r="BQ37" t="str">
        <f>_xlfn.XLOOKUP(X37,'[2]NON TETAP'!$H:$H,'[2]NON TETAP'!$I:$I)</f>
        <v>GRAMEDIA ASRI MEDIA</v>
      </c>
    </row>
    <row r="38" spans="1:69" x14ac:dyDescent="0.3">
      <c r="A38" s="2">
        <v>37</v>
      </c>
      <c r="B38" s="5" t="s">
        <v>3945</v>
      </c>
      <c r="C38" s="6" t="s">
        <v>241</v>
      </c>
      <c r="D38" s="6"/>
      <c r="E38" s="6" t="s">
        <v>73</v>
      </c>
      <c r="F38" s="6" t="s">
        <v>73</v>
      </c>
      <c r="G38" s="6" t="s">
        <v>73</v>
      </c>
      <c r="H38" s="6"/>
      <c r="I38" s="6"/>
      <c r="J38" s="6"/>
      <c r="K38" s="6">
        <v>800055</v>
      </c>
      <c r="L38" s="6"/>
      <c r="M38" s="6">
        <v>25077450275</v>
      </c>
      <c r="N38" s="46" t="s">
        <v>3949</v>
      </c>
      <c r="O38" s="6">
        <v>1646766641</v>
      </c>
      <c r="P38" s="78" t="s">
        <v>3948</v>
      </c>
      <c r="Q38" s="6">
        <v>10390</v>
      </c>
      <c r="R38" s="6">
        <v>27390</v>
      </c>
      <c r="S38" s="5" t="str">
        <f>VLOOKUP(T38,'[1]Kode Posisi'!$A$3:$B$45,2,)</f>
        <v>Outsourcing Keamanan</v>
      </c>
      <c r="T38" s="36" t="s">
        <v>37</v>
      </c>
      <c r="U38" s="44" t="s">
        <v>1893</v>
      </c>
      <c r="V38" s="44" t="s">
        <v>3947</v>
      </c>
      <c r="W38" s="36" t="s">
        <v>1891</v>
      </c>
      <c r="X38" s="36" t="s">
        <v>1890</v>
      </c>
      <c r="Y38" s="36" t="s">
        <v>52</v>
      </c>
      <c r="Z38" s="79" t="s">
        <v>3946</v>
      </c>
      <c r="AA38" s="36" t="s">
        <v>3945</v>
      </c>
      <c r="AB38" s="47">
        <v>5248000</v>
      </c>
      <c r="AC38" s="41">
        <v>5248000</v>
      </c>
      <c r="AD38" s="47">
        <v>4975000</v>
      </c>
      <c r="AE38" s="16">
        <f t="shared" si="25"/>
        <v>273000</v>
      </c>
      <c r="AF38" s="16">
        <v>0</v>
      </c>
      <c r="AG38" s="16">
        <v>2100000</v>
      </c>
      <c r="AH38" s="16"/>
      <c r="AI38" s="16">
        <v>0</v>
      </c>
      <c r="AJ38" s="16"/>
      <c r="AK38" s="16">
        <v>0</v>
      </c>
      <c r="AL38" s="11">
        <f t="shared" si="1"/>
        <v>7348000</v>
      </c>
      <c r="AM38" s="16">
        <f t="shared" si="2"/>
        <v>537395.19999999995</v>
      </c>
      <c r="AN38" s="16">
        <f t="shared" si="3"/>
        <v>209920</v>
      </c>
      <c r="AO38" s="16">
        <f t="shared" ref="AO38:AO69" si="27">IF(BC38=0.03,AC38*0.0624,0)</f>
        <v>327475.20000000001</v>
      </c>
      <c r="AP38" s="16">
        <f t="shared" si="5"/>
        <v>194176</v>
      </c>
      <c r="AQ38" s="16">
        <f t="shared" si="6"/>
        <v>7885395.2000000002</v>
      </c>
      <c r="AR38" s="16">
        <f t="shared" si="26"/>
        <v>473123.712</v>
      </c>
      <c r="AS38" s="16">
        <f t="shared" si="8"/>
        <v>52043.608319999999</v>
      </c>
      <c r="AT38" s="16">
        <f t="shared" si="9"/>
        <v>-9462.4742399999996</v>
      </c>
      <c r="AU38" s="16">
        <f t="shared" si="10"/>
        <v>8349056.4377600001</v>
      </c>
      <c r="AV38" s="16">
        <f t="shared" si="11"/>
        <v>8358518.9120000005</v>
      </c>
      <c r="AW38" s="16">
        <f t="shared" si="12"/>
        <v>209920</v>
      </c>
      <c r="AX38" s="16" t="s">
        <v>286</v>
      </c>
      <c r="AY38" s="17"/>
      <c r="AZ38" s="17">
        <f t="shared" si="13"/>
        <v>0</v>
      </c>
      <c r="BA38" s="16">
        <f t="shared" si="14"/>
        <v>7138080</v>
      </c>
      <c r="BB38" s="16">
        <f t="shared" si="15"/>
        <v>7138080</v>
      </c>
      <c r="BC38" s="15">
        <v>0.03</v>
      </c>
      <c r="BD38" s="15">
        <v>0.01</v>
      </c>
      <c r="BE38" s="37">
        <f t="shared" si="16"/>
        <v>484915.19999999995</v>
      </c>
      <c r="BF38" s="38">
        <f t="shared" si="17"/>
        <v>299136</v>
      </c>
      <c r="BG38" s="37">
        <f t="shared" si="24"/>
        <v>248750</v>
      </c>
      <c r="BH38" s="37">
        <f t="shared" si="18"/>
        <v>262400</v>
      </c>
      <c r="BI38">
        <v>248750</v>
      </c>
      <c r="BL38" s="8">
        <f t="shared" si="19"/>
        <v>2100000</v>
      </c>
      <c r="BM38" s="7" t="str">
        <f t="shared" ref="BM38:BM69" si="28">IF(AND(BC38=0.03,BD38=0.01),"Terdaftar BPJS Kes &amp; Naker","Tidak Terdaftar")</f>
        <v>Terdaftar BPJS Kes &amp; Naker</v>
      </c>
      <c r="BN38" s="11">
        <f t="shared" ref="BN38:BN69" si="29">AC38*5.7%</f>
        <v>299136</v>
      </c>
      <c r="BO38" s="11">
        <f t="shared" ref="BO38:BO69" si="30">AC38*4.54%</f>
        <v>238259.20000000001</v>
      </c>
      <c r="BP38" s="9">
        <f t="shared" si="23"/>
        <v>0</v>
      </c>
      <c r="BQ38" t="str">
        <f>_xlfn.XLOOKUP(X38,'[2]NON TETAP'!$H:$H,'[2]NON TETAP'!$I:$I)</f>
        <v>GRAMEDIA ASRI MEDIA</v>
      </c>
    </row>
    <row r="39" spans="1:69" x14ac:dyDescent="0.3">
      <c r="A39" s="2">
        <v>38</v>
      </c>
      <c r="B39" s="5" t="s">
        <v>3944</v>
      </c>
      <c r="C39" s="6" t="s">
        <v>241</v>
      </c>
      <c r="D39" s="6"/>
      <c r="E39" s="6" t="s">
        <v>73</v>
      </c>
      <c r="F39" s="6" t="s">
        <v>73</v>
      </c>
      <c r="G39" s="6"/>
      <c r="H39" s="6"/>
      <c r="I39" s="6"/>
      <c r="J39" s="6"/>
      <c r="K39" s="6">
        <v>800056</v>
      </c>
      <c r="L39" s="6"/>
      <c r="M39" s="6">
        <v>25023140673</v>
      </c>
      <c r="N39" s="46" t="s">
        <v>3943</v>
      </c>
      <c r="O39" s="6">
        <v>1656294906</v>
      </c>
      <c r="P39" s="78" t="s">
        <v>3942</v>
      </c>
      <c r="Q39" s="6">
        <v>11197</v>
      </c>
      <c r="R39" s="6">
        <v>27197</v>
      </c>
      <c r="S39" s="5" t="str">
        <f>VLOOKUP(T39,'[1]Kode Posisi'!$A$3:$B$45,2,)</f>
        <v>Outsourcing Keamanan</v>
      </c>
      <c r="T39" s="36" t="s">
        <v>37</v>
      </c>
      <c r="U39" s="44" t="s">
        <v>2675</v>
      </c>
      <c r="V39" s="44" t="s">
        <v>3941</v>
      </c>
      <c r="W39" s="5" t="s">
        <v>232</v>
      </c>
      <c r="X39" s="5" t="s">
        <v>17</v>
      </c>
      <c r="Y39" s="36" t="s">
        <v>1294</v>
      </c>
      <c r="Z39" s="79" t="s">
        <v>3940</v>
      </c>
      <c r="AA39" s="36" t="s">
        <v>3939</v>
      </c>
      <c r="AB39" s="47">
        <v>2828000</v>
      </c>
      <c r="AC39" s="41">
        <v>2828000</v>
      </c>
      <c r="AD39" s="47">
        <v>2656000</v>
      </c>
      <c r="AE39" s="16">
        <f t="shared" si="25"/>
        <v>172000</v>
      </c>
      <c r="AF39" s="16">
        <v>0</v>
      </c>
      <c r="AG39" s="16">
        <v>0</v>
      </c>
      <c r="AH39" s="16"/>
      <c r="AI39" s="16">
        <v>0</v>
      </c>
      <c r="AJ39" s="16"/>
      <c r="AK39" s="16">
        <v>0</v>
      </c>
      <c r="AL39" s="11">
        <f t="shared" si="1"/>
        <v>2828000</v>
      </c>
      <c r="AM39" s="16">
        <f t="shared" si="2"/>
        <v>289587.19999999995</v>
      </c>
      <c r="AN39" s="16">
        <f t="shared" si="3"/>
        <v>113120</v>
      </c>
      <c r="AO39" s="16">
        <f t="shared" si="27"/>
        <v>176467.19999999998</v>
      </c>
      <c r="AP39" s="16">
        <f t="shared" si="5"/>
        <v>104636</v>
      </c>
      <c r="AQ39" s="16">
        <f t="shared" si="6"/>
        <v>3117587.2</v>
      </c>
      <c r="AR39" s="16">
        <f t="shared" si="26"/>
        <v>187055.23200000002</v>
      </c>
      <c r="AS39" s="16">
        <f t="shared" si="8"/>
        <v>20576.075520000002</v>
      </c>
      <c r="AT39" s="16">
        <f t="shared" si="9"/>
        <v>-3741.1046400000005</v>
      </c>
      <c r="AU39" s="16">
        <f t="shared" si="10"/>
        <v>3300901.32736</v>
      </c>
      <c r="AV39" s="16">
        <f t="shared" si="11"/>
        <v>3304642.432</v>
      </c>
      <c r="AW39" s="16">
        <f t="shared" si="12"/>
        <v>113120</v>
      </c>
      <c r="AX39" s="16" t="s">
        <v>286</v>
      </c>
      <c r="AY39" s="17"/>
      <c r="AZ39" s="17">
        <f t="shared" si="13"/>
        <v>2900</v>
      </c>
      <c r="BA39" s="16">
        <f t="shared" si="14"/>
        <v>2714880</v>
      </c>
      <c r="BB39" s="16">
        <f t="shared" si="15"/>
        <v>2711980</v>
      </c>
      <c r="BC39" s="15">
        <v>0.03</v>
      </c>
      <c r="BD39" s="15">
        <v>0.01</v>
      </c>
      <c r="BE39" s="37">
        <f t="shared" si="16"/>
        <v>261307.19999999998</v>
      </c>
      <c r="BF39" s="38">
        <f t="shared" si="17"/>
        <v>161196</v>
      </c>
      <c r="BG39" s="37">
        <f t="shared" si="24"/>
        <v>132800</v>
      </c>
      <c r="BH39" s="37">
        <f t="shared" si="18"/>
        <v>141400</v>
      </c>
      <c r="BI39">
        <v>132800</v>
      </c>
      <c r="BL39" s="8">
        <f t="shared" si="19"/>
        <v>0</v>
      </c>
      <c r="BM39" s="7" t="str">
        <f t="shared" si="28"/>
        <v>Terdaftar BPJS Kes &amp; Naker</v>
      </c>
      <c r="BN39" s="11">
        <f t="shared" si="29"/>
        <v>161196</v>
      </c>
      <c r="BO39" s="11">
        <f t="shared" si="30"/>
        <v>128391.20000000001</v>
      </c>
      <c r="BP39" s="9">
        <f t="shared" si="23"/>
        <v>0</v>
      </c>
      <c r="BQ39" t="s">
        <v>8</v>
      </c>
    </row>
    <row r="40" spans="1:69" x14ac:dyDescent="0.3">
      <c r="A40" s="2">
        <v>39</v>
      </c>
      <c r="B40" s="5" t="s">
        <v>3938</v>
      </c>
      <c r="C40" s="6" t="s">
        <v>241</v>
      </c>
      <c r="D40" s="6"/>
      <c r="E40" s="6" t="s">
        <v>73</v>
      </c>
      <c r="F40" s="6" t="s">
        <v>73</v>
      </c>
      <c r="G40" s="6"/>
      <c r="H40" s="6"/>
      <c r="I40" s="6"/>
      <c r="J40" s="6"/>
      <c r="K40" s="6">
        <v>800057</v>
      </c>
      <c r="L40" s="6"/>
      <c r="M40" s="6">
        <v>25023140681</v>
      </c>
      <c r="N40" s="46" t="s">
        <v>3937</v>
      </c>
      <c r="O40" s="6">
        <v>1656294985</v>
      </c>
      <c r="P40" s="78" t="s">
        <v>3936</v>
      </c>
      <c r="Q40" s="6">
        <v>11197</v>
      </c>
      <c r="R40" s="6">
        <v>27197</v>
      </c>
      <c r="S40" s="5" t="str">
        <f>VLOOKUP(T40,'[1]Kode Posisi'!$A$3:$B$45,2,)</f>
        <v>Outsourcing Keamanan</v>
      </c>
      <c r="T40" s="36" t="s">
        <v>37</v>
      </c>
      <c r="U40" s="44" t="s">
        <v>2675</v>
      </c>
      <c r="V40" s="44" t="s">
        <v>3935</v>
      </c>
      <c r="W40" s="5" t="s">
        <v>232</v>
      </c>
      <c r="X40" s="5" t="s">
        <v>17</v>
      </c>
      <c r="Y40" s="36" t="s">
        <v>1294</v>
      </c>
      <c r="Z40" s="79" t="s">
        <v>3934</v>
      </c>
      <c r="AA40" s="36" t="s">
        <v>3933</v>
      </c>
      <c r="AB40" s="47">
        <v>2828000</v>
      </c>
      <c r="AC40" s="41">
        <v>2828000</v>
      </c>
      <c r="AD40" s="47">
        <v>2656000</v>
      </c>
      <c r="AE40" s="16">
        <f t="shared" si="25"/>
        <v>172000</v>
      </c>
      <c r="AF40" s="16">
        <v>0</v>
      </c>
      <c r="AG40" s="16">
        <v>0</v>
      </c>
      <c r="AH40" s="16"/>
      <c r="AI40" s="16">
        <v>0</v>
      </c>
      <c r="AJ40" s="16"/>
      <c r="AK40" s="16">
        <v>0</v>
      </c>
      <c r="AL40" s="11">
        <f t="shared" si="1"/>
        <v>2828000</v>
      </c>
      <c r="AM40" s="16">
        <f t="shared" si="2"/>
        <v>289587.19999999995</v>
      </c>
      <c r="AN40" s="16">
        <f t="shared" si="3"/>
        <v>113120</v>
      </c>
      <c r="AO40" s="16">
        <f t="shared" si="27"/>
        <v>176467.19999999998</v>
      </c>
      <c r="AP40" s="16">
        <f t="shared" si="5"/>
        <v>104636</v>
      </c>
      <c r="AQ40" s="16">
        <f t="shared" si="6"/>
        <v>3117587.2</v>
      </c>
      <c r="AR40" s="16">
        <f t="shared" si="26"/>
        <v>187055.23200000002</v>
      </c>
      <c r="AS40" s="16">
        <f t="shared" si="8"/>
        <v>20576.075520000002</v>
      </c>
      <c r="AT40" s="16">
        <f t="shared" si="9"/>
        <v>-3741.1046400000005</v>
      </c>
      <c r="AU40" s="16">
        <f t="shared" si="10"/>
        <v>3300901.32736</v>
      </c>
      <c r="AV40" s="16">
        <f t="shared" si="11"/>
        <v>3304642.432</v>
      </c>
      <c r="AW40" s="16">
        <f t="shared" si="12"/>
        <v>113120</v>
      </c>
      <c r="AX40" s="16" t="s">
        <v>319</v>
      </c>
      <c r="AY40" s="17"/>
      <c r="AZ40" s="17">
        <f t="shared" si="13"/>
        <v>2900</v>
      </c>
      <c r="BA40" s="16">
        <f t="shared" si="14"/>
        <v>2714880</v>
      </c>
      <c r="BB40" s="16">
        <f t="shared" si="15"/>
        <v>2711980</v>
      </c>
      <c r="BC40" s="15">
        <v>0.03</v>
      </c>
      <c r="BD40" s="15">
        <v>0.01</v>
      </c>
      <c r="BE40" s="37">
        <f t="shared" si="16"/>
        <v>261307.19999999998</v>
      </c>
      <c r="BF40" s="38">
        <f t="shared" si="17"/>
        <v>161196</v>
      </c>
      <c r="BG40" s="37">
        <f t="shared" si="24"/>
        <v>132800</v>
      </c>
      <c r="BH40" s="37">
        <f t="shared" si="18"/>
        <v>141400</v>
      </c>
      <c r="BI40">
        <v>132800</v>
      </c>
      <c r="BL40" s="8">
        <f t="shared" si="19"/>
        <v>0</v>
      </c>
      <c r="BM40" s="7" t="str">
        <f t="shared" si="28"/>
        <v>Terdaftar BPJS Kes &amp; Naker</v>
      </c>
      <c r="BN40" s="11">
        <f t="shared" si="29"/>
        <v>161196</v>
      </c>
      <c r="BO40" s="11">
        <f t="shared" si="30"/>
        <v>128391.20000000001</v>
      </c>
      <c r="BP40" s="9">
        <f t="shared" si="23"/>
        <v>0</v>
      </c>
      <c r="BQ40" t="s">
        <v>8</v>
      </c>
    </row>
    <row r="41" spans="1:69" x14ac:dyDescent="0.3">
      <c r="A41" s="2">
        <v>40</v>
      </c>
      <c r="B41" s="5" t="s">
        <v>3928</v>
      </c>
      <c r="C41" s="6" t="s">
        <v>241</v>
      </c>
      <c r="D41" s="6"/>
      <c r="E41" s="6" t="s">
        <v>73</v>
      </c>
      <c r="F41" s="6" t="s">
        <v>73</v>
      </c>
      <c r="G41" s="6"/>
      <c r="H41" s="6"/>
      <c r="I41" s="6"/>
      <c r="J41" s="6"/>
      <c r="K41" s="6">
        <v>800058</v>
      </c>
      <c r="L41" s="6"/>
      <c r="M41" s="6">
        <v>25023140699</v>
      </c>
      <c r="N41" s="46" t="s">
        <v>3932</v>
      </c>
      <c r="O41" s="6">
        <v>2008012241</v>
      </c>
      <c r="P41" s="78" t="s">
        <v>3931</v>
      </c>
      <c r="Q41" s="6">
        <v>11197</v>
      </c>
      <c r="R41" s="6">
        <v>27197</v>
      </c>
      <c r="S41" s="5" t="str">
        <f>VLOOKUP(T41,'[1]Kode Posisi'!$A$3:$B$45,2,)</f>
        <v>Outsourcing Keamanan</v>
      </c>
      <c r="T41" s="36" t="s">
        <v>37</v>
      </c>
      <c r="U41" s="44" t="s">
        <v>2675</v>
      </c>
      <c r="V41" s="44" t="s">
        <v>3930</v>
      </c>
      <c r="W41" s="5" t="s">
        <v>232</v>
      </c>
      <c r="X41" s="5" t="s">
        <v>17</v>
      </c>
      <c r="Y41" s="36" t="s">
        <v>1294</v>
      </c>
      <c r="Z41" s="76" t="s">
        <v>3929</v>
      </c>
      <c r="AA41" s="36" t="s">
        <v>3928</v>
      </c>
      <c r="AB41" s="47">
        <v>2828000</v>
      </c>
      <c r="AC41" s="41">
        <v>2828000</v>
      </c>
      <c r="AD41" s="47">
        <v>2656000</v>
      </c>
      <c r="AE41" s="16">
        <f t="shared" si="25"/>
        <v>172000</v>
      </c>
      <c r="AF41" s="16">
        <v>0</v>
      </c>
      <c r="AG41" s="16">
        <v>0</v>
      </c>
      <c r="AH41" s="16"/>
      <c r="AI41" s="16">
        <v>0</v>
      </c>
      <c r="AJ41" s="16"/>
      <c r="AK41" s="16">
        <v>0</v>
      </c>
      <c r="AL41" s="11">
        <f t="shared" si="1"/>
        <v>2828000</v>
      </c>
      <c r="AM41" s="16">
        <f t="shared" si="2"/>
        <v>289587.19999999995</v>
      </c>
      <c r="AN41" s="16">
        <f t="shared" si="3"/>
        <v>113120</v>
      </c>
      <c r="AO41" s="16">
        <f t="shared" si="27"/>
        <v>176467.19999999998</v>
      </c>
      <c r="AP41" s="16">
        <f t="shared" si="5"/>
        <v>104636</v>
      </c>
      <c r="AQ41" s="16">
        <f t="shared" si="6"/>
        <v>3117587.2</v>
      </c>
      <c r="AR41" s="16">
        <f t="shared" si="26"/>
        <v>187055.23200000002</v>
      </c>
      <c r="AS41" s="16">
        <f t="shared" si="8"/>
        <v>20576.075520000002</v>
      </c>
      <c r="AT41" s="16">
        <f t="shared" si="9"/>
        <v>-3741.1046400000005</v>
      </c>
      <c r="AU41" s="16">
        <f t="shared" si="10"/>
        <v>3300901.32736</v>
      </c>
      <c r="AV41" s="16">
        <f t="shared" si="11"/>
        <v>3304642.432</v>
      </c>
      <c r="AW41" s="16">
        <f t="shared" si="12"/>
        <v>113120</v>
      </c>
      <c r="AX41" s="16" t="s">
        <v>91</v>
      </c>
      <c r="AY41" s="17"/>
      <c r="AZ41" s="17">
        <f t="shared" si="13"/>
        <v>2900</v>
      </c>
      <c r="BA41" s="16">
        <f t="shared" si="14"/>
        <v>2714880</v>
      </c>
      <c r="BB41" s="16">
        <f t="shared" si="15"/>
        <v>2711980</v>
      </c>
      <c r="BC41" s="15">
        <v>0.03</v>
      </c>
      <c r="BD41" s="15">
        <v>0.01</v>
      </c>
      <c r="BE41" s="37">
        <f t="shared" si="16"/>
        <v>261307.19999999998</v>
      </c>
      <c r="BF41" s="38">
        <f t="shared" si="17"/>
        <v>161196</v>
      </c>
      <c r="BG41" s="37">
        <f t="shared" si="24"/>
        <v>132800</v>
      </c>
      <c r="BH41" s="37">
        <f t="shared" si="18"/>
        <v>141400</v>
      </c>
      <c r="BI41">
        <v>132800</v>
      </c>
      <c r="BL41" s="8">
        <f t="shared" si="19"/>
        <v>0</v>
      </c>
      <c r="BM41" s="7" t="str">
        <f t="shared" si="28"/>
        <v>Terdaftar BPJS Kes &amp; Naker</v>
      </c>
      <c r="BN41" s="11">
        <f t="shared" si="29"/>
        <v>161196</v>
      </c>
      <c r="BO41" s="11">
        <f t="shared" si="30"/>
        <v>128391.20000000001</v>
      </c>
      <c r="BP41" s="9">
        <f t="shared" si="23"/>
        <v>0</v>
      </c>
      <c r="BQ41" t="s">
        <v>8</v>
      </c>
    </row>
    <row r="42" spans="1:69" x14ac:dyDescent="0.3">
      <c r="A42" s="2">
        <v>41</v>
      </c>
      <c r="B42" s="5" t="s">
        <v>3923</v>
      </c>
      <c r="C42" s="6" t="s">
        <v>241</v>
      </c>
      <c r="D42" s="6"/>
      <c r="E42" s="6" t="s">
        <v>73</v>
      </c>
      <c r="F42" s="6" t="s">
        <v>73</v>
      </c>
      <c r="G42" s="6"/>
      <c r="H42" s="6"/>
      <c r="I42" s="6"/>
      <c r="J42" s="6"/>
      <c r="K42" s="6">
        <v>800059</v>
      </c>
      <c r="L42" s="6"/>
      <c r="M42" s="6">
        <v>25023140707</v>
      </c>
      <c r="N42" s="46" t="s">
        <v>3927</v>
      </c>
      <c r="O42" s="6">
        <v>1434709912</v>
      </c>
      <c r="P42" s="78" t="s">
        <v>3926</v>
      </c>
      <c r="Q42" s="6">
        <v>10150</v>
      </c>
      <c r="R42" s="6">
        <v>27150</v>
      </c>
      <c r="S42" s="5" t="str">
        <f>VLOOKUP(T42,'[1]Kode Posisi'!$A$3:$B$45,2,)</f>
        <v>Outsourcing Keamanan</v>
      </c>
      <c r="T42" s="36" t="s">
        <v>37</v>
      </c>
      <c r="U42" s="44" t="s">
        <v>1190</v>
      </c>
      <c r="V42" s="44" t="s">
        <v>3925</v>
      </c>
      <c r="W42" s="36" t="s">
        <v>1188</v>
      </c>
      <c r="X42" s="36" t="s">
        <v>1187</v>
      </c>
      <c r="Y42" s="36" t="s">
        <v>52</v>
      </c>
      <c r="Z42" s="79" t="s">
        <v>3924</v>
      </c>
      <c r="AA42" s="36" t="s">
        <v>3923</v>
      </c>
      <c r="AB42" s="47">
        <v>5523000</v>
      </c>
      <c r="AC42" s="41">
        <v>5523000</v>
      </c>
      <c r="AD42" s="47">
        <v>5196000</v>
      </c>
      <c r="AE42" s="16">
        <f t="shared" si="25"/>
        <v>327000</v>
      </c>
      <c r="AF42" s="16">
        <v>0</v>
      </c>
      <c r="AG42" s="16">
        <v>0</v>
      </c>
      <c r="AH42" s="16"/>
      <c r="AI42" s="16">
        <v>0</v>
      </c>
      <c r="AJ42" s="16"/>
      <c r="AK42" s="16">
        <v>0</v>
      </c>
      <c r="AL42" s="11">
        <f t="shared" si="1"/>
        <v>5523000</v>
      </c>
      <c r="AM42" s="16">
        <f t="shared" si="2"/>
        <v>565555.19999999995</v>
      </c>
      <c r="AN42" s="16">
        <f t="shared" si="3"/>
        <v>220920</v>
      </c>
      <c r="AO42" s="16">
        <f t="shared" si="27"/>
        <v>344635.2</v>
      </c>
      <c r="AP42" s="16">
        <f t="shared" si="5"/>
        <v>204351</v>
      </c>
      <c r="AQ42" s="16">
        <f t="shared" si="6"/>
        <v>6088555.2000000002</v>
      </c>
      <c r="AR42" s="16">
        <f t="shared" si="26"/>
        <v>365313.31199999998</v>
      </c>
      <c r="AS42" s="16">
        <f t="shared" si="8"/>
        <v>40184.464319999999</v>
      </c>
      <c r="AT42" s="16">
        <f t="shared" si="9"/>
        <v>-7306.2662399999999</v>
      </c>
      <c r="AU42" s="16">
        <f t="shared" si="10"/>
        <v>6446562.2457600003</v>
      </c>
      <c r="AV42" s="16">
        <f t="shared" si="11"/>
        <v>6453868.5120000001</v>
      </c>
      <c r="AW42" s="16">
        <f t="shared" si="12"/>
        <v>220920</v>
      </c>
      <c r="AX42" s="16" t="s">
        <v>286</v>
      </c>
      <c r="AY42" s="17"/>
      <c r="AZ42" s="17">
        <f t="shared" si="13"/>
        <v>0</v>
      </c>
      <c r="BA42" s="16">
        <f t="shared" si="14"/>
        <v>5302080</v>
      </c>
      <c r="BB42" s="16">
        <f t="shared" si="15"/>
        <v>5302080</v>
      </c>
      <c r="BC42" s="15">
        <v>0.03</v>
      </c>
      <c r="BD42" s="15">
        <v>0.01</v>
      </c>
      <c r="BE42" s="37">
        <f t="shared" si="16"/>
        <v>510325.19999999995</v>
      </c>
      <c r="BF42" s="38">
        <f t="shared" si="17"/>
        <v>314811</v>
      </c>
      <c r="BG42" s="37">
        <f t="shared" si="24"/>
        <v>259800</v>
      </c>
      <c r="BH42" s="37">
        <f t="shared" si="18"/>
        <v>276150</v>
      </c>
      <c r="BI42">
        <v>259800</v>
      </c>
      <c r="BL42" s="8">
        <f t="shared" si="19"/>
        <v>0</v>
      </c>
      <c r="BM42" s="7" t="str">
        <f t="shared" si="28"/>
        <v>Terdaftar BPJS Kes &amp; Naker</v>
      </c>
      <c r="BN42" s="11">
        <f t="shared" si="29"/>
        <v>314811</v>
      </c>
      <c r="BO42" s="11">
        <f t="shared" si="30"/>
        <v>250744.2</v>
      </c>
      <c r="BP42" s="9">
        <f t="shared" si="23"/>
        <v>0</v>
      </c>
      <c r="BQ42" t="str">
        <f>_xlfn.XLOOKUP(X42,'[2]NON TETAP'!$H:$H,'[2]NON TETAP'!$I:$I)</f>
        <v>GRAMEDIA ASRI MEDIA</v>
      </c>
    </row>
    <row r="43" spans="1:69" x14ac:dyDescent="0.3">
      <c r="A43" s="2">
        <v>42</v>
      </c>
      <c r="B43" s="5" t="s">
        <v>3922</v>
      </c>
      <c r="C43" s="6" t="s">
        <v>241</v>
      </c>
      <c r="D43" s="6"/>
      <c r="E43" s="6" t="s">
        <v>73</v>
      </c>
      <c r="F43" s="6" t="s">
        <v>73</v>
      </c>
      <c r="G43" s="6"/>
      <c r="H43" s="6"/>
      <c r="I43" s="6"/>
      <c r="J43" s="6"/>
      <c r="K43" s="6">
        <v>800060</v>
      </c>
      <c r="L43" s="6"/>
      <c r="M43" s="6">
        <v>25023140715</v>
      </c>
      <c r="N43" s="46" t="s">
        <v>3921</v>
      </c>
      <c r="O43" s="6">
        <v>199098088</v>
      </c>
      <c r="P43" s="78" t="s">
        <v>3920</v>
      </c>
      <c r="Q43" s="6">
        <v>10150</v>
      </c>
      <c r="R43" s="6">
        <v>27150</v>
      </c>
      <c r="S43" s="5" t="str">
        <f>VLOOKUP(T43,'[1]Kode Posisi'!$A$3:$B$45,2,)</f>
        <v>Outsourcing Keamanan</v>
      </c>
      <c r="T43" s="36" t="s">
        <v>37</v>
      </c>
      <c r="U43" s="44" t="s">
        <v>1190</v>
      </c>
      <c r="V43" s="44" t="s">
        <v>3919</v>
      </c>
      <c r="W43" s="36" t="s">
        <v>1188</v>
      </c>
      <c r="X43" s="36" t="s">
        <v>1187</v>
      </c>
      <c r="Y43" s="36" t="s">
        <v>52</v>
      </c>
      <c r="Z43" s="79" t="s">
        <v>3918</v>
      </c>
      <c r="AA43" s="36" t="s">
        <v>3917</v>
      </c>
      <c r="AB43" s="47">
        <v>5523000</v>
      </c>
      <c r="AC43" s="41">
        <v>5523000</v>
      </c>
      <c r="AD43" s="47">
        <v>5196000</v>
      </c>
      <c r="AE43" s="16">
        <f t="shared" si="25"/>
        <v>327000</v>
      </c>
      <c r="AF43" s="16">
        <v>0</v>
      </c>
      <c r="AG43" s="16">
        <v>0</v>
      </c>
      <c r="AH43" s="16"/>
      <c r="AI43" s="16">
        <v>0</v>
      </c>
      <c r="AJ43" s="16"/>
      <c r="AK43" s="16">
        <v>0</v>
      </c>
      <c r="AL43" s="11">
        <f t="shared" si="1"/>
        <v>5523000</v>
      </c>
      <c r="AM43" s="16">
        <f t="shared" si="2"/>
        <v>565555.19999999995</v>
      </c>
      <c r="AN43" s="16">
        <f t="shared" si="3"/>
        <v>220920</v>
      </c>
      <c r="AO43" s="16">
        <f t="shared" si="27"/>
        <v>344635.2</v>
      </c>
      <c r="AP43" s="16">
        <f t="shared" si="5"/>
        <v>204351</v>
      </c>
      <c r="AQ43" s="16">
        <f t="shared" si="6"/>
        <v>6088555.2000000002</v>
      </c>
      <c r="AR43" s="16">
        <f t="shared" si="26"/>
        <v>365313.31199999998</v>
      </c>
      <c r="AS43" s="16">
        <f t="shared" si="8"/>
        <v>40184.464319999999</v>
      </c>
      <c r="AT43" s="16">
        <f t="shared" si="9"/>
        <v>-7306.2662399999999</v>
      </c>
      <c r="AU43" s="16">
        <f t="shared" si="10"/>
        <v>6446562.2457600003</v>
      </c>
      <c r="AV43" s="16">
        <f t="shared" si="11"/>
        <v>6453868.5120000001</v>
      </c>
      <c r="AW43" s="16">
        <f t="shared" si="12"/>
        <v>220920</v>
      </c>
      <c r="AX43" s="16" t="s">
        <v>235</v>
      </c>
      <c r="AY43" s="17"/>
      <c r="AZ43" s="17">
        <f t="shared" si="13"/>
        <v>0</v>
      </c>
      <c r="BA43" s="16">
        <f t="shared" si="14"/>
        <v>5302080</v>
      </c>
      <c r="BB43" s="16">
        <f t="shared" si="15"/>
        <v>5302080</v>
      </c>
      <c r="BC43" s="15">
        <v>0.03</v>
      </c>
      <c r="BD43" s="15">
        <v>0.01</v>
      </c>
      <c r="BE43" s="37">
        <f t="shared" si="16"/>
        <v>510325.19999999995</v>
      </c>
      <c r="BF43" s="38">
        <f t="shared" si="17"/>
        <v>314811</v>
      </c>
      <c r="BG43" s="37">
        <f t="shared" si="24"/>
        <v>259800</v>
      </c>
      <c r="BH43" s="37">
        <f t="shared" si="18"/>
        <v>276150</v>
      </c>
      <c r="BI43">
        <v>259800</v>
      </c>
      <c r="BJ43" s="2">
        <v>259800</v>
      </c>
      <c r="BL43" s="8">
        <f t="shared" si="19"/>
        <v>0</v>
      </c>
      <c r="BM43" s="7" t="str">
        <f t="shared" si="28"/>
        <v>Terdaftar BPJS Kes &amp; Naker</v>
      </c>
      <c r="BN43" s="11">
        <f t="shared" si="29"/>
        <v>314811</v>
      </c>
      <c r="BO43" s="11">
        <f t="shared" si="30"/>
        <v>250744.2</v>
      </c>
      <c r="BP43" s="9">
        <f t="shared" si="23"/>
        <v>0</v>
      </c>
      <c r="BQ43" t="str">
        <f>_xlfn.XLOOKUP(X43,'[2]NON TETAP'!$H:$H,'[2]NON TETAP'!$I:$I)</f>
        <v>GRAMEDIA ASRI MEDIA</v>
      </c>
    </row>
    <row r="44" spans="1:69" x14ac:dyDescent="0.3">
      <c r="A44" s="2">
        <v>43</v>
      </c>
      <c r="B44" s="5" t="s">
        <v>3916</v>
      </c>
      <c r="C44" s="6" t="s">
        <v>241</v>
      </c>
      <c r="D44" s="6"/>
      <c r="E44" s="6" t="s">
        <v>73</v>
      </c>
      <c r="F44" s="6" t="s">
        <v>73</v>
      </c>
      <c r="G44" s="6"/>
      <c r="H44" s="6"/>
      <c r="I44" s="6"/>
      <c r="J44" s="6"/>
      <c r="K44" s="6">
        <v>800061</v>
      </c>
      <c r="L44" s="6"/>
      <c r="M44" s="6">
        <v>25023140756</v>
      </c>
      <c r="N44" s="46" t="s">
        <v>3915</v>
      </c>
      <c r="O44" s="6">
        <v>2143858994</v>
      </c>
      <c r="P44" s="78" t="s">
        <v>3914</v>
      </c>
      <c r="Q44" s="6">
        <v>10150</v>
      </c>
      <c r="R44" s="6">
        <v>27150</v>
      </c>
      <c r="S44" s="5" t="str">
        <f>VLOOKUP(T44,'[1]Kode Posisi'!$A$3:$B$45,2,)</f>
        <v>Outsourcing Keamanan</v>
      </c>
      <c r="T44" s="36" t="s">
        <v>37</v>
      </c>
      <c r="U44" s="44" t="s">
        <v>1190</v>
      </c>
      <c r="V44" s="44" t="s">
        <v>3913</v>
      </c>
      <c r="W44" s="36" t="s">
        <v>1188</v>
      </c>
      <c r="X44" s="36" t="s">
        <v>1187</v>
      </c>
      <c r="Y44" s="36" t="s">
        <v>52</v>
      </c>
      <c r="Z44" s="79" t="s">
        <v>3912</v>
      </c>
      <c r="AA44" s="36" t="s">
        <v>3911</v>
      </c>
      <c r="AB44" s="47">
        <v>5523000</v>
      </c>
      <c r="AC44" s="41">
        <v>5523000</v>
      </c>
      <c r="AD44" s="47">
        <v>5196000</v>
      </c>
      <c r="AE44" s="16">
        <f t="shared" si="25"/>
        <v>327000</v>
      </c>
      <c r="AF44" s="16">
        <v>0</v>
      </c>
      <c r="AG44" s="16">
        <v>0</v>
      </c>
      <c r="AH44" s="16"/>
      <c r="AI44" s="16">
        <v>0</v>
      </c>
      <c r="AJ44" s="16"/>
      <c r="AK44" s="16">
        <v>0</v>
      </c>
      <c r="AL44" s="11">
        <f t="shared" si="1"/>
        <v>5523000</v>
      </c>
      <c r="AM44" s="16">
        <f t="shared" si="2"/>
        <v>565555.19999999995</v>
      </c>
      <c r="AN44" s="16">
        <f t="shared" si="3"/>
        <v>220920</v>
      </c>
      <c r="AO44" s="16">
        <f t="shared" si="27"/>
        <v>344635.2</v>
      </c>
      <c r="AP44" s="16">
        <f t="shared" si="5"/>
        <v>204351</v>
      </c>
      <c r="AQ44" s="16">
        <f t="shared" si="6"/>
        <v>6088555.2000000002</v>
      </c>
      <c r="AR44" s="16">
        <f t="shared" si="26"/>
        <v>365313.31199999998</v>
      </c>
      <c r="AS44" s="16">
        <f t="shared" si="8"/>
        <v>40184.464319999999</v>
      </c>
      <c r="AT44" s="16">
        <f t="shared" si="9"/>
        <v>-7306.2662399999999</v>
      </c>
      <c r="AU44" s="16">
        <f t="shared" si="10"/>
        <v>6446562.2457600003</v>
      </c>
      <c r="AV44" s="16">
        <f t="shared" si="11"/>
        <v>6453868.5120000001</v>
      </c>
      <c r="AW44" s="16">
        <f t="shared" si="12"/>
        <v>220920</v>
      </c>
      <c r="AX44" s="16" t="s">
        <v>286</v>
      </c>
      <c r="AY44" s="17"/>
      <c r="AZ44" s="17">
        <f t="shared" si="13"/>
        <v>0</v>
      </c>
      <c r="BA44" s="16">
        <f t="shared" si="14"/>
        <v>5302080</v>
      </c>
      <c r="BB44" s="16">
        <f t="shared" si="15"/>
        <v>5302080</v>
      </c>
      <c r="BC44" s="15">
        <v>0.03</v>
      </c>
      <c r="BD44" s="15">
        <v>0.01</v>
      </c>
      <c r="BE44" s="37">
        <f t="shared" si="16"/>
        <v>510325.19999999995</v>
      </c>
      <c r="BF44" s="38">
        <f t="shared" si="17"/>
        <v>314811</v>
      </c>
      <c r="BG44" s="37">
        <f t="shared" si="24"/>
        <v>259800</v>
      </c>
      <c r="BH44" s="37">
        <f t="shared" si="18"/>
        <v>276150</v>
      </c>
      <c r="BI44">
        <v>259800</v>
      </c>
      <c r="BL44" s="8">
        <f t="shared" si="19"/>
        <v>0</v>
      </c>
      <c r="BM44" s="7" t="str">
        <f t="shared" si="28"/>
        <v>Terdaftar BPJS Kes &amp; Naker</v>
      </c>
      <c r="BN44" s="11">
        <f t="shared" si="29"/>
        <v>314811</v>
      </c>
      <c r="BO44" s="11">
        <f t="shared" si="30"/>
        <v>250744.2</v>
      </c>
      <c r="BP44" s="9">
        <f t="shared" si="23"/>
        <v>0</v>
      </c>
      <c r="BQ44" t="str">
        <f>_xlfn.XLOOKUP(X44,'[2]NON TETAP'!$H:$H,'[2]NON TETAP'!$I:$I)</f>
        <v>GRAMEDIA ASRI MEDIA</v>
      </c>
    </row>
    <row r="45" spans="1:69" x14ac:dyDescent="0.3">
      <c r="A45" s="2">
        <v>44</v>
      </c>
      <c r="B45" s="5" t="s">
        <v>3906</v>
      </c>
      <c r="C45" s="6" t="s">
        <v>241</v>
      </c>
      <c r="D45" s="6"/>
      <c r="E45" s="6" t="s">
        <v>73</v>
      </c>
      <c r="F45" s="6" t="s">
        <v>73</v>
      </c>
      <c r="G45" s="6"/>
      <c r="H45" s="6"/>
      <c r="I45" s="6"/>
      <c r="J45" s="6"/>
      <c r="K45" s="6">
        <v>800062</v>
      </c>
      <c r="L45" s="6"/>
      <c r="M45" s="6">
        <v>23107728547</v>
      </c>
      <c r="N45" s="46" t="s">
        <v>3910</v>
      </c>
      <c r="O45" s="6">
        <v>398204076</v>
      </c>
      <c r="P45" s="78" t="s">
        <v>3909</v>
      </c>
      <c r="Q45" s="6">
        <v>10150</v>
      </c>
      <c r="R45" s="6">
        <v>27150</v>
      </c>
      <c r="S45" s="5" t="str">
        <f>VLOOKUP(T45,'[1]Kode Posisi'!$A$3:$B$45,2,)</f>
        <v>Outsourcing Keamanan</v>
      </c>
      <c r="T45" s="36" t="s">
        <v>37</v>
      </c>
      <c r="U45" s="44" t="s">
        <v>1190</v>
      </c>
      <c r="V45" s="44" t="s">
        <v>3908</v>
      </c>
      <c r="W45" s="36" t="s">
        <v>1188</v>
      </c>
      <c r="X45" s="36" t="s">
        <v>1187</v>
      </c>
      <c r="Y45" s="36" t="s">
        <v>52</v>
      </c>
      <c r="Z45" s="79" t="s">
        <v>3907</v>
      </c>
      <c r="AA45" s="36" t="s">
        <v>3906</v>
      </c>
      <c r="AB45" s="47">
        <v>5523000</v>
      </c>
      <c r="AC45" s="41">
        <v>5523000</v>
      </c>
      <c r="AD45" s="47">
        <v>5196000</v>
      </c>
      <c r="AE45" s="16">
        <f t="shared" si="25"/>
        <v>327000</v>
      </c>
      <c r="AF45" s="16">
        <v>0</v>
      </c>
      <c r="AG45" s="16">
        <v>0</v>
      </c>
      <c r="AH45" s="16"/>
      <c r="AI45" s="16">
        <v>0</v>
      </c>
      <c r="AJ45" s="16"/>
      <c r="AK45" s="16">
        <v>0</v>
      </c>
      <c r="AL45" s="11">
        <f t="shared" si="1"/>
        <v>5523000</v>
      </c>
      <c r="AM45" s="16">
        <f t="shared" si="2"/>
        <v>565555.19999999995</v>
      </c>
      <c r="AN45" s="16">
        <f t="shared" si="3"/>
        <v>220920</v>
      </c>
      <c r="AO45" s="16">
        <f t="shared" si="27"/>
        <v>344635.2</v>
      </c>
      <c r="AP45" s="16">
        <f t="shared" si="5"/>
        <v>204351</v>
      </c>
      <c r="AQ45" s="16">
        <f t="shared" si="6"/>
        <v>6088555.2000000002</v>
      </c>
      <c r="AR45" s="16">
        <f t="shared" si="26"/>
        <v>365313.31199999998</v>
      </c>
      <c r="AS45" s="16">
        <f t="shared" si="8"/>
        <v>40184.464319999999</v>
      </c>
      <c r="AT45" s="16">
        <f t="shared" si="9"/>
        <v>-7306.2662399999999</v>
      </c>
      <c r="AU45" s="16">
        <f t="shared" si="10"/>
        <v>6446562.2457600003</v>
      </c>
      <c r="AV45" s="16">
        <f t="shared" si="11"/>
        <v>6453868.5120000001</v>
      </c>
      <c r="AW45" s="16">
        <f t="shared" si="12"/>
        <v>220920</v>
      </c>
      <c r="AX45" s="16" t="s">
        <v>91</v>
      </c>
      <c r="AY45" s="17"/>
      <c r="AZ45" s="17">
        <f t="shared" si="13"/>
        <v>0</v>
      </c>
      <c r="BA45" s="16">
        <f t="shared" si="14"/>
        <v>5302080</v>
      </c>
      <c r="BB45" s="16">
        <f t="shared" si="15"/>
        <v>5302080</v>
      </c>
      <c r="BC45" s="15">
        <v>0.03</v>
      </c>
      <c r="BD45" s="15">
        <v>0.01</v>
      </c>
      <c r="BE45" s="37">
        <f t="shared" si="16"/>
        <v>510325.19999999995</v>
      </c>
      <c r="BF45" s="38">
        <f t="shared" si="17"/>
        <v>314811</v>
      </c>
      <c r="BG45" s="37">
        <f t="shared" si="24"/>
        <v>259800</v>
      </c>
      <c r="BH45" s="37">
        <f t="shared" si="18"/>
        <v>276150</v>
      </c>
      <c r="BI45">
        <v>259800</v>
      </c>
      <c r="BL45" s="8">
        <f t="shared" si="19"/>
        <v>0</v>
      </c>
      <c r="BM45" s="7" t="str">
        <f t="shared" si="28"/>
        <v>Terdaftar BPJS Kes &amp; Naker</v>
      </c>
      <c r="BN45" s="11">
        <f t="shared" si="29"/>
        <v>314811</v>
      </c>
      <c r="BO45" s="11">
        <f t="shared" si="30"/>
        <v>250744.2</v>
      </c>
      <c r="BP45" s="9">
        <f t="shared" si="23"/>
        <v>0</v>
      </c>
      <c r="BQ45" t="str">
        <f>_xlfn.XLOOKUP(X45,'[2]NON TETAP'!$H:$H,'[2]NON TETAP'!$I:$I)</f>
        <v>GRAMEDIA ASRI MEDIA</v>
      </c>
    </row>
    <row r="46" spans="1:69" x14ac:dyDescent="0.3">
      <c r="A46" s="2">
        <v>45</v>
      </c>
      <c r="B46" s="5" t="s">
        <v>3905</v>
      </c>
      <c r="C46" s="6" t="s">
        <v>241</v>
      </c>
      <c r="D46" s="6"/>
      <c r="E46" s="6" t="s">
        <v>73</v>
      </c>
      <c r="F46" s="6" t="s">
        <v>73</v>
      </c>
      <c r="G46" s="6"/>
      <c r="H46" s="6"/>
      <c r="I46" s="6"/>
      <c r="J46" s="6"/>
      <c r="K46" s="6">
        <v>800063</v>
      </c>
      <c r="L46" s="6"/>
      <c r="M46" s="6">
        <v>24045771359</v>
      </c>
      <c r="N46" s="46" t="s">
        <v>3904</v>
      </c>
      <c r="O46" s="6">
        <v>1806716553</v>
      </c>
      <c r="P46" s="78" t="s">
        <v>3903</v>
      </c>
      <c r="Q46" s="6">
        <v>10150</v>
      </c>
      <c r="R46" s="6">
        <v>27150</v>
      </c>
      <c r="S46" s="5" t="str">
        <f>VLOOKUP(T46,'[1]Kode Posisi'!$A$3:$B$45,2,)</f>
        <v>Outsourcing Keamanan</v>
      </c>
      <c r="T46" s="36" t="s">
        <v>37</v>
      </c>
      <c r="U46" s="44" t="s">
        <v>1190</v>
      </c>
      <c r="V46" s="44" t="s">
        <v>3902</v>
      </c>
      <c r="W46" s="36" t="s">
        <v>1188</v>
      </c>
      <c r="X46" s="36" t="s">
        <v>1187</v>
      </c>
      <c r="Y46" s="36" t="s">
        <v>52</v>
      </c>
      <c r="Z46" s="79" t="s">
        <v>3901</v>
      </c>
      <c r="AA46" s="36" t="s">
        <v>3900</v>
      </c>
      <c r="AB46" s="47">
        <v>5523000</v>
      </c>
      <c r="AC46" s="41">
        <v>5523000</v>
      </c>
      <c r="AD46" s="47">
        <v>5196000</v>
      </c>
      <c r="AE46" s="16">
        <f t="shared" si="25"/>
        <v>327000</v>
      </c>
      <c r="AF46" s="16">
        <v>0</v>
      </c>
      <c r="AG46" s="16">
        <v>0</v>
      </c>
      <c r="AH46" s="16"/>
      <c r="AI46" s="16">
        <v>0</v>
      </c>
      <c r="AJ46" s="16"/>
      <c r="AK46" s="16">
        <v>0</v>
      </c>
      <c r="AL46" s="11">
        <f t="shared" si="1"/>
        <v>5523000</v>
      </c>
      <c r="AM46" s="16">
        <f t="shared" si="2"/>
        <v>565555.19999999995</v>
      </c>
      <c r="AN46" s="16">
        <f t="shared" si="3"/>
        <v>220920</v>
      </c>
      <c r="AO46" s="16">
        <f t="shared" si="27"/>
        <v>344635.2</v>
      </c>
      <c r="AP46" s="16">
        <f t="shared" si="5"/>
        <v>204351</v>
      </c>
      <c r="AQ46" s="16">
        <f t="shared" si="6"/>
        <v>6088555.2000000002</v>
      </c>
      <c r="AR46" s="16">
        <f t="shared" si="26"/>
        <v>365313.31199999998</v>
      </c>
      <c r="AS46" s="16">
        <f t="shared" si="8"/>
        <v>40184.464319999999</v>
      </c>
      <c r="AT46" s="16">
        <f t="shared" si="9"/>
        <v>-7306.2662399999999</v>
      </c>
      <c r="AU46" s="16">
        <f t="shared" si="10"/>
        <v>6446562.2457600003</v>
      </c>
      <c r="AV46" s="16">
        <f t="shared" si="11"/>
        <v>6453868.5120000001</v>
      </c>
      <c r="AW46" s="16">
        <f t="shared" si="12"/>
        <v>220920</v>
      </c>
      <c r="AX46" s="16" t="s">
        <v>319</v>
      </c>
      <c r="AY46" s="17"/>
      <c r="AZ46" s="17">
        <f t="shared" si="13"/>
        <v>0</v>
      </c>
      <c r="BA46" s="16">
        <f t="shared" si="14"/>
        <v>5302080</v>
      </c>
      <c r="BB46" s="16">
        <f t="shared" si="15"/>
        <v>5302080</v>
      </c>
      <c r="BC46" s="15">
        <v>0.03</v>
      </c>
      <c r="BD46" s="15">
        <v>0.01</v>
      </c>
      <c r="BE46" s="37">
        <f t="shared" si="16"/>
        <v>510325.19999999995</v>
      </c>
      <c r="BF46" s="38">
        <f t="shared" si="17"/>
        <v>314811</v>
      </c>
      <c r="BG46" s="37">
        <f t="shared" si="24"/>
        <v>259800</v>
      </c>
      <c r="BH46" s="37">
        <f t="shared" si="18"/>
        <v>276150</v>
      </c>
      <c r="BI46">
        <v>259800</v>
      </c>
      <c r="BL46" s="8">
        <f t="shared" si="19"/>
        <v>0</v>
      </c>
      <c r="BM46" s="7" t="str">
        <f t="shared" si="28"/>
        <v>Terdaftar BPJS Kes &amp; Naker</v>
      </c>
      <c r="BN46" s="11">
        <f t="shared" si="29"/>
        <v>314811</v>
      </c>
      <c r="BO46" s="11">
        <f t="shared" si="30"/>
        <v>250744.2</v>
      </c>
      <c r="BP46" s="9">
        <f t="shared" si="23"/>
        <v>0</v>
      </c>
      <c r="BQ46" t="str">
        <f>_xlfn.XLOOKUP(X46,'[2]NON TETAP'!$H:$H,'[2]NON TETAP'!$I:$I)</f>
        <v>GRAMEDIA ASRI MEDIA</v>
      </c>
    </row>
    <row r="47" spans="1:69" x14ac:dyDescent="0.3">
      <c r="A47" s="2">
        <v>46</v>
      </c>
      <c r="B47" s="5" t="s">
        <v>3899</v>
      </c>
      <c r="C47" s="6" t="s">
        <v>241</v>
      </c>
      <c r="D47" s="6"/>
      <c r="E47" s="6" t="s">
        <v>73</v>
      </c>
      <c r="F47" s="6" t="s">
        <v>73</v>
      </c>
      <c r="G47" s="6"/>
      <c r="H47" s="6"/>
      <c r="I47" s="6"/>
      <c r="J47" s="6"/>
      <c r="K47" s="6">
        <v>800064</v>
      </c>
      <c r="L47" s="6"/>
      <c r="M47" s="6">
        <v>25023140764</v>
      </c>
      <c r="N47" s="46" t="s">
        <v>3898</v>
      </c>
      <c r="O47" s="6">
        <v>1434795941</v>
      </c>
      <c r="P47" s="78" t="s">
        <v>3897</v>
      </c>
      <c r="Q47" s="6">
        <v>10150</v>
      </c>
      <c r="R47" s="6">
        <v>27150</v>
      </c>
      <c r="S47" s="5" t="str">
        <f>VLOOKUP(T47,'[1]Kode Posisi'!$A$3:$B$45,2,)</f>
        <v>Outsourcing Keamanan</v>
      </c>
      <c r="T47" s="36" t="s">
        <v>37</v>
      </c>
      <c r="U47" s="44" t="s">
        <v>1190</v>
      </c>
      <c r="V47" s="44" t="s">
        <v>3896</v>
      </c>
      <c r="W47" s="36" t="s">
        <v>1188</v>
      </c>
      <c r="X47" s="36" t="s">
        <v>1187</v>
      </c>
      <c r="Y47" s="36" t="s">
        <v>262</v>
      </c>
      <c r="Z47" s="79" t="s">
        <v>3895</v>
      </c>
      <c r="AA47" s="36" t="s">
        <v>3894</v>
      </c>
      <c r="AB47" s="47">
        <v>5523000</v>
      </c>
      <c r="AC47" s="41">
        <v>5523000</v>
      </c>
      <c r="AD47" s="47">
        <v>5196000</v>
      </c>
      <c r="AE47" s="16">
        <f t="shared" si="25"/>
        <v>327000</v>
      </c>
      <c r="AF47" s="16">
        <v>0</v>
      </c>
      <c r="AG47" s="16">
        <v>0</v>
      </c>
      <c r="AH47" s="16"/>
      <c r="AI47" s="16">
        <v>0</v>
      </c>
      <c r="AJ47" s="16"/>
      <c r="AK47" s="16">
        <v>0</v>
      </c>
      <c r="AL47" s="11">
        <f t="shared" si="1"/>
        <v>5523000</v>
      </c>
      <c r="AM47" s="16">
        <f t="shared" si="2"/>
        <v>565555.19999999995</v>
      </c>
      <c r="AN47" s="16">
        <f t="shared" si="3"/>
        <v>220920</v>
      </c>
      <c r="AO47" s="16">
        <f t="shared" si="27"/>
        <v>344635.2</v>
      </c>
      <c r="AP47" s="16">
        <f t="shared" si="5"/>
        <v>204351</v>
      </c>
      <c r="AQ47" s="16">
        <f t="shared" si="6"/>
        <v>6088555.2000000002</v>
      </c>
      <c r="AR47" s="16">
        <f t="shared" si="26"/>
        <v>365313.31199999998</v>
      </c>
      <c r="AS47" s="16">
        <f t="shared" si="8"/>
        <v>40184.464319999999</v>
      </c>
      <c r="AT47" s="16">
        <f t="shared" si="9"/>
        <v>-7306.2662399999999</v>
      </c>
      <c r="AU47" s="16">
        <f t="shared" si="10"/>
        <v>6446562.2457600003</v>
      </c>
      <c r="AV47" s="16">
        <f t="shared" si="11"/>
        <v>6453868.5120000001</v>
      </c>
      <c r="AW47" s="16">
        <f t="shared" si="12"/>
        <v>220920</v>
      </c>
      <c r="AX47" s="16" t="s">
        <v>243</v>
      </c>
      <c r="AY47" s="17"/>
      <c r="AZ47" s="17">
        <f t="shared" si="13"/>
        <v>2900</v>
      </c>
      <c r="BA47" s="16">
        <f t="shared" si="14"/>
        <v>5302080</v>
      </c>
      <c r="BB47" s="16">
        <f t="shared" si="15"/>
        <v>5299180</v>
      </c>
      <c r="BC47" s="15">
        <v>0.03</v>
      </c>
      <c r="BD47" s="15">
        <v>0.01</v>
      </c>
      <c r="BE47" s="37">
        <f t="shared" si="16"/>
        <v>510325.19999999995</v>
      </c>
      <c r="BF47" s="38">
        <f t="shared" si="17"/>
        <v>314811</v>
      </c>
      <c r="BG47" s="37">
        <f t="shared" si="24"/>
        <v>259800</v>
      </c>
      <c r="BH47" s="37">
        <f t="shared" si="18"/>
        <v>276150</v>
      </c>
      <c r="BI47">
        <v>259800</v>
      </c>
      <c r="BL47" s="8">
        <f t="shared" si="19"/>
        <v>0</v>
      </c>
      <c r="BM47" s="7" t="str">
        <f t="shared" si="28"/>
        <v>Terdaftar BPJS Kes &amp; Naker</v>
      </c>
      <c r="BN47" s="11">
        <f t="shared" si="29"/>
        <v>314811</v>
      </c>
      <c r="BO47" s="11">
        <f t="shared" si="30"/>
        <v>250744.2</v>
      </c>
      <c r="BP47" s="9">
        <f t="shared" si="23"/>
        <v>0</v>
      </c>
      <c r="BQ47" t="str">
        <f>_xlfn.XLOOKUP(X47,'[2]NON TETAP'!$H:$H,'[2]NON TETAP'!$I:$I)</f>
        <v>GRAMEDIA ASRI MEDIA</v>
      </c>
    </row>
    <row r="48" spans="1:69" x14ac:dyDescent="0.3">
      <c r="A48" s="2">
        <v>47</v>
      </c>
      <c r="B48" s="5" t="s">
        <v>3889</v>
      </c>
      <c r="C48" s="6" t="s">
        <v>241</v>
      </c>
      <c r="D48" s="6"/>
      <c r="E48" s="6" t="s">
        <v>73</v>
      </c>
      <c r="F48" s="6" t="s">
        <v>73</v>
      </c>
      <c r="G48" s="6"/>
      <c r="H48" s="6"/>
      <c r="I48" s="6"/>
      <c r="J48" s="6"/>
      <c r="K48" s="6">
        <v>800065</v>
      </c>
      <c r="L48" s="6"/>
      <c r="M48" s="6">
        <v>25023140723</v>
      </c>
      <c r="N48" s="46" t="s">
        <v>3893</v>
      </c>
      <c r="O48" s="6">
        <v>1124984013</v>
      </c>
      <c r="P48" s="78" t="s">
        <v>3892</v>
      </c>
      <c r="Q48" s="6">
        <v>10150</v>
      </c>
      <c r="R48" s="6">
        <v>27150</v>
      </c>
      <c r="S48" s="5" t="str">
        <f>VLOOKUP(T48,'[1]Kode Posisi'!$A$3:$B$45,2,)</f>
        <v>Outsourcing Keamanan</v>
      </c>
      <c r="T48" s="36" t="s">
        <v>37</v>
      </c>
      <c r="U48" s="44" t="s">
        <v>1190</v>
      </c>
      <c r="V48" s="44" t="s">
        <v>3891</v>
      </c>
      <c r="W48" s="36" t="s">
        <v>1188</v>
      </c>
      <c r="X48" s="36" t="s">
        <v>1187</v>
      </c>
      <c r="Y48" s="36" t="s">
        <v>1294</v>
      </c>
      <c r="Z48" s="79" t="s">
        <v>3890</v>
      </c>
      <c r="AA48" s="36" t="s">
        <v>3889</v>
      </c>
      <c r="AB48" s="47">
        <v>5523000</v>
      </c>
      <c r="AC48" s="41">
        <v>5523000</v>
      </c>
      <c r="AD48" s="47">
        <v>5196000</v>
      </c>
      <c r="AE48" s="16">
        <f t="shared" si="25"/>
        <v>327000</v>
      </c>
      <c r="AF48" s="16">
        <v>0</v>
      </c>
      <c r="AG48" s="16">
        <v>0</v>
      </c>
      <c r="AH48" s="16"/>
      <c r="AI48" s="16">
        <v>0</v>
      </c>
      <c r="AJ48" s="16"/>
      <c r="AK48" s="16">
        <v>0</v>
      </c>
      <c r="AL48" s="11">
        <f t="shared" si="1"/>
        <v>5523000</v>
      </c>
      <c r="AM48" s="16">
        <f t="shared" si="2"/>
        <v>565555.19999999995</v>
      </c>
      <c r="AN48" s="16">
        <f t="shared" si="3"/>
        <v>220920</v>
      </c>
      <c r="AO48" s="16">
        <f t="shared" si="27"/>
        <v>344635.2</v>
      </c>
      <c r="AP48" s="16">
        <f t="shared" si="5"/>
        <v>204351</v>
      </c>
      <c r="AQ48" s="16">
        <f t="shared" si="6"/>
        <v>6088555.2000000002</v>
      </c>
      <c r="AR48" s="16">
        <f t="shared" si="26"/>
        <v>365313.31199999998</v>
      </c>
      <c r="AS48" s="16">
        <f t="shared" si="8"/>
        <v>40184.464319999999</v>
      </c>
      <c r="AT48" s="16">
        <f t="shared" si="9"/>
        <v>-7306.2662399999999</v>
      </c>
      <c r="AU48" s="16">
        <f t="shared" si="10"/>
        <v>6446562.2457600003</v>
      </c>
      <c r="AV48" s="16">
        <f t="shared" si="11"/>
        <v>6453868.5120000001</v>
      </c>
      <c r="AW48" s="16">
        <f t="shared" si="12"/>
        <v>220920</v>
      </c>
      <c r="AX48" s="16" t="s">
        <v>286</v>
      </c>
      <c r="AY48" s="17"/>
      <c r="AZ48" s="17">
        <f t="shared" si="13"/>
        <v>2900</v>
      </c>
      <c r="BA48" s="16">
        <f t="shared" si="14"/>
        <v>5302080</v>
      </c>
      <c r="BB48" s="16">
        <f t="shared" si="15"/>
        <v>5299180</v>
      </c>
      <c r="BC48" s="15">
        <v>0.03</v>
      </c>
      <c r="BD48" s="15">
        <v>0.01</v>
      </c>
      <c r="BE48" s="37">
        <f t="shared" si="16"/>
        <v>510325.19999999995</v>
      </c>
      <c r="BF48" s="38">
        <f t="shared" si="17"/>
        <v>314811</v>
      </c>
      <c r="BG48" s="37">
        <f t="shared" si="24"/>
        <v>259800</v>
      </c>
      <c r="BH48" s="37">
        <f t="shared" si="18"/>
        <v>276150</v>
      </c>
      <c r="BI48">
        <v>259800</v>
      </c>
      <c r="BL48" s="8">
        <f t="shared" si="19"/>
        <v>0</v>
      </c>
      <c r="BM48" s="7" t="str">
        <f t="shared" si="28"/>
        <v>Terdaftar BPJS Kes &amp; Naker</v>
      </c>
      <c r="BN48" s="11">
        <f t="shared" si="29"/>
        <v>314811</v>
      </c>
      <c r="BO48" s="11">
        <f t="shared" si="30"/>
        <v>250744.2</v>
      </c>
      <c r="BP48" s="9">
        <f t="shared" si="23"/>
        <v>0</v>
      </c>
      <c r="BQ48" t="str">
        <f>_xlfn.XLOOKUP(X48,'[2]NON TETAP'!$H:$H,'[2]NON TETAP'!$I:$I)</f>
        <v>GRAMEDIA ASRI MEDIA</v>
      </c>
    </row>
    <row r="49" spans="1:69" x14ac:dyDescent="0.3">
      <c r="A49" s="2">
        <v>48</v>
      </c>
      <c r="B49" s="5" t="s">
        <v>3883</v>
      </c>
      <c r="C49" s="6" t="s">
        <v>241</v>
      </c>
      <c r="D49" s="6"/>
      <c r="E49" s="6" t="s">
        <v>73</v>
      </c>
      <c r="F49" s="6" t="s">
        <v>73</v>
      </c>
      <c r="G49" s="6"/>
      <c r="H49" s="6"/>
      <c r="I49" s="16">
        <v>151000</v>
      </c>
      <c r="J49" s="6" t="s">
        <v>3888</v>
      </c>
      <c r="K49" s="6">
        <v>800067</v>
      </c>
      <c r="L49" s="6"/>
      <c r="M49" s="6">
        <v>25023140632</v>
      </c>
      <c r="N49" s="46" t="s">
        <v>3887</v>
      </c>
      <c r="O49" s="6">
        <v>153338916</v>
      </c>
      <c r="P49" s="78" t="s">
        <v>3886</v>
      </c>
      <c r="Q49" s="6">
        <v>10159</v>
      </c>
      <c r="R49" s="6">
        <v>27159</v>
      </c>
      <c r="S49" s="5" t="str">
        <f>VLOOKUP(T49,'[1]Kode Posisi'!$A$3:$B$45,2,)</f>
        <v>Outsourcing Keamanan</v>
      </c>
      <c r="T49" s="36" t="s">
        <v>37</v>
      </c>
      <c r="U49" s="44" t="s">
        <v>2759</v>
      </c>
      <c r="V49" s="44" t="s">
        <v>3885</v>
      </c>
      <c r="W49" s="36" t="s">
        <v>2757</v>
      </c>
      <c r="X49" s="36" t="s">
        <v>2756</v>
      </c>
      <c r="Y49" s="36" t="s">
        <v>52</v>
      </c>
      <c r="Z49" s="79" t="s">
        <v>3884</v>
      </c>
      <c r="AA49" s="36" t="s">
        <v>3883</v>
      </c>
      <c r="AB49" s="47">
        <v>4286000</v>
      </c>
      <c r="AC49" s="47">
        <v>4437000</v>
      </c>
      <c r="AD49" s="47">
        <v>4286000</v>
      </c>
      <c r="AE49" s="16">
        <f t="shared" si="25"/>
        <v>0</v>
      </c>
      <c r="AF49" s="16">
        <v>0</v>
      </c>
      <c r="AG49" s="16">
        <v>0</v>
      </c>
      <c r="AH49" s="16"/>
      <c r="AI49" s="16">
        <v>0</v>
      </c>
      <c r="AJ49" s="16"/>
      <c r="AK49" s="16">
        <v>0</v>
      </c>
      <c r="AL49" s="11">
        <f t="shared" si="1"/>
        <v>4286000</v>
      </c>
      <c r="AM49" s="16">
        <f t="shared" si="2"/>
        <v>454348.79999999999</v>
      </c>
      <c r="AN49" s="16">
        <f t="shared" si="3"/>
        <v>177480</v>
      </c>
      <c r="AO49" s="16">
        <f t="shared" si="27"/>
        <v>276868.8</v>
      </c>
      <c r="AP49" s="16">
        <f t="shared" si="5"/>
        <v>158582</v>
      </c>
      <c r="AQ49" s="16">
        <f t="shared" si="6"/>
        <v>4740348.8</v>
      </c>
      <c r="AR49" s="16">
        <f t="shared" si="26"/>
        <v>284420.92799999996</v>
      </c>
      <c r="AS49" s="16">
        <f t="shared" si="8"/>
        <v>31286.302079999994</v>
      </c>
      <c r="AT49" s="16">
        <f t="shared" si="9"/>
        <v>-5688.4185599999992</v>
      </c>
      <c r="AU49" s="16">
        <f t="shared" si="10"/>
        <v>5019081.30944</v>
      </c>
      <c r="AV49" s="16">
        <f t="shared" si="11"/>
        <v>5024769.7280000001</v>
      </c>
      <c r="AW49" s="16">
        <f t="shared" si="12"/>
        <v>177480</v>
      </c>
      <c r="AX49" s="16" t="s">
        <v>235</v>
      </c>
      <c r="AY49" s="17"/>
      <c r="AZ49" s="17">
        <f t="shared" si="13"/>
        <v>0</v>
      </c>
      <c r="BA49" s="16">
        <f t="shared" si="14"/>
        <v>4108520</v>
      </c>
      <c r="BB49" s="16">
        <f t="shared" si="15"/>
        <v>4108520</v>
      </c>
      <c r="BC49" s="15">
        <v>0.03</v>
      </c>
      <c r="BD49" s="15">
        <v>0.01</v>
      </c>
      <c r="BE49" s="37">
        <f t="shared" si="16"/>
        <v>409978.8</v>
      </c>
      <c r="BF49" s="38">
        <f t="shared" si="17"/>
        <v>252909</v>
      </c>
      <c r="BG49" s="37">
        <f t="shared" si="24"/>
        <v>214300</v>
      </c>
      <c r="BH49" s="37">
        <f t="shared" si="18"/>
        <v>221850</v>
      </c>
      <c r="BI49">
        <v>214300</v>
      </c>
      <c r="BL49" s="8">
        <f t="shared" si="19"/>
        <v>0</v>
      </c>
      <c r="BM49" s="7" t="str">
        <f t="shared" si="28"/>
        <v>Terdaftar BPJS Kes &amp; Naker</v>
      </c>
      <c r="BN49" s="11">
        <f t="shared" si="29"/>
        <v>252909</v>
      </c>
      <c r="BO49" s="11">
        <f t="shared" si="30"/>
        <v>201439.80000000002</v>
      </c>
      <c r="BP49" s="9">
        <f t="shared" si="23"/>
        <v>0</v>
      </c>
      <c r="BQ49" t="str">
        <f>_xlfn.XLOOKUP(X49,'[2]NON TETAP'!$H:$H,'[2]NON TETAP'!$I:$I)</f>
        <v>GRAMEDIA ASRI MEDIA</v>
      </c>
    </row>
    <row r="50" spans="1:69" x14ac:dyDescent="0.3">
      <c r="A50" s="2">
        <v>49</v>
      </c>
      <c r="B50" s="5" t="s">
        <v>3882</v>
      </c>
      <c r="C50" s="6" t="s">
        <v>241</v>
      </c>
      <c r="D50" s="6"/>
      <c r="E50" s="6" t="s">
        <v>73</v>
      </c>
      <c r="F50" s="6" t="s">
        <v>73</v>
      </c>
      <c r="G50" s="6"/>
      <c r="H50" s="6"/>
      <c r="I50" s="16">
        <v>151000</v>
      </c>
      <c r="J50" s="6"/>
      <c r="K50" s="6">
        <v>800068</v>
      </c>
      <c r="L50" s="6"/>
      <c r="M50" s="6">
        <v>25023140731</v>
      </c>
      <c r="N50" s="46" t="s">
        <v>3881</v>
      </c>
      <c r="O50" s="6">
        <v>724651097</v>
      </c>
      <c r="P50" s="78" t="s">
        <v>3880</v>
      </c>
      <c r="Q50" s="6">
        <v>10159</v>
      </c>
      <c r="R50" s="6">
        <v>27159</v>
      </c>
      <c r="S50" s="5" t="str">
        <f>VLOOKUP(T50,'[1]Kode Posisi'!$A$3:$B$45,2,)</f>
        <v>Outsourcing Keamanan</v>
      </c>
      <c r="T50" s="36" t="s">
        <v>37</v>
      </c>
      <c r="U50" s="44" t="s">
        <v>2759</v>
      </c>
      <c r="V50" s="44" t="s">
        <v>3879</v>
      </c>
      <c r="W50" s="36" t="s">
        <v>2757</v>
      </c>
      <c r="X50" s="36" t="s">
        <v>2756</v>
      </c>
      <c r="Y50" s="36" t="s">
        <v>52</v>
      </c>
      <c r="Z50" s="79" t="s">
        <v>3878</v>
      </c>
      <c r="AA50" s="36" t="s">
        <v>3877</v>
      </c>
      <c r="AB50" s="47">
        <v>4286000</v>
      </c>
      <c r="AC50" s="47">
        <v>4437000</v>
      </c>
      <c r="AD50" s="47">
        <v>4286000</v>
      </c>
      <c r="AE50" s="16">
        <f t="shared" si="25"/>
        <v>0</v>
      </c>
      <c r="AF50" s="16">
        <v>0</v>
      </c>
      <c r="AG50" s="16">
        <v>0</v>
      </c>
      <c r="AH50" s="16"/>
      <c r="AI50" s="16">
        <v>0</v>
      </c>
      <c r="AJ50" s="16"/>
      <c r="AK50" s="16">
        <v>0</v>
      </c>
      <c r="AL50" s="11">
        <f t="shared" si="1"/>
        <v>4286000</v>
      </c>
      <c r="AM50" s="16">
        <f t="shared" si="2"/>
        <v>454348.79999999999</v>
      </c>
      <c r="AN50" s="16">
        <f t="shared" si="3"/>
        <v>177480</v>
      </c>
      <c r="AO50" s="16">
        <f t="shared" si="27"/>
        <v>276868.8</v>
      </c>
      <c r="AP50" s="16">
        <f t="shared" si="5"/>
        <v>158582</v>
      </c>
      <c r="AQ50" s="16">
        <f t="shared" si="6"/>
        <v>4740348.8</v>
      </c>
      <c r="AR50" s="16">
        <f t="shared" si="26"/>
        <v>284420.92799999996</v>
      </c>
      <c r="AS50" s="16">
        <f t="shared" si="8"/>
        <v>31286.302079999994</v>
      </c>
      <c r="AT50" s="16">
        <f t="shared" si="9"/>
        <v>-5688.4185599999992</v>
      </c>
      <c r="AU50" s="16">
        <f t="shared" si="10"/>
        <v>5019081.30944</v>
      </c>
      <c r="AV50" s="16">
        <f t="shared" si="11"/>
        <v>5024769.7280000001</v>
      </c>
      <c r="AW50" s="16">
        <f t="shared" si="12"/>
        <v>177480</v>
      </c>
      <c r="AX50" s="16" t="s">
        <v>235</v>
      </c>
      <c r="AY50" s="17"/>
      <c r="AZ50" s="17">
        <f t="shared" si="13"/>
        <v>0</v>
      </c>
      <c r="BA50" s="16">
        <f t="shared" si="14"/>
        <v>4108520</v>
      </c>
      <c r="BB50" s="16">
        <f t="shared" si="15"/>
        <v>4108520</v>
      </c>
      <c r="BC50" s="15">
        <v>0.03</v>
      </c>
      <c r="BD50" s="15">
        <v>0.01</v>
      </c>
      <c r="BE50" s="37">
        <f t="shared" si="16"/>
        <v>409978.8</v>
      </c>
      <c r="BF50" s="38">
        <f t="shared" si="17"/>
        <v>252909</v>
      </c>
      <c r="BG50" s="37">
        <f t="shared" si="24"/>
        <v>214300</v>
      </c>
      <c r="BH50" s="37">
        <f t="shared" si="18"/>
        <v>221850</v>
      </c>
      <c r="BI50">
        <v>214300</v>
      </c>
      <c r="BL50" s="8">
        <f t="shared" si="19"/>
        <v>0</v>
      </c>
      <c r="BM50" s="7" t="str">
        <f t="shared" si="28"/>
        <v>Terdaftar BPJS Kes &amp; Naker</v>
      </c>
      <c r="BN50" s="11">
        <f t="shared" si="29"/>
        <v>252909</v>
      </c>
      <c r="BO50" s="11">
        <f t="shared" si="30"/>
        <v>201439.80000000002</v>
      </c>
      <c r="BP50" s="9">
        <f t="shared" si="23"/>
        <v>0</v>
      </c>
      <c r="BQ50" t="str">
        <f>_xlfn.XLOOKUP(X50,'[2]NON TETAP'!$H:$H,'[2]NON TETAP'!$I:$I)</f>
        <v>GRAMEDIA ASRI MEDIA</v>
      </c>
    </row>
    <row r="51" spans="1:69" x14ac:dyDescent="0.3">
      <c r="A51" s="2">
        <v>50</v>
      </c>
      <c r="B51" s="5" t="s">
        <v>3872</v>
      </c>
      <c r="C51" s="6" t="s">
        <v>241</v>
      </c>
      <c r="D51" s="6"/>
      <c r="E51" s="6" t="s">
        <v>73</v>
      </c>
      <c r="F51" s="6" t="s">
        <v>73</v>
      </c>
      <c r="G51" s="6"/>
      <c r="H51" s="6"/>
      <c r="I51" s="16">
        <v>151000</v>
      </c>
      <c r="J51" s="6"/>
      <c r="K51" s="6">
        <v>800070</v>
      </c>
      <c r="L51" s="6"/>
      <c r="M51" s="6">
        <v>25023140772</v>
      </c>
      <c r="N51" s="46" t="s">
        <v>3876</v>
      </c>
      <c r="O51" s="6">
        <v>3261585565</v>
      </c>
      <c r="P51" s="78" t="s">
        <v>3875</v>
      </c>
      <c r="Q51" s="6">
        <v>10159</v>
      </c>
      <c r="R51" s="6">
        <v>27159</v>
      </c>
      <c r="S51" s="5" t="str">
        <f>VLOOKUP(T51,'[1]Kode Posisi'!$A$3:$B$45,2,)</f>
        <v>Outsourcing Keamanan</v>
      </c>
      <c r="T51" s="36" t="s">
        <v>37</v>
      </c>
      <c r="U51" s="44" t="s">
        <v>2759</v>
      </c>
      <c r="V51" s="44" t="s">
        <v>3874</v>
      </c>
      <c r="W51" s="36" t="s">
        <v>2757</v>
      </c>
      <c r="X51" s="36" t="s">
        <v>2756</v>
      </c>
      <c r="Y51" s="36" t="s">
        <v>1294</v>
      </c>
      <c r="Z51" s="79" t="s">
        <v>3873</v>
      </c>
      <c r="AA51" s="36" t="s">
        <v>3872</v>
      </c>
      <c r="AB51" s="47">
        <v>4286000</v>
      </c>
      <c r="AC51" s="47">
        <v>4437000</v>
      </c>
      <c r="AD51" s="47">
        <v>4286000</v>
      </c>
      <c r="AE51" s="16">
        <f t="shared" si="25"/>
        <v>0</v>
      </c>
      <c r="AF51" s="16">
        <v>0</v>
      </c>
      <c r="AG51" s="16">
        <v>0</v>
      </c>
      <c r="AH51" s="16"/>
      <c r="AI51" s="16">
        <v>0</v>
      </c>
      <c r="AJ51" s="16"/>
      <c r="AK51" s="16">
        <v>0</v>
      </c>
      <c r="AL51" s="11">
        <f t="shared" si="1"/>
        <v>4286000</v>
      </c>
      <c r="AM51" s="16">
        <f t="shared" si="2"/>
        <v>454348.79999999999</v>
      </c>
      <c r="AN51" s="16">
        <f t="shared" si="3"/>
        <v>177480</v>
      </c>
      <c r="AO51" s="16">
        <f t="shared" si="27"/>
        <v>276868.8</v>
      </c>
      <c r="AP51" s="16">
        <f t="shared" si="5"/>
        <v>158582</v>
      </c>
      <c r="AQ51" s="16">
        <f t="shared" si="6"/>
        <v>4740348.8</v>
      </c>
      <c r="AR51" s="16">
        <f t="shared" si="26"/>
        <v>284420.92799999996</v>
      </c>
      <c r="AS51" s="16">
        <f t="shared" si="8"/>
        <v>31286.302079999994</v>
      </c>
      <c r="AT51" s="16">
        <f t="shared" si="9"/>
        <v>-5688.4185599999992</v>
      </c>
      <c r="AU51" s="16">
        <f t="shared" si="10"/>
        <v>5019081.30944</v>
      </c>
      <c r="AV51" s="16">
        <f t="shared" si="11"/>
        <v>5024769.7280000001</v>
      </c>
      <c r="AW51" s="16">
        <f t="shared" si="12"/>
        <v>177480</v>
      </c>
      <c r="AX51" s="16" t="s">
        <v>91</v>
      </c>
      <c r="AY51" s="17"/>
      <c r="AZ51" s="17">
        <f t="shared" si="13"/>
        <v>2900</v>
      </c>
      <c r="BA51" s="16">
        <f t="shared" si="14"/>
        <v>4108520</v>
      </c>
      <c r="BB51" s="16">
        <f t="shared" si="15"/>
        <v>4105620</v>
      </c>
      <c r="BC51" s="15">
        <v>0.03</v>
      </c>
      <c r="BD51" s="15">
        <v>0.01</v>
      </c>
      <c r="BE51" s="37">
        <f t="shared" si="16"/>
        <v>409978.8</v>
      </c>
      <c r="BF51" s="38">
        <f t="shared" si="17"/>
        <v>252909</v>
      </c>
      <c r="BG51" s="37">
        <f t="shared" si="24"/>
        <v>214300</v>
      </c>
      <c r="BH51" s="37">
        <f t="shared" si="18"/>
        <v>221850</v>
      </c>
      <c r="BI51">
        <v>214300</v>
      </c>
      <c r="BL51" s="8">
        <f t="shared" si="19"/>
        <v>0</v>
      </c>
      <c r="BM51" s="7" t="str">
        <f t="shared" si="28"/>
        <v>Terdaftar BPJS Kes &amp; Naker</v>
      </c>
      <c r="BN51" s="11">
        <f t="shared" si="29"/>
        <v>252909</v>
      </c>
      <c r="BO51" s="11">
        <f t="shared" si="30"/>
        <v>201439.80000000002</v>
      </c>
      <c r="BP51" s="9">
        <f t="shared" si="23"/>
        <v>0</v>
      </c>
      <c r="BQ51" t="str">
        <f>_xlfn.XLOOKUP(X51,'[2]NON TETAP'!$H:$H,'[2]NON TETAP'!$I:$I)</f>
        <v>GRAMEDIA ASRI MEDIA</v>
      </c>
    </row>
    <row r="52" spans="1:69" x14ac:dyDescent="0.3">
      <c r="A52" s="2">
        <v>51</v>
      </c>
      <c r="B52" s="5" t="s">
        <v>3867</v>
      </c>
      <c r="C52" s="6" t="s">
        <v>241</v>
      </c>
      <c r="D52" s="6"/>
      <c r="E52" s="6" t="s">
        <v>73</v>
      </c>
      <c r="F52" s="6" t="s">
        <v>73</v>
      </c>
      <c r="G52" s="6"/>
      <c r="H52" s="6"/>
      <c r="I52" s="16">
        <v>151000</v>
      </c>
      <c r="J52" s="6"/>
      <c r="K52" s="6">
        <v>800071</v>
      </c>
      <c r="L52" s="6"/>
      <c r="M52" s="6">
        <v>25023140780</v>
      </c>
      <c r="N52" s="46" t="s">
        <v>3871</v>
      </c>
      <c r="O52" s="6">
        <v>701913958</v>
      </c>
      <c r="P52" s="78" t="s">
        <v>3870</v>
      </c>
      <c r="Q52" s="6">
        <v>10159</v>
      </c>
      <c r="R52" s="6">
        <v>27159</v>
      </c>
      <c r="S52" s="5" t="str">
        <f>VLOOKUP(T52,'[1]Kode Posisi'!$A$3:$B$45,2,)</f>
        <v>Outsourcing Keamanan</v>
      </c>
      <c r="T52" s="36" t="s">
        <v>37</v>
      </c>
      <c r="U52" s="44" t="s">
        <v>2759</v>
      </c>
      <c r="V52" s="44" t="s">
        <v>3869</v>
      </c>
      <c r="W52" s="36" t="s">
        <v>2757</v>
      </c>
      <c r="X52" s="36" t="s">
        <v>2756</v>
      </c>
      <c r="Y52" s="36" t="s">
        <v>1294</v>
      </c>
      <c r="Z52" s="79" t="s">
        <v>3868</v>
      </c>
      <c r="AA52" s="36" t="s">
        <v>3867</v>
      </c>
      <c r="AB52" s="47">
        <v>4286000</v>
      </c>
      <c r="AC52" s="47">
        <v>4437000</v>
      </c>
      <c r="AD52" s="47">
        <v>4286000</v>
      </c>
      <c r="AE52" s="16">
        <f t="shared" si="25"/>
        <v>0</v>
      </c>
      <c r="AF52" s="16">
        <v>0</v>
      </c>
      <c r="AG52" s="16">
        <v>0</v>
      </c>
      <c r="AH52" s="16"/>
      <c r="AI52" s="16">
        <v>0</v>
      </c>
      <c r="AJ52" s="16"/>
      <c r="AK52" s="16">
        <v>0</v>
      </c>
      <c r="AL52" s="11">
        <f t="shared" si="1"/>
        <v>4286000</v>
      </c>
      <c r="AM52" s="16">
        <f t="shared" si="2"/>
        <v>454348.79999999999</v>
      </c>
      <c r="AN52" s="16">
        <f t="shared" si="3"/>
        <v>177480</v>
      </c>
      <c r="AO52" s="16">
        <f t="shared" si="27"/>
        <v>276868.8</v>
      </c>
      <c r="AP52" s="16">
        <f t="shared" si="5"/>
        <v>158582</v>
      </c>
      <c r="AQ52" s="16">
        <f t="shared" si="6"/>
        <v>4740348.8</v>
      </c>
      <c r="AR52" s="16">
        <f t="shared" si="26"/>
        <v>284420.92799999996</v>
      </c>
      <c r="AS52" s="16">
        <f t="shared" si="8"/>
        <v>31286.302079999994</v>
      </c>
      <c r="AT52" s="16">
        <f t="shared" si="9"/>
        <v>-5688.4185599999992</v>
      </c>
      <c r="AU52" s="16">
        <f t="shared" si="10"/>
        <v>5019081.30944</v>
      </c>
      <c r="AV52" s="16">
        <f t="shared" si="11"/>
        <v>5024769.7280000001</v>
      </c>
      <c r="AW52" s="16">
        <f t="shared" si="12"/>
        <v>177480</v>
      </c>
      <c r="AX52" s="16" t="s">
        <v>91</v>
      </c>
      <c r="AY52" s="17"/>
      <c r="AZ52" s="17">
        <f t="shared" si="13"/>
        <v>2900</v>
      </c>
      <c r="BA52" s="16">
        <f t="shared" si="14"/>
        <v>4108520</v>
      </c>
      <c r="BB52" s="16">
        <f t="shared" si="15"/>
        <v>4105620</v>
      </c>
      <c r="BC52" s="15">
        <v>0.03</v>
      </c>
      <c r="BD52" s="15">
        <v>0.01</v>
      </c>
      <c r="BE52" s="37">
        <f t="shared" si="16"/>
        <v>409978.8</v>
      </c>
      <c r="BF52" s="38">
        <f t="shared" si="17"/>
        <v>252909</v>
      </c>
      <c r="BG52" s="37">
        <f t="shared" si="24"/>
        <v>214300</v>
      </c>
      <c r="BH52" s="37">
        <f t="shared" si="18"/>
        <v>221850</v>
      </c>
      <c r="BI52">
        <v>214300</v>
      </c>
      <c r="BL52" s="8">
        <f t="shared" si="19"/>
        <v>0</v>
      </c>
      <c r="BM52" s="7" t="str">
        <f t="shared" si="28"/>
        <v>Terdaftar BPJS Kes &amp; Naker</v>
      </c>
      <c r="BN52" s="11">
        <f t="shared" si="29"/>
        <v>252909</v>
      </c>
      <c r="BO52" s="11">
        <f t="shared" si="30"/>
        <v>201439.80000000002</v>
      </c>
      <c r="BP52" s="9">
        <f t="shared" si="23"/>
        <v>0</v>
      </c>
      <c r="BQ52" t="str">
        <f>_xlfn.XLOOKUP(X52,'[2]NON TETAP'!$H:$H,'[2]NON TETAP'!$I:$I)</f>
        <v>GRAMEDIA ASRI MEDIA</v>
      </c>
    </row>
    <row r="53" spans="1:69" x14ac:dyDescent="0.3">
      <c r="A53" s="2">
        <v>52</v>
      </c>
      <c r="B53" s="5" t="s">
        <v>3866</v>
      </c>
      <c r="C53" s="6" t="s">
        <v>241</v>
      </c>
      <c r="D53" s="6"/>
      <c r="E53" s="6" t="s">
        <v>73</v>
      </c>
      <c r="F53" s="6" t="s">
        <v>73</v>
      </c>
      <c r="G53" s="6" t="s">
        <v>73</v>
      </c>
      <c r="H53" s="6"/>
      <c r="I53" s="6"/>
      <c r="J53" s="6"/>
      <c r="K53" s="6">
        <v>800073</v>
      </c>
      <c r="L53" s="6"/>
      <c r="M53" s="6">
        <v>25023140798</v>
      </c>
      <c r="N53" s="46" t="s">
        <v>3865</v>
      </c>
      <c r="O53" s="6">
        <v>871087127</v>
      </c>
      <c r="P53" s="78" t="s">
        <v>3864</v>
      </c>
      <c r="Q53" s="6">
        <v>10130</v>
      </c>
      <c r="R53" s="6">
        <v>27130</v>
      </c>
      <c r="S53" s="5" t="str">
        <f>VLOOKUP(T53,'[1]Kode Posisi'!$A$3:$B$45,2,)</f>
        <v>Outsourcing Keamanan</v>
      </c>
      <c r="T53" s="36" t="s">
        <v>37</v>
      </c>
      <c r="U53" s="44" t="s">
        <v>3853</v>
      </c>
      <c r="V53" s="44" t="s">
        <v>3863</v>
      </c>
      <c r="W53" s="36" t="s">
        <v>3851</v>
      </c>
      <c r="X53" s="36" t="s">
        <v>3850</v>
      </c>
      <c r="Y53" s="36" t="s">
        <v>473</v>
      </c>
      <c r="Z53" s="79" t="s">
        <v>3862</v>
      </c>
      <c r="AA53" s="36" t="s">
        <v>3861</v>
      </c>
      <c r="AB53" s="47">
        <v>2533000</v>
      </c>
      <c r="AC53" s="41">
        <v>2533000</v>
      </c>
      <c r="AD53" s="47">
        <v>2397000</v>
      </c>
      <c r="AE53" s="16">
        <f t="shared" si="25"/>
        <v>136000</v>
      </c>
      <c r="AF53" s="16">
        <v>0</v>
      </c>
      <c r="AG53" s="16">
        <v>0</v>
      </c>
      <c r="AH53" s="16"/>
      <c r="AI53" s="16">
        <v>0</v>
      </c>
      <c r="AJ53" s="16"/>
      <c r="AK53" s="16">
        <v>0</v>
      </c>
      <c r="AL53" s="11">
        <f t="shared" si="1"/>
        <v>2533000</v>
      </c>
      <c r="AM53" s="16">
        <f t="shared" si="2"/>
        <v>259379.19999999998</v>
      </c>
      <c r="AN53" s="16">
        <f t="shared" si="3"/>
        <v>101320</v>
      </c>
      <c r="AO53" s="16">
        <f t="shared" si="27"/>
        <v>158059.19999999998</v>
      </c>
      <c r="AP53" s="16">
        <f t="shared" si="5"/>
        <v>93721</v>
      </c>
      <c r="AQ53" s="16">
        <f t="shared" si="6"/>
        <v>2792379.2</v>
      </c>
      <c r="AR53" s="16">
        <f t="shared" si="26"/>
        <v>167542.75200000001</v>
      </c>
      <c r="AS53" s="16">
        <f t="shared" si="8"/>
        <v>18429.702720000001</v>
      </c>
      <c r="AT53" s="16">
        <f t="shared" si="9"/>
        <v>-3350.8550400000004</v>
      </c>
      <c r="AU53" s="16">
        <f t="shared" si="10"/>
        <v>2956571.0969600002</v>
      </c>
      <c r="AV53" s="16">
        <f t="shared" si="11"/>
        <v>2959921.952</v>
      </c>
      <c r="AW53" s="16">
        <f t="shared" si="12"/>
        <v>101320</v>
      </c>
      <c r="AX53" s="16" t="s">
        <v>243</v>
      </c>
      <c r="AY53" s="17"/>
      <c r="AZ53" s="17">
        <f t="shared" si="13"/>
        <v>2900</v>
      </c>
      <c r="BA53" s="16">
        <f t="shared" si="14"/>
        <v>2431680</v>
      </c>
      <c r="BB53" s="16">
        <f t="shared" si="15"/>
        <v>2428780</v>
      </c>
      <c r="BC53" s="15">
        <v>0.03</v>
      </c>
      <c r="BD53" s="15">
        <v>0.01</v>
      </c>
      <c r="BE53" s="37">
        <f t="shared" si="16"/>
        <v>234049.19999999998</v>
      </c>
      <c r="BF53" s="38">
        <f t="shared" si="17"/>
        <v>144381</v>
      </c>
      <c r="BG53" s="37">
        <f t="shared" si="24"/>
        <v>119850</v>
      </c>
      <c r="BH53" s="37">
        <f t="shared" si="18"/>
        <v>126650</v>
      </c>
      <c r="BI53">
        <v>119850</v>
      </c>
      <c r="BL53" s="8">
        <f t="shared" si="19"/>
        <v>0</v>
      </c>
      <c r="BM53" s="7" t="str">
        <f t="shared" si="28"/>
        <v>Terdaftar BPJS Kes &amp; Naker</v>
      </c>
      <c r="BN53" s="11">
        <f t="shared" si="29"/>
        <v>144381</v>
      </c>
      <c r="BO53" s="11">
        <f t="shared" si="30"/>
        <v>114998.20000000001</v>
      </c>
      <c r="BP53" s="9">
        <f t="shared" si="23"/>
        <v>0</v>
      </c>
      <c r="BQ53" t="str">
        <f>_xlfn.XLOOKUP(X53,'[2]NON TETAP'!$H:$H,'[2]NON TETAP'!$I:$I)</f>
        <v>GRAMEDIA ASRI MEDIA</v>
      </c>
    </row>
    <row r="54" spans="1:69" x14ac:dyDescent="0.3">
      <c r="A54" s="2">
        <v>53</v>
      </c>
      <c r="B54" s="4" t="s">
        <v>3856</v>
      </c>
      <c r="C54" s="6" t="s">
        <v>241</v>
      </c>
      <c r="D54" s="6"/>
      <c r="E54" s="6" t="s">
        <v>73</v>
      </c>
      <c r="F54" s="6" t="s">
        <v>73</v>
      </c>
      <c r="G54" s="6" t="s">
        <v>73</v>
      </c>
      <c r="H54" s="6"/>
      <c r="I54" s="2"/>
      <c r="J54" s="2"/>
      <c r="K54" s="6">
        <v>800074</v>
      </c>
      <c r="L54" s="6"/>
      <c r="M54" s="6">
        <v>25077450291</v>
      </c>
      <c r="N54" s="46" t="s">
        <v>3860</v>
      </c>
      <c r="O54" s="6">
        <v>150002436</v>
      </c>
      <c r="P54" s="78" t="s">
        <v>3859</v>
      </c>
      <c r="Q54" s="6">
        <v>10130</v>
      </c>
      <c r="R54" s="6">
        <v>27130</v>
      </c>
      <c r="S54" s="5" t="str">
        <f>VLOOKUP(T54,'[1]Kode Posisi'!$A$3:$B$45,2,)</f>
        <v>Outsourcing Keamanan</v>
      </c>
      <c r="T54" s="36" t="s">
        <v>37</v>
      </c>
      <c r="U54" s="44" t="s">
        <v>3853</v>
      </c>
      <c r="V54" s="44" t="s">
        <v>3858</v>
      </c>
      <c r="W54" s="36" t="s">
        <v>3851</v>
      </c>
      <c r="X54" s="36" t="s">
        <v>3850</v>
      </c>
      <c r="Y54" s="36" t="s">
        <v>473</v>
      </c>
      <c r="Z54" s="76" t="s">
        <v>3857</v>
      </c>
      <c r="AA54" s="36" t="s">
        <v>3856</v>
      </c>
      <c r="AB54" s="47">
        <v>2533000</v>
      </c>
      <c r="AC54" s="41">
        <v>2533000</v>
      </c>
      <c r="AD54" s="47">
        <v>2397000</v>
      </c>
      <c r="AE54" s="16">
        <f t="shared" si="25"/>
        <v>136000</v>
      </c>
      <c r="AF54" s="16">
        <v>0</v>
      </c>
      <c r="AG54" s="16">
        <v>0</v>
      </c>
      <c r="AH54" s="16"/>
      <c r="AI54" s="16">
        <v>0</v>
      </c>
      <c r="AJ54" s="16"/>
      <c r="AK54" s="16">
        <v>0</v>
      </c>
      <c r="AL54" s="11">
        <f t="shared" si="1"/>
        <v>2533000</v>
      </c>
      <c r="AM54" s="16">
        <f t="shared" si="2"/>
        <v>259379.19999999998</v>
      </c>
      <c r="AN54" s="16">
        <f t="shared" si="3"/>
        <v>101320</v>
      </c>
      <c r="AO54" s="16">
        <f t="shared" si="27"/>
        <v>158059.19999999998</v>
      </c>
      <c r="AP54" s="16">
        <f t="shared" si="5"/>
        <v>93721</v>
      </c>
      <c r="AQ54" s="16">
        <f t="shared" si="6"/>
        <v>2792379.2</v>
      </c>
      <c r="AR54" s="16">
        <f t="shared" si="26"/>
        <v>167542.75200000001</v>
      </c>
      <c r="AS54" s="16">
        <f t="shared" si="8"/>
        <v>18429.702720000001</v>
      </c>
      <c r="AT54" s="16">
        <f t="shared" si="9"/>
        <v>-3350.8550400000004</v>
      </c>
      <c r="AU54" s="16">
        <f t="shared" si="10"/>
        <v>2956571.0969600002</v>
      </c>
      <c r="AV54" s="16">
        <f t="shared" si="11"/>
        <v>2959921.952</v>
      </c>
      <c r="AW54" s="16">
        <f t="shared" si="12"/>
        <v>101320</v>
      </c>
      <c r="AX54" s="16" t="s">
        <v>319</v>
      </c>
      <c r="AY54" s="17"/>
      <c r="AZ54" s="17">
        <f t="shared" si="13"/>
        <v>2900</v>
      </c>
      <c r="BA54" s="16">
        <f t="shared" si="14"/>
        <v>2431680</v>
      </c>
      <c r="BB54" s="16">
        <f t="shared" si="15"/>
        <v>2428780</v>
      </c>
      <c r="BC54" s="15">
        <v>0.03</v>
      </c>
      <c r="BD54" s="15">
        <v>0.01</v>
      </c>
      <c r="BE54" s="37">
        <f t="shared" si="16"/>
        <v>234049.19999999998</v>
      </c>
      <c r="BF54" s="38">
        <f t="shared" si="17"/>
        <v>144381</v>
      </c>
      <c r="BG54" s="37">
        <f t="shared" si="24"/>
        <v>119850</v>
      </c>
      <c r="BH54" s="37">
        <f t="shared" si="18"/>
        <v>126650</v>
      </c>
      <c r="BI54">
        <v>119850</v>
      </c>
      <c r="BL54" s="8">
        <f t="shared" si="19"/>
        <v>0</v>
      </c>
      <c r="BM54" s="7" t="str">
        <f t="shared" si="28"/>
        <v>Terdaftar BPJS Kes &amp; Naker</v>
      </c>
      <c r="BN54" s="11">
        <f t="shared" si="29"/>
        <v>144381</v>
      </c>
      <c r="BO54" s="11">
        <f t="shared" si="30"/>
        <v>114998.20000000001</v>
      </c>
      <c r="BP54" s="9">
        <f t="shared" si="23"/>
        <v>0</v>
      </c>
      <c r="BQ54" t="str">
        <f>_xlfn.XLOOKUP(X54,'[2]NON TETAP'!$H:$H,'[2]NON TETAP'!$I:$I)</f>
        <v>GRAMEDIA ASRI MEDIA</v>
      </c>
    </row>
    <row r="55" spans="1:69" x14ac:dyDescent="0.3">
      <c r="A55" s="2">
        <v>54</v>
      </c>
      <c r="B55" s="4" t="s">
        <v>3848</v>
      </c>
      <c r="C55" s="6" t="s">
        <v>241</v>
      </c>
      <c r="D55" s="6"/>
      <c r="E55" s="6" t="s">
        <v>73</v>
      </c>
      <c r="F55" s="6" t="s">
        <v>73</v>
      </c>
      <c r="G55" s="6" t="s">
        <v>73</v>
      </c>
      <c r="H55" s="6"/>
      <c r="I55" s="2"/>
      <c r="J55" s="2"/>
      <c r="K55" s="6">
        <v>800075</v>
      </c>
      <c r="L55" s="6"/>
      <c r="M55" s="6">
        <v>25077450309</v>
      </c>
      <c r="N55" s="46" t="s">
        <v>3855</v>
      </c>
      <c r="O55" s="6">
        <v>164535816</v>
      </c>
      <c r="P55" s="78" t="s">
        <v>3854</v>
      </c>
      <c r="Q55" s="6">
        <v>10130</v>
      </c>
      <c r="R55" s="6">
        <v>27130</v>
      </c>
      <c r="S55" s="5" t="str">
        <f>VLOOKUP(T55,'[1]Kode Posisi'!$A$3:$B$45,2,)</f>
        <v>Outsourcing Keamanan</v>
      </c>
      <c r="T55" s="36" t="s">
        <v>37</v>
      </c>
      <c r="U55" s="44" t="s">
        <v>3853</v>
      </c>
      <c r="V55" s="44" t="s">
        <v>3852</v>
      </c>
      <c r="W55" s="36" t="s">
        <v>3851</v>
      </c>
      <c r="X55" s="36" t="s">
        <v>3850</v>
      </c>
      <c r="Y55" s="36" t="s">
        <v>473</v>
      </c>
      <c r="Z55" s="79" t="s">
        <v>3849</v>
      </c>
      <c r="AA55" s="36" t="s">
        <v>3848</v>
      </c>
      <c r="AB55" s="47">
        <v>2533000</v>
      </c>
      <c r="AC55" s="41">
        <v>2533000</v>
      </c>
      <c r="AD55" s="47">
        <v>2397000</v>
      </c>
      <c r="AE55" s="16">
        <f t="shared" si="25"/>
        <v>136000</v>
      </c>
      <c r="AF55" s="16">
        <v>0</v>
      </c>
      <c r="AG55" s="16">
        <v>0</v>
      </c>
      <c r="AH55" s="16"/>
      <c r="AI55" s="16">
        <v>0</v>
      </c>
      <c r="AJ55" s="16"/>
      <c r="AK55" s="16">
        <v>0</v>
      </c>
      <c r="AL55" s="11">
        <f t="shared" si="1"/>
        <v>2533000</v>
      </c>
      <c r="AM55" s="16">
        <f t="shared" si="2"/>
        <v>259379.19999999998</v>
      </c>
      <c r="AN55" s="16">
        <f t="shared" si="3"/>
        <v>101320</v>
      </c>
      <c r="AO55" s="16">
        <f t="shared" si="27"/>
        <v>158059.19999999998</v>
      </c>
      <c r="AP55" s="16">
        <f t="shared" si="5"/>
        <v>93721</v>
      </c>
      <c r="AQ55" s="16">
        <f t="shared" si="6"/>
        <v>2792379.2</v>
      </c>
      <c r="AR55" s="16">
        <f t="shared" si="26"/>
        <v>167542.75200000001</v>
      </c>
      <c r="AS55" s="16">
        <f t="shared" si="8"/>
        <v>18429.702720000001</v>
      </c>
      <c r="AT55" s="16">
        <f t="shared" si="9"/>
        <v>-3350.8550400000004</v>
      </c>
      <c r="AU55" s="16">
        <f t="shared" si="10"/>
        <v>2956571.0969600002</v>
      </c>
      <c r="AV55" s="16">
        <f t="shared" si="11"/>
        <v>2959921.952</v>
      </c>
      <c r="AW55" s="16">
        <f t="shared" si="12"/>
        <v>101320</v>
      </c>
      <c r="AX55" s="16" t="s">
        <v>286</v>
      </c>
      <c r="AY55" s="17"/>
      <c r="AZ55" s="17">
        <f t="shared" si="13"/>
        <v>2900</v>
      </c>
      <c r="BA55" s="16">
        <f t="shared" si="14"/>
        <v>2431680</v>
      </c>
      <c r="BB55" s="16">
        <f t="shared" si="15"/>
        <v>2428780</v>
      </c>
      <c r="BC55" s="15">
        <v>0.03</v>
      </c>
      <c r="BD55" s="15">
        <v>0.01</v>
      </c>
      <c r="BE55" s="37">
        <f t="shared" si="16"/>
        <v>234049.19999999998</v>
      </c>
      <c r="BF55" s="38">
        <f t="shared" si="17"/>
        <v>144381</v>
      </c>
      <c r="BG55" s="37">
        <f t="shared" si="24"/>
        <v>119850</v>
      </c>
      <c r="BH55" s="37">
        <f t="shared" si="18"/>
        <v>126650</v>
      </c>
      <c r="BI55">
        <v>119850</v>
      </c>
      <c r="BL55" s="8">
        <f t="shared" si="19"/>
        <v>0</v>
      </c>
      <c r="BM55" s="7" t="str">
        <f t="shared" si="28"/>
        <v>Terdaftar BPJS Kes &amp; Naker</v>
      </c>
      <c r="BN55" s="11">
        <f t="shared" si="29"/>
        <v>144381</v>
      </c>
      <c r="BO55" s="11">
        <f t="shared" si="30"/>
        <v>114998.20000000001</v>
      </c>
      <c r="BP55" s="9">
        <f t="shared" si="23"/>
        <v>0</v>
      </c>
      <c r="BQ55" t="str">
        <f>_xlfn.XLOOKUP(X55,'[2]NON TETAP'!$H:$H,'[2]NON TETAP'!$I:$I)</f>
        <v>GRAMEDIA ASRI MEDIA</v>
      </c>
    </row>
    <row r="56" spans="1:69" x14ac:dyDescent="0.3">
      <c r="A56" s="2">
        <v>55</v>
      </c>
      <c r="B56" s="5" t="s">
        <v>3847</v>
      </c>
      <c r="C56" s="6" t="s">
        <v>241</v>
      </c>
      <c r="D56" s="6"/>
      <c r="E56" s="6" t="s">
        <v>73</v>
      </c>
      <c r="F56" s="6" t="s">
        <v>73</v>
      </c>
      <c r="G56" s="6" t="s">
        <v>73</v>
      </c>
      <c r="H56" s="6"/>
      <c r="I56" s="6"/>
      <c r="J56" s="6"/>
      <c r="K56" s="6">
        <v>800076</v>
      </c>
      <c r="L56" s="6"/>
      <c r="M56" s="6">
        <v>25023140806</v>
      </c>
      <c r="N56" s="46" t="s">
        <v>3846</v>
      </c>
      <c r="O56" s="6">
        <v>1293135401</v>
      </c>
      <c r="P56" s="78" t="s">
        <v>3845</v>
      </c>
      <c r="Q56" s="6">
        <v>10458</v>
      </c>
      <c r="R56" s="6">
        <v>27458</v>
      </c>
      <c r="S56" s="5" t="str">
        <f>VLOOKUP(T56,'[1]Kode Posisi'!$A$3:$B$45,2,)</f>
        <v>Outsourcing Keamanan</v>
      </c>
      <c r="T56" s="36" t="s">
        <v>2850</v>
      </c>
      <c r="U56" s="44" t="s">
        <v>2270</v>
      </c>
      <c r="V56" s="44" t="s">
        <v>3844</v>
      </c>
      <c r="W56" s="5" t="s">
        <v>984</v>
      </c>
      <c r="X56" s="36" t="s">
        <v>984</v>
      </c>
      <c r="Y56" s="36" t="s">
        <v>52</v>
      </c>
      <c r="Z56" s="79" t="s">
        <v>3843</v>
      </c>
      <c r="AA56" s="36" t="s">
        <v>3842</v>
      </c>
      <c r="AB56" s="47">
        <v>3020000</v>
      </c>
      <c r="AC56" s="41">
        <v>3020000</v>
      </c>
      <c r="AD56" s="47">
        <v>2860000</v>
      </c>
      <c r="AE56" s="16">
        <f t="shared" si="25"/>
        <v>160000</v>
      </c>
      <c r="AF56" s="16">
        <v>0</v>
      </c>
      <c r="AG56" s="16">
        <v>250000</v>
      </c>
      <c r="AH56" s="16"/>
      <c r="AI56" s="16">
        <v>0</v>
      </c>
      <c r="AJ56" s="16"/>
      <c r="AK56" s="16">
        <v>0</v>
      </c>
      <c r="AL56" s="11">
        <f t="shared" si="1"/>
        <v>3270000</v>
      </c>
      <c r="AM56" s="16">
        <f t="shared" si="2"/>
        <v>309248</v>
      </c>
      <c r="AN56" s="16">
        <f t="shared" si="3"/>
        <v>120800</v>
      </c>
      <c r="AO56" s="16">
        <f t="shared" si="27"/>
        <v>188448</v>
      </c>
      <c r="AP56" s="16">
        <f t="shared" si="5"/>
        <v>111740</v>
      </c>
      <c r="AQ56" s="16">
        <f t="shared" si="6"/>
        <v>3579248</v>
      </c>
      <c r="AR56" s="16">
        <f t="shared" si="26"/>
        <v>214754.88</v>
      </c>
      <c r="AS56" s="16">
        <f t="shared" si="8"/>
        <v>23623.036800000002</v>
      </c>
      <c r="AT56" s="16">
        <f t="shared" si="9"/>
        <v>-4295.0976000000001</v>
      </c>
      <c r="AU56" s="16">
        <f t="shared" si="10"/>
        <v>3789707.7823999999</v>
      </c>
      <c r="AV56" s="16">
        <f t="shared" si="11"/>
        <v>3794002.88</v>
      </c>
      <c r="AW56" s="16">
        <f t="shared" si="12"/>
        <v>120800</v>
      </c>
      <c r="AX56" s="16" t="s">
        <v>235</v>
      </c>
      <c r="AY56" s="17"/>
      <c r="AZ56" s="17">
        <f t="shared" si="13"/>
        <v>0</v>
      </c>
      <c r="BA56" s="16">
        <f t="shared" si="14"/>
        <v>3149200</v>
      </c>
      <c r="BB56" s="16">
        <f t="shared" si="15"/>
        <v>3149200</v>
      </c>
      <c r="BC56" s="15">
        <v>0.03</v>
      </c>
      <c r="BD56" s="15">
        <v>0.01</v>
      </c>
      <c r="BE56" s="37">
        <f t="shared" si="16"/>
        <v>279048</v>
      </c>
      <c r="BF56" s="38">
        <f t="shared" si="17"/>
        <v>172140</v>
      </c>
      <c r="BG56" s="37">
        <f t="shared" si="24"/>
        <v>143000</v>
      </c>
      <c r="BH56" s="37">
        <f t="shared" si="18"/>
        <v>151000</v>
      </c>
      <c r="BI56">
        <v>143000</v>
      </c>
      <c r="BL56" s="8">
        <f t="shared" si="19"/>
        <v>250000</v>
      </c>
      <c r="BM56" s="7" t="str">
        <f t="shared" si="28"/>
        <v>Terdaftar BPJS Kes &amp; Naker</v>
      </c>
      <c r="BN56" s="11">
        <f t="shared" si="29"/>
        <v>172140</v>
      </c>
      <c r="BO56" s="11">
        <f t="shared" si="30"/>
        <v>137108</v>
      </c>
      <c r="BP56" s="9">
        <f t="shared" si="23"/>
        <v>0</v>
      </c>
      <c r="BQ56" t="str">
        <f>_xlfn.XLOOKUP(X56,'[2]NON TETAP'!$H:$H,'[2]NON TETAP'!$I:$I)</f>
        <v>GRAMEDIA ASRI MEDIA</v>
      </c>
    </row>
    <row r="57" spans="1:69" x14ac:dyDescent="0.3">
      <c r="A57" s="2">
        <v>56</v>
      </c>
      <c r="B57" s="4" t="s">
        <v>3841</v>
      </c>
      <c r="C57" s="6" t="s">
        <v>241</v>
      </c>
      <c r="D57" s="6"/>
      <c r="E57" s="6" t="s">
        <v>73</v>
      </c>
      <c r="F57" s="6" t="s">
        <v>73</v>
      </c>
      <c r="G57" s="6" t="s">
        <v>73</v>
      </c>
      <c r="H57" s="6"/>
      <c r="I57" s="2"/>
      <c r="J57" s="2"/>
      <c r="K57" s="6">
        <v>800078</v>
      </c>
      <c r="L57" s="6"/>
      <c r="M57" s="6">
        <v>25023140822</v>
      </c>
      <c r="N57" s="46" t="s">
        <v>3840</v>
      </c>
      <c r="O57" s="6">
        <v>2773723228</v>
      </c>
      <c r="P57" s="78" t="s">
        <v>3839</v>
      </c>
      <c r="Q57" s="6">
        <v>10458</v>
      </c>
      <c r="R57" s="6">
        <v>27458</v>
      </c>
      <c r="S57" s="5" t="str">
        <f>VLOOKUP(T57,'[1]Kode Posisi'!$A$3:$B$45,2,)</f>
        <v>Outsourcing Keamanan</v>
      </c>
      <c r="T57" s="36" t="s">
        <v>37</v>
      </c>
      <c r="U57" s="44" t="s">
        <v>2270</v>
      </c>
      <c r="V57" s="44" t="s">
        <v>3838</v>
      </c>
      <c r="W57" s="5" t="s">
        <v>984</v>
      </c>
      <c r="X57" s="36" t="s">
        <v>984</v>
      </c>
      <c r="Y57" s="36" t="s">
        <v>52</v>
      </c>
      <c r="Z57" s="79" t="s">
        <v>3837</v>
      </c>
      <c r="AA57" s="36" t="s">
        <v>3836</v>
      </c>
      <c r="AB57" s="47">
        <v>3020000</v>
      </c>
      <c r="AC57" s="41">
        <v>3020000</v>
      </c>
      <c r="AD57" s="47">
        <v>2860000</v>
      </c>
      <c r="AE57" s="16">
        <f t="shared" si="25"/>
        <v>160000</v>
      </c>
      <c r="AF57" s="16">
        <v>0</v>
      </c>
      <c r="AG57" s="16">
        <v>0</v>
      </c>
      <c r="AH57" s="16"/>
      <c r="AI57" s="16">
        <v>0</v>
      </c>
      <c r="AJ57" s="16"/>
      <c r="AK57" s="16">
        <v>0</v>
      </c>
      <c r="AL57" s="11">
        <f t="shared" si="1"/>
        <v>3020000</v>
      </c>
      <c r="AM57" s="16">
        <f t="shared" si="2"/>
        <v>309248</v>
      </c>
      <c r="AN57" s="16">
        <f t="shared" si="3"/>
        <v>120800</v>
      </c>
      <c r="AO57" s="16">
        <f t="shared" si="27"/>
        <v>188448</v>
      </c>
      <c r="AP57" s="16">
        <f t="shared" si="5"/>
        <v>111740</v>
      </c>
      <c r="AQ57" s="16">
        <f t="shared" si="6"/>
        <v>3329248</v>
      </c>
      <c r="AR57" s="16">
        <f t="shared" si="26"/>
        <v>199754.88</v>
      </c>
      <c r="AS57" s="16">
        <f t="shared" si="8"/>
        <v>21973.036800000002</v>
      </c>
      <c r="AT57" s="16">
        <f t="shared" si="9"/>
        <v>-3995.0976000000001</v>
      </c>
      <c r="AU57" s="16">
        <f t="shared" si="10"/>
        <v>3525007.7823999999</v>
      </c>
      <c r="AV57" s="16">
        <f t="shared" si="11"/>
        <v>3529002.88</v>
      </c>
      <c r="AW57" s="16">
        <f t="shared" si="12"/>
        <v>120800</v>
      </c>
      <c r="AX57" s="16" t="s">
        <v>91</v>
      </c>
      <c r="AY57" s="17"/>
      <c r="AZ57" s="17">
        <f t="shared" si="13"/>
        <v>0</v>
      </c>
      <c r="BA57" s="16">
        <f t="shared" si="14"/>
        <v>2899200</v>
      </c>
      <c r="BB57" s="16">
        <f t="shared" si="15"/>
        <v>2899200</v>
      </c>
      <c r="BC57" s="15">
        <v>0.03</v>
      </c>
      <c r="BD57" s="15">
        <v>0.01</v>
      </c>
      <c r="BE57" s="37">
        <f t="shared" si="16"/>
        <v>279048</v>
      </c>
      <c r="BF57" s="38">
        <f t="shared" si="17"/>
        <v>172140</v>
      </c>
      <c r="BG57" s="37">
        <f t="shared" si="24"/>
        <v>143000</v>
      </c>
      <c r="BH57" s="37">
        <f t="shared" si="18"/>
        <v>151000</v>
      </c>
      <c r="BI57">
        <v>143000</v>
      </c>
      <c r="BL57" s="8">
        <f t="shared" si="19"/>
        <v>0</v>
      </c>
      <c r="BM57" s="7" t="str">
        <f t="shared" si="28"/>
        <v>Terdaftar BPJS Kes &amp; Naker</v>
      </c>
      <c r="BN57" s="11">
        <f t="shared" si="29"/>
        <v>172140</v>
      </c>
      <c r="BO57" s="11">
        <f t="shared" si="30"/>
        <v>137108</v>
      </c>
      <c r="BP57" s="9">
        <f t="shared" si="23"/>
        <v>0</v>
      </c>
      <c r="BQ57" t="str">
        <f>_xlfn.XLOOKUP(X57,'[2]NON TETAP'!$H:$H,'[2]NON TETAP'!$I:$I)</f>
        <v>GRAMEDIA ASRI MEDIA</v>
      </c>
    </row>
    <row r="58" spans="1:69" x14ac:dyDescent="0.3">
      <c r="A58" s="2">
        <v>57</v>
      </c>
      <c r="B58" s="5" t="s">
        <v>3831</v>
      </c>
      <c r="C58" s="6" t="s">
        <v>241</v>
      </c>
      <c r="D58" s="6"/>
      <c r="E58" s="6" t="s">
        <v>73</v>
      </c>
      <c r="F58" s="6" t="s">
        <v>73</v>
      </c>
      <c r="G58" s="6" t="s">
        <v>73</v>
      </c>
      <c r="H58" s="6"/>
      <c r="I58" s="6"/>
      <c r="J58" s="6"/>
      <c r="K58" s="6">
        <v>800079</v>
      </c>
      <c r="L58" s="6"/>
      <c r="M58" s="6">
        <v>25023140830</v>
      </c>
      <c r="N58" s="46" t="s">
        <v>3835</v>
      </c>
      <c r="O58" s="6">
        <v>1058318471</v>
      </c>
      <c r="P58" s="78" t="s">
        <v>3834</v>
      </c>
      <c r="Q58" s="6">
        <v>10458</v>
      </c>
      <c r="R58" s="6">
        <v>27458</v>
      </c>
      <c r="S58" s="5" t="str">
        <f>VLOOKUP(T58,'[1]Kode Posisi'!$A$3:$B$45,2,)</f>
        <v>Outsourcing Keamanan</v>
      </c>
      <c r="T58" s="36" t="s">
        <v>37</v>
      </c>
      <c r="U58" s="44" t="s">
        <v>2270</v>
      </c>
      <c r="V58" s="44" t="s">
        <v>3833</v>
      </c>
      <c r="W58" s="5" t="s">
        <v>984</v>
      </c>
      <c r="X58" s="36" t="s">
        <v>984</v>
      </c>
      <c r="Y58" s="36" t="s">
        <v>1294</v>
      </c>
      <c r="Z58" s="79" t="s">
        <v>3832</v>
      </c>
      <c r="AA58" s="36" t="s">
        <v>3831</v>
      </c>
      <c r="AB58" s="47">
        <v>3020000</v>
      </c>
      <c r="AC58" s="41">
        <v>3020000</v>
      </c>
      <c r="AD58" s="47">
        <v>2860000</v>
      </c>
      <c r="AE58" s="16">
        <f t="shared" si="25"/>
        <v>160000</v>
      </c>
      <c r="AF58" s="16">
        <v>0</v>
      </c>
      <c r="AG58" s="16">
        <v>0</v>
      </c>
      <c r="AH58" s="16"/>
      <c r="AI58" s="16">
        <v>0</v>
      </c>
      <c r="AJ58" s="16"/>
      <c r="AK58" s="16">
        <v>0</v>
      </c>
      <c r="AL58" s="11">
        <f t="shared" si="1"/>
        <v>3020000</v>
      </c>
      <c r="AM58" s="16">
        <f t="shared" si="2"/>
        <v>309248</v>
      </c>
      <c r="AN58" s="16">
        <f t="shared" si="3"/>
        <v>120800</v>
      </c>
      <c r="AO58" s="16">
        <f t="shared" si="27"/>
        <v>188448</v>
      </c>
      <c r="AP58" s="16">
        <f t="shared" si="5"/>
        <v>111740</v>
      </c>
      <c r="AQ58" s="16">
        <f t="shared" si="6"/>
        <v>3329248</v>
      </c>
      <c r="AR58" s="16">
        <f t="shared" si="26"/>
        <v>199754.88</v>
      </c>
      <c r="AS58" s="16">
        <f t="shared" si="8"/>
        <v>21973.036800000002</v>
      </c>
      <c r="AT58" s="16">
        <f t="shared" si="9"/>
        <v>-3995.0976000000001</v>
      </c>
      <c r="AU58" s="16">
        <f t="shared" si="10"/>
        <v>3525007.7823999999</v>
      </c>
      <c r="AV58" s="16">
        <f t="shared" si="11"/>
        <v>3529002.88</v>
      </c>
      <c r="AW58" s="16">
        <f t="shared" si="12"/>
        <v>120800</v>
      </c>
      <c r="AX58" s="16" t="s">
        <v>235</v>
      </c>
      <c r="AY58" s="17"/>
      <c r="AZ58" s="17">
        <f t="shared" si="13"/>
        <v>2900</v>
      </c>
      <c r="BA58" s="16">
        <f t="shared" si="14"/>
        <v>2899200</v>
      </c>
      <c r="BB58" s="16">
        <f t="shared" si="15"/>
        <v>2896300</v>
      </c>
      <c r="BC58" s="15">
        <v>0.03</v>
      </c>
      <c r="BD58" s="15">
        <v>0.01</v>
      </c>
      <c r="BE58" s="37">
        <f t="shared" si="16"/>
        <v>279048</v>
      </c>
      <c r="BF58" s="38">
        <f t="shared" si="17"/>
        <v>172140</v>
      </c>
      <c r="BG58" s="37">
        <f t="shared" si="24"/>
        <v>143000</v>
      </c>
      <c r="BH58" s="37">
        <f t="shared" si="18"/>
        <v>151000</v>
      </c>
      <c r="BI58">
        <v>143000</v>
      </c>
      <c r="BL58" s="8">
        <f t="shared" si="19"/>
        <v>0</v>
      </c>
      <c r="BM58" s="7" t="str">
        <f t="shared" si="28"/>
        <v>Terdaftar BPJS Kes &amp; Naker</v>
      </c>
      <c r="BN58" s="11">
        <f t="shared" si="29"/>
        <v>172140</v>
      </c>
      <c r="BO58" s="11">
        <f t="shared" si="30"/>
        <v>137108</v>
      </c>
      <c r="BP58" s="9">
        <f t="shared" si="23"/>
        <v>0</v>
      </c>
      <c r="BQ58" t="str">
        <f>_xlfn.XLOOKUP(X58,'[2]NON TETAP'!$H:$H,'[2]NON TETAP'!$I:$I)</f>
        <v>GRAMEDIA ASRI MEDIA</v>
      </c>
    </row>
    <row r="59" spans="1:69" x14ac:dyDescent="0.3">
      <c r="A59" s="2">
        <v>58</v>
      </c>
      <c r="B59" s="5" t="s">
        <v>3830</v>
      </c>
      <c r="C59" s="6" t="s">
        <v>241</v>
      </c>
      <c r="D59" s="6"/>
      <c r="E59" s="6" t="s">
        <v>73</v>
      </c>
      <c r="F59" s="6" t="s">
        <v>73</v>
      </c>
      <c r="G59" s="6" t="s">
        <v>73</v>
      </c>
      <c r="H59" s="6"/>
      <c r="I59" s="6"/>
      <c r="J59" s="6"/>
      <c r="K59" s="6">
        <v>800080</v>
      </c>
      <c r="L59" s="6"/>
      <c r="M59" s="6">
        <v>25023140848</v>
      </c>
      <c r="N59" s="46" t="s">
        <v>3829</v>
      </c>
      <c r="O59" s="6">
        <v>2114738447</v>
      </c>
      <c r="P59" s="78" t="s">
        <v>3828</v>
      </c>
      <c r="Q59" s="6">
        <v>10458</v>
      </c>
      <c r="R59" s="6">
        <v>27458</v>
      </c>
      <c r="S59" s="5" t="str">
        <f>VLOOKUP(T59,'[1]Kode Posisi'!$A$3:$B$45,2,)</f>
        <v>Outsourcing Keamanan</v>
      </c>
      <c r="T59" s="36" t="s">
        <v>37</v>
      </c>
      <c r="U59" s="44" t="s">
        <v>2270</v>
      </c>
      <c r="V59" s="44" t="s">
        <v>3827</v>
      </c>
      <c r="W59" s="5" t="s">
        <v>984</v>
      </c>
      <c r="X59" s="36" t="s">
        <v>984</v>
      </c>
      <c r="Y59" s="36" t="s">
        <v>1294</v>
      </c>
      <c r="Z59" s="79" t="s">
        <v>3826</v>
      </c>
      <c r="AA59" s="36" t="s">
        <v>3825</v>
      </c>
      <c r="AB59" s="47">
        <v>3020000</v>
      </c>
      <c r="AC59" s="41">
        <v>3020000</v>
      </c>
      <c r="AD59" s="47">
        <v>2860000</v>
      </c>
      <c r="AE59" s="16">
        <f t="shared" si="25"/>
        <v>160000</v>
      </c>
      <c r="AF59" s="16">
        <v>0</v>
      </c>
      <c r="AG59" s="16">
        <v>0</v>
      </c>
      <c r="AH59" s="16"/>
      <c r="AI59" s="16">
        <v>0</v>
      </c>
      <c r="AJ59" s="16"/>
      <c r="AK59" s="16">
        <v>0</v>
      </c>
      <c r="AL59" s="11">
        <f t="shared" si="1"/>
        <v>3020000</v>
      </c>
      <c r="AM59" s="16">
        <f t="shared" si="2"/>
        <v>309248</v>
      </c>
      <c r="AN59" s="16">
        <f t="shared" si="3"/>
        <v>120800</v>
      </c>
      <c r="AO59" s="16">
        <f t="shared" si="27"/>
        <v>188448</v>
      </c>
      <c r="AP59" s="16">
        <f t="shared" si="5"/>
        <v>111740</v>
      </c>
      <c r="AQ59" s="16">
        <f t="shared" si="6"/>
        <v>3329248</v>
      </c>
      <c r="AR59" s="16">
        <f t="shared" si="26"/>
        <v>199754.88</v>
      </c>
      <c r="AS59" s="16">
        <f t="shared" si="8"/>
        <v>21973.036800000002</v>
      </c>
      <c r="AT59" s="16">
        <f t="shared" si="9"/>
        <v>-3995.0976000000001</v>
      </c>
      <c r="AU59" s="16">
        <f t="shared" si="10"/>
        <v>3525007.7823999999</v>
      </c>
      <c r="AV59" s="16">
        <f t="shared" si="11"/>
        <v>3529002.88</v>
      </c>
      <c r="AW59" s="16">
        <f t="shared" si="12"/>
        <v>120800</v>
      </c>
      <c r="AX59" s="16" t="s">
        <v>286</v>
      </c>
      <c r="AY59" s="17"/>
      <c r="AZ59" s="17">
        <f t="shared" si="13"/>
        <v>2900</v>
      </c>
      <c r="BA59" s="16">
        <f t="shared" si="14"/>
        <v>2899200</v>
      </c>
      <c r="BB59" s="16">
        <f t="shared" si="15"/>
        <v>2896300</v>
      </c>
      <c r="BC59" s="15">
        <v>0.03</v>
      </c>
      <c r="BD59" s="15">
        <v>0.01</v>
      </c>
      <c r="BE59" s="37">
        <f t="shared" si="16"/>
        <v>279048</v>
      </c>
      <c r="BF59" s="38">
        <f t="shared" si="17"/>
        <v>172140</v>
      </c>
      <c r="BG59" s="37">
        <f t="shared" si="24"/>
        <v>143000</v>
      </c>
      <c r="BH59" s="37">
        <f t="shared" si="18"/>
        <v>151000</v>
      </c>
      <c r="BI59">
        <v>143000</v>
      </c>
      <c r="BL59" s="8">
        <f t="shared" si="19"/>
        <v>0</v>
      </c>
      <c r="BM59" s="7" t="str">
        <f t="shared" si="28"/>
        <v>Terdaftar BPJS Kes &amp; Naker</v>
      </c>
      <c r="BN59" s="11">
        <f t="shared" si="29"/>
        <v>172140</v>
      </c>
      <c r="BO59" s="11">
        <f t="shared" si="30"/>
        <v>137108</v>
      </c>
      <c r="BP59" s="9">
        <f t="shared" si="23"/>
        <v>0</v>
      </c>
      <c r="BQ59" t="str">
        <f>_xlfn.XLOOKUP(X59,'[2]NON TETAP'!$H:$H,'[2]NON TETAP'!$I:$I)</f>
        <v>GRAMEDIA ASRI MEDIA</v>
      </c>
    </row>
    <row r="60" spans="1:69" x14ac:dyDescent="0.3">
      <c r="A60" s="2">
        <v>59</v>
      </c>
      <c r="B60" s="4" t="s">
        <v>3824</v>
      </c>
      <c r="C60" s="6" t="s">
        <v>241</v>
      </c>
      <c r="D60" s="6"/>
      <c r="E60" s="6" t="s">
        <v>73</v>
      </c>
      <c r="F60" s="6" t="s">
        <v>73</v>
      </c>
      <c r="G60" s="6" t="s">
        <v>73</v>
      </c>
      <c r="H60" s="6"/>
      <c r="I60" s="2"/>
      <c r="J60" s="2"/>
      <c r="K60" s="6">
        <v>800081</v>
      </c>
      <c r="L60" s="6"/>
      <c r="M60" s="6">
        <v>24119877561</v>
      </c>
      <c r="N60" s="46" t="s">
        <v>3823</v>
      </c>
      <c r="O60" s="6">
        <v>2662924836</v>
      </c>
      <c r="P60" s="78" t="s">
        <v>3822</v>
      </c>
      <c r="Q60" s="6">
        <v>10458</v>
      </c>
      <c r="R60" s="6">
        <v>27458</v>
      </c>
      <c r="S60" s="5" t="str">
        <f>VLOOKUP(T60,'[1]Kode Posisi'!$A$3:$B$45,2,)</f>
        <v>Outsourcing Keamanan</v>
      </c>
      <c r="T60" s="36" t="s">
        <v>37</v>
      </c>
      <c r="U60" s="44" t="s">
        <v>2270</v>
      </c>
      <c r="V60" s="44" t="s">
        <v>3821</v>
      </c>
      <c r="W60" s="5" t="s">
        <v>984</v>
      </c>
      <c r="X60" s="36" t="s">
        <v>984</v>
      </c>
      <c r="Y60" s="36" t="s">
        <v>52</v>
      </c>
      <c r="Z60" s="79" t="s">
        <v>3820</v>
      </c>
      <c r="AA60" s="36" t="s">
        <v>3819</v>
      </c>
      <c r="AB60" s="47">
        <v>3020000</v>
      </c>
      <c r="AC60" s="41">
        <v>3020000</v>
      </c>
      <c r="AD60" s="47">
        <v>2860000</v>
      </c>
      <c r="AE60" s="16">
        <f t="shared" si="25"/>
        <v>160000</v>
      </c>
      <c r="AF60" s="16">
        <v>0</v>
      </c>
      <c r="AG60" s="16">
        <v>0</v>
      </c>
      <c r="AH60" s="16"/>
      <c r="AI60" s="16">
        <v>0</v>
      </c>
      <c r="AJ60" s="16"/>
      <c r="AK60" s="16">
        <v>0</v>
      </c>
      <c r="AL60" s="11">
        <f t="shared" si="1"/>
        <v>3020000</v>
      </c>
      <c r="AM60" s="16">
        <f t="shared" si="2"/>
        <v>309248</v>
      </c>
      <c r="AN60" s="16">
        <f t="shared" si="3"/>
        <v>120800</v>
      </c>
      <c r="AO60" s="16">
        <f t="shared" si="27"/>
        <v>188448</v>
      </c>
      <c r="AP60" s="16">
        <f t="shared" si="5"/>
        <v>111740</v>
      </c>
      <c r="AQ60" s="16">
        <f t="shared" si="6"/>
        <v>3329248</v>
      </c>
      <c r="AR60" s="16">
        <f t="shared" si="26"/>
        <v>199754.88</v>
      </c>
      <c r="AS60" s="16">
        <f t="shared" si="8"/>
        <v>21973.036800000002</v>
      </c>
      <c r="AT60" s="16">
        <f t="shared" si="9"/>
        <v>-3995.0976000000001</v>
      </c>
      <c r="AU60" s="16">
        <f t="shared" si="10"/>
        <v>3525007.7823999999</v>
      </c>
      <c r="AV60" s="16">
        <f t="shared" si="11"/>
        <v>3529002.88</v>
      </c>
      <c r="AW60" s="16">
        <f t="shared" si="12"/>
        <v>120800</v>
      </c>
      <c r="AX60" s="16" t="s">
        <v>477</v>
      </c>
      <c r="AY60" s="17"/>
      <c r="AZ60" s="17">
        <f t="shared" si="13"/>
        <v>0</v>
      </c>
      <c r="BA60" s="16">
        <f t="shared" si="14"/>
        <v>2899200</v>
      </c>
      <c r="BB60" s="16">
        <f t="shared" si="15"/>
        <v>2899200</v>
      </c>
      <c r="BC60" s="15">
        <v>0.03</v>
      </c>
      <c r="BD60" s="15">
        <v>0.01</v>
      </c>
      <c r="BE60" s="37">
        <f t="shared" si="16"/>
        <v>279048</v>
      </c>
      <c r="BF60" s="38">
        <f t="shared" si="17"/>
        <v>172140</v>
      </c>
      <c r="BG60" s="37">
        <f t="shared" si="24"/>
        <v>143000</v>
      </c>
      <c r="BH60" s="37">
        <f t="shared" si="18"/>
        <v>151000</v>
      </c>
      <c r="BI60">
        <v>143000</v>
      </c>
      <c r="BL60" s="8">
        <f t="shared" si="19"/>
        <v>0</v>
      </c>
      <c r="BM60" s="7" t="str">
        <f t="shared" si="28"/>
        <v>Terdaftar BPJS Kes &amp; Naker</v>
      </c>
      <c r="BN60" s="11">
        <f t="shared" si="29"/>
        <v>172140</v>
      </c>
      <c r="BO60" s="11">
        <f t="shared" si="30"/>
        <v>137108</v>
      </c>
      <c r="BP60" s="9">
        <f t="shared" si="23"/>
        <v>0</v>
      </c>
      <c r="BQ60" t="str">
        <f>_xlfn.XLOOKUP(X60,'[2]NON TETAP'!$H:$H,'[2]NON TETAP'!$I:$I)</f>
        <v>GRAMEDIA ASRI MEDIA</v>
      </c>
    </row>
    <row r="61" spans="1:69" x14ac:dyDescent="0.3">
      <c r="A61" s="2">
        <v>60</v>
      </c>
      <c r="B61" s="5" t="s">
        <v>3818</v>
      </c>
      <c r="C61" s="6" t="s">
        <v>241</v>
      </c>
      <c r="D61" s="6"/>
      <c r="E61" s="6" t="s">
        <v>73</v>
      </c>
      <c r="F61" s="6" t="s">
        <v>73</v>
      </c>
      <c r="G61" s="6" t="s">
        <v>73</v>
      </c>
      <c r="H61" s="6"/>
      <c r="I61" s="6" t="s">
        <v>880</v>
      </c>
      <c r="J61" s="6"/>
      <c r="K61" s="6">
        <v>800082</v>
      </c>
      <c r="L61" s="6"/>
      <c r="M61" s="6">
        <v>25023140855</v>
      </c>
      <c r="N61" s="46" t="s">
        <v>3817</v>
      </c>
      <c r="O61" s="6">
        <v>2144033717</v>
      </c>
      <c r="P61" s="78" t="s">
        <v>3816</v>
      </c>
      <c r="Q61" s="6">
        <v>10458</v>
      </c>
      <c r="R61" s="6">
        <v>27458</v>
      </c>
      <c r="S61" s="5" t="str">
        <f>VLOOKUP(T61,'[1]Kode Posisi'!$A$3:$B$45,2,)</f>
        <v>Outsourcing Keamanan</v>
      </c>
      <c r="T61" s="36" t="s">
        <v>37</v>
      </c>
      <c r="U61" s="44" t="s">
        <v>2270</v>
      </c>
      <c r="V61" s="44" t="s">
        <v>3815</v>
      </c>
      <c r="W61" s="5" t="s">
        <v>984</v>
      </c>
      <c r="X61" s="36" t="s">
        <v>984</v>
      </c>
      <c r="Y61" s="36" t="s">
        <v>1294</v>
      </c>
      <c r="Z61" s="79" t="s">
        <v>3814</v>
      </c>
      <c r="AA61" s="36" t="s">
        <v>3813</v>
      </c>
      <c r="AB61" s="47">
        <v>3020000</v>
      </c>
      <c r="AC61" s="41">
        <v>3020000</v>
      </c>
      <c r="AD61" s="47">
        <v>2860000</v>
      </c>
      <c r="AE61" s="16">
        <f t="shared" si="25"/>
        <v>160000</v>
      </c>
      <c r="AF61" s="16">
        <v>0</v>
      </c>
      <c r="AG61" s="16">
        <v>0</v>
      </c>
      <c r="AH61" s="16"/>
      <c r="AI61" s="16">
        <v>0</v>
      </c>
      <c r="AJ61" s="16"/>
      <c r="AK61" s="16">
        <v>0</v>
      </c>
      <c r="AL61" s="11">
        <f t="shared" si="1"/>
        <v>3020000</v>
      </c>
      <c r="AM61" s="16">
        <f t="shared" si="2"/>
        <v>309248</v>
      </c>
      <c r="AN61" s="16">
        <f t="shared" si="3"/>
        <v>120800</v>
      </c>
      <c r="AO61" s="16">
        <f t="shared" si="27"/>
        <v>188448</v>
      </c>
      <c r="AP61" s="16">
        <f t="shared" si="5"/>
        <v>111740</v>
      </c>
      <c r="AQ61" s="16">
        <f t="shared" si="6"/>
        <v>3329248</v>
      </c>
      <c r="AR61" s="16">
        <f t="shared" si="26"/>
        <v>199754.88</v>
      </c>
      <c r="AS61" s="16">
        <f t="shared" si="8"/>
        <v>21973.036800000002</v>
      </c>
      <c r="AT61" s="16">
        <f t="shared" si="9"/>
        <v>-3995.0976000000001</v>
      </c>
      <c r="AU61" s="16">
        <f t="shared" si="10"/>
        <v>3525007.7823999999</v>
      </c>
      <c r="AV61" s="16">
        <f t="shared" si="11"/>
        <v>3529002.88</v>
      </c>
      <c r="AW61" s="16">
        <f t="shared" si="12"/>
        <v>120800</v>
      </c>
      <c r="AX61" s="16" t="s">
        <v>235</v>
      </c>
      <c r="AY61" s="17"/>
      <c r="AZ61" s="17">
        <f t="shared" si="13"/>
        <v>2900</v>
      </c>
      <c r="BA61" s="16">
        <f t="shared" si="14"/>
        <v>2899200</v>
      </c>
      <c r="BB61" s="16">
        <f t="shared" si="15"/>
        <v>2896300</v>
      </c>
      <c r="BC61" s="15">
        <v>0.03</v>
      </c>
      <c r="BD61">
        <v>0.01</v>
      </c>
      <c r="BE61" s="37">
        <f t="shared" si="16"/>
        <v>279048</v>
      </c>
      <c r="BF61" s="38">
        <f t="shared" si="17"/>
        <v>172140</v>
      </c>
      <c r="BG61" s="37">
        <f t="shared" si="24"/>
        <v>143000</v>
      </c>
      <c r="BH61" s="37">
        <f t="shared" si="18"/>
        <v>151000</v>
      </c>
      <c r="BI61" t="e">
        <v>#N/A</v>
      </c>
      <c r="BL61" s="8">
        <f t="shared" si="19"/>
        <v>0</v>
      </c>
      <c r="BM61" s="7" t="str">
        <f t="shared" si="28"/>
        <v>Terdaftar BPJS Kes &amp; Naker</v>
      </c>
      <c r="BN61" s="11">
        <f t="shared" si="29"/>
        <v>172140</v>
      </c>
      <c r="BO61" s="11">
        <f t="shared" si="30"/>
        <v>137108</v>
      </c>
      <c r="BP61" s="9">
        <f t="shared" si="23"/>
        <v>0</v>
      </c>
      <c r="BQ61" t="str">
        <f>_xlfn.XLOOKUP(X61,'[2]NON TETAP'!$H:$H,'[2]NON TETAP'!$I:$I)</f>
        <v>GRAMEDIA ASRI MEDIA</v>
      </c>
    </row>
    <row r="62" spans="1:69" x14ac:dyDescent="0.3">
      <c r="A62" s="2">
        <v>61</v>
      </c>
      <c r="B62" s="5" t="s">
        <v>3807</v>
      </c>
      <c r="C62" s="6" t="s">
        <v>241</v>
      </c>
      <c r="D62" s="6"/>
      <c r="E62" s="6" t="s">
        <v>73</v>
      </c>
      <c r="F62" s="6" t="s">
        <v>73</v>
      </c>
      <c r="G62" s="6">
        <v>838440</v>
      </c>
      <c r="H62" s="6" t="s">
        <v>3812</v>
      </c>
      <c r="I62" s="16">
        <v>127000</v>
      </c>
      <c r="J62" s="6"/>
      <c r="K62" s="6">
        <v>800083</v>
      </c>
      <c r="L62" s="6"/>
      <c r="M62" s="6">
        <v>25023140863</v>
      </c>
      <c r="N62" s="46" t="s">
        <v>3811</v>
      </c>
      <c r="O62" s="6">
        <v>1881786644</v>
      </c>
      <c r="P62" s="78" t="s">
        <v>3810</v>
      </c>
      <c r="Q62" s="6">
        <v>10188</v>
      </c>
      <c r="R62" s="6">
        <v>27188</v>
      </c>
      <c r="S62" s="5" t="str">
        <f>VLOOKUP(T62,'[1]Kode Posisi'!$A$3:$B$45,2,)</f>
        <v>Outsourcing Keamanan</v>
      </c>
      <c r="T62" s="36" t="s">
        <v>37</v>
      </c>
      <c r="U62" s="44" t="s">
        <v>3792</v>
      </c>
      <c r="V62" s="44" t="s">
        <v>3809</v>
      </c>
      <c r="W62" s="36" t="s">
        <v>3790</v>
      </c>
      <c r="X62" s="36" t="s">
        <v>3789</v>
      </c>
      <c r="Y62" s="36" t="s">
        <v>1294</v>
      </c>
      <c r="Z62" s="79" t="s">
        <v>3808</v>
      </c>
      <c r="AA62" s="36" t="s">
        <v>3807</v>
      </c>
      <c r="AB62" s="47">
        <v>2329000</v>
      </c>
      <c r="AC62" s="47">
        <v>2456000</v>
      </c>
      <c r="AD62" s="47">
        <v>2329000</v>
      </c>
      <c r="AE62" s="16">
        <f t="shared" si="25"/>
        <v>0</v>
      </c>
      <c r="AF62" s="16">
        <v>0</v>
      </c>
      <c r="AG62" s="16">
        <v>0</v>
      </c>
      <c r="AH62" s="16"/>
      <c r="AI62" s="16">
        <v>0</v>
      </c>
      <c r="AJ62" s="16"/>
      <c r="AK62" s="16">
        <v>838440</v>
      </c>
      <c r="AL62" s="11">
        <f t="shared" si="1"/>
        <v>1490560</v>
      </c>
      <c r="AM62" s="16">
        <f t="shared" si="2"/>
        <v>251494.39999999999</v>
      </c>
      <c r="AN62" s="16">
        <f t="shared" si="3"/>
        <v>98240</v>
      </c>
      <c r="AO62" s="16">
        <f t="shared" si="27"/>
        <v>153254.39999999999</v>
      </c>
      <c r="AP62" s="16">
        <f t="shared" si="5"/>
        <v>86173</v>
      </c>
      <c r="AQ62" s="16">
        <f t="shared" si="6"/>
        <v>1742054.3999999999</v>
      </c>
      <c r="AR62" s="16">
        <f t="shared" si="26"/>
        <v>104523.264</v>
      </c>
      <c r="AS62" s="16">
        <f t="shared" si="8"/>
        <v>11497.55904</v>
      </c>
      <c r="AT62" s="16">
        <f t="shared" si="9"/>
        <v>-2090.4652799999999</v>
      </c>
      <c r="AU62" s="16">
        <f t="shared" si="10"/>
        <v>1844487.19872</v>
      </c>
      <c r="AV62" s="16">
        <f t="shared" si="11"/>
        <v>1846577.6639999999</v>
      </c>
      <c r="AW62" s="16">
        <f t="shared" si="12"/>
        <v>98240</v>
      </c>
      <c r="AX62" s="16" t="s">
        <v>286</v>
      </c>
      <c r="AY62" s="17"/>
      <c r="AZ62" s="17">
        <f t="shared" si="13"/>
        <v>2900</v>
      </c>
      <c r="BA62" s="16">
        <f t="shared" si="14"/>
        <v>1392320</v>
      </c>
      <c r="BB62" s="16">
        <f t="shared" si="15"/>
        <v>1389420</v>
      </c>
      <c r="BC62" s="15">
        <v>0.03</v>
      </c>
      <c r="BD62" s="15">
        <v>0.01</v>
      </c>
      <c r="BE62" s="37">
        <f t="shared" si="16"/>
        <v>226934.39999999999</v>
      </c>
      <c r="BF62" s="38">
        <f t="shared" si="17"/>
        <v>139992</v>
      </c>
      <c r="BG62" s="37">
        <f t="shared" si="24"/>
        <v>116450</v>
      </c>
      <c r="BH62" s="37">
        <f t="shared" si="18"/>
        <v>122800</v>
      </c>
      <c r="BI62">
        <v>116450</v>
      </c>
      <c r="BL62" s="8">
        <f t="shared" si="19"/>
        <v>-838440</v>
      </c>
      <c r="BM62" s="7" t="str">
        <f t="shared" si="28"/>
        <v>Terdaftar BPJS Kes &amp; Naker</v>
      </c>
      <c r="BN62" s="11">
        <f t="shared" si="29"/>
        <v>139992</v>
      </c>
      <c r="BO62" s="11">
        <f t="shared" si="30"/>
        <v>111502.40000000001</v>
      </c>
      <c r="BP62" s="9">
        <f t="shared" si="23"/>
        <v>0</v>
      </c>
      <c r="BQ62" t="str">
        <f>_xlfn.XLOOKUP(X62,'[2]NON TETAP'!$H:$H,'[2]NON TETAP'!$I:$I)</f>
        <v>GRAMEDIA ASRI MEDIA</v>
      </c>
    </row>
    <row r="63" spans="1:69" x14ac:dyDescent="0.3">
      <c r="A63" s="2">
        <v>62</v>
      </c>
      <c r="B63" s="5" t="s">
        <v>3806</v>
      </c>
      <c r="C63" s="6" t="s">
        <v>241</v>
      </c>
      <c r="D63" s="6"/>
      <c r="E63" s="6" t="s">
        <v>73</v>
      </c>
      <c r="F63" s="6" t="s">
        <v>73</v>
      </c>
      <c r="G63" s="6"/>
      <c r="H63" s="6"/>
      <c r="I63" s="16">
        <v>127000</v>
      </c>
      <c r="J63" s="6"/>
      <c r="K63" s="6">
        <v>800084</v>
      </c>
      <c r="L63" s="6"/>
      <c r="M63" s="6">
        <v>24127900967</v>
      </c>
      <c r="N63" s="46" t="s">
        <v>3805</v>
      </c>
      <c r="O63" s="6">
        <v>1797640604</v>
      </c>
      <c r="P63" s="78" t="s">
        <v>3804</v>
      </c>
      <c r="Q63" s="6">
        <v>10188</v>
      </c>
      <c r="R63" s="6">
        <v>27188</v>
      </c>
      <c r="S63" s="5" t="str">
        <f>VLOOKUP(T63,'[1]Kode Posisi'!$A$3:$B$45,2,)</f>
        <v>Outsourcing Keamanan</v>
      </c>
      <c r="T63" s="36" t="s">
        <v>37</v>
      </c>
      <c r="U63" s="44" t="s">
        <v>3792</v>
      </c>
      <c r="V63" s="44" t="s">
        <v>3803</v>
      </c>
      <c r="W63" s="36" t="s">
        <v>3790</v>
      </c>
      <c r="X63" s="36" t="s">
        <v>3789</v>
      </c>
      <c r="Y63" s="36" t="s">
        <v>1294</v>
      </c>
      <c r="Z63" s="79" t="s">
        <v>3802</v>
      </c>
      <c r="AA63" s="36" t="s">
        <v>3801</v>
      </c>
      <c r="AB63" s="47">
        <v>2329000</v>
      </c>
      <c r="AC63" s="47">
        <v>2456000</v>
      </c>
      <c r="AD63" s="47">
        <v>2329000</v>
      </c>
      <c r="AE63" s="16">
        <f t="shared" si="25"/>
        <v>0</v>
      </c>
      <c r="AF63" s="16">
        <v>0</v>
      </c>
      <c r="AG63" s="16">
        <v>0</v>
      </c>
      <c r="AH63" s="16"/>
      <c r="AI63" s="16">
        <v>0</v>
      </c>
      <c r="AJ63" s="16"/>
      <c r="AK63" s="16">
        <v>0</v>
      </c>
      <c r="AL63" s="11">
        <f t="shared" si="1"/>
        <v>2329000</v>
      </c>
      <c r="AM63" s="16">
        <f t="shared" si="2"/>
        <v>251494.39999999999</v>
      </c>
      <c r="AN63" s="16">
        <f t="shared" si="3"/>
        <v>98240</v>
      </c>
      <c r="AO63" s="16">
        <f t="shared" si="27"/>
        <v>153254.39999999999</v>
      </c>
      <c r="AP63" s="16">
        <f t="shared" si="5"/>
        <v>86173</v>
      </c>
      <c r="AQ63" s="16">
        <f t="shared" si="6"/>
        <v>2580494.4</v>
      </c>
      <c r="AR63" s="16">
        <f t="shared" si="26"/>
        <v>154829.66399999999</v>
      </c>
      <c r="AS63" s="16">
        <f t="shared" si="8"/>
        <v>17031.263039999998</v>
      </c>
      <c r="AT63" s="16">
        <f t="shared" si="9"/>
        <v>-3096.59328</v>
      </c>
      <c r="AU63" s="16">
        <f t="shared" si="10"/>
        <v>2732227.4707199996</v>
      </c>
      <c r="AV63" s="16">
        <f t="shared" si="11"/>
        <v>2735324.0639999998</v>
      </c>
      <c r="AW63" s="16">
        <f t="shared" si="12"/>
        <v>98240</v>
      </c>
      <c r="AX63" s="16" t="s">
        <v>319</v>
      </c>
      <c r="AY63" s="17"/>
      <c r="AZ63" s="17">
        <f t="shared" si="13"/>
        <v>2900</v>
      </c>
      <c r="BA63" s="16">
        <f t="shared" si="14"/>
        <v>2230760</v>
      </c>
      <c r="BB63" s="16">
        <f t="shared" si="15"/>
        <v>2227860</v>
      </c>
      <c r="BC63" s="15">
        <v>0.03</v>
      </c>
      <c r="BD63" s="15">
        <v>0.01</v>
      </c>
      <c r="BE63" s="37">
        <f t="shared" si="16"/>
        <v>226934.39999999999</v>
      </c>
      <c r="BF63" s="38">
        <f t="shared" si="17"/>
        <v>139992</v>
      </c>
      <c r="BG63" s="37">
        <f t="shared" si="24"/>
        <v>116450</v>
      </c>
      <c r="BH63" s="37">
        <f t="shared" si="18"/>
        <v>122800</v>
      </c>
      <c r="BI63">
        <v>116450</v>
      </c>
      <c r="BL63" s="8">
        <f t="shared" si="19"/>
        <v>0</v>
      </c>
      <c r="BM63" s="7" t="str">
        <f t="shared" si="28"/>
        <v>Terdaftar BPJS Kes &amp; Naker</v>
      </c>
      <c r="BN63" s="11">
        <f t="shared" si="29"/>
        <v>139992</v>
      </c>
      <c r="BO63" s="11">
        <f t="shared" si="30"/>
        <v>111502.40000000001</v>
      </c>
      <c r="BP63" s="9">
        <f t="shared" si="23"/>
        <v>0</v>
      </c>
      <c r="BQ63" t="str">
        <f>_xlfn.XLOOKUP(X63,'[2]NON TETAP'!$H:$H,'[2]NON TETAP'!$I:$I)</f>
        <v>GRAMEDIA ASRI MEDIA</v>
      </c>
    </row>
    <row r="64" spans="1:69" x14ac:dyDescent="0.3">
      <c r="A64" s="2">
        <v>63</v>
      </c>
      <c r="B64" s="5" t="s">
        <v>3796</v>
      </c>
      <c r="C64" s="6" t="s">
        <v>241</v>
      </c>
      <c r="D64" s="6"/>
      <c r="E64" s="6" t="s">
        <v>73</v>
      </c>
      <c r="F64" s="6" t="s">
        <v>73</v>
      </c>
      <c r="G64" s="6"/>
      <c r="H64" s="6"/>
      <c r="I64" s="16">
        <v>127000</v>
      </c>
      <c r="J64" s="6"/>
      <c r="K64" s="6">
        <v>800085</v>
      </c>
      <c r="L64" s="6"/>
      <c r="M64" s="6">
        <v>25023140889</v>
      </c>
      <c r="N64" s="46" t="s">
        <v>3800</v>
      </c>
      <c r="O64" s="6">
        <v>1278177254</v>
      </c>
      <c r="P64" s="78" t="s">
        <v>3799</v>
      </c>
      <c r="Q64" s="6">
        <v>10188</v>
      </c>
      <c r="R64" s="6">
        <v>27188</v>
      </c>
      <c r="S64" s="5" t="str">
        <f>VLOOKUP(T64,'[1]Kode Posisi'!$A$3:$B$45,2,)</f>
        <v>Outsourcing Keamanan</v>
      </c>
      <c r="T64" s="36" t="s">
        <v>2850</v>
      </c>
      <c r="U64" s="44" t="s">
        <v>3792</v>
      </c>
      <c r="V64" s="44" t="s">
        <v>3798</v>
      </c>
      <c r="W64" s="36" t="s">
        <v>3790</v>
      </c>
      <c r="X64" s="36" t="s">
        <v>3789</v>
      </c>
      <c r="Y64" s="36" t="s">
        <v>1294</v>
      </c>
      <c r="Z64" s="79" t="s">
        <v>3797</v>
      </c>
      <c r="AA64" s="36" t="s">
        <v>3796</v>
      </c>
      <c r="AB64" s="47">
        <v>2329000</v>
      </c>
      <c r="AC64" s="47">
        <v>2456000</v>
      </c>
      <c r="AD64" s="47">
        <v>2329000</v>
      </c>
      <c r="AE64" s="16">
        <f t="shared" si="25"/>
        <v>0</v>
      </c>
      <c r="AF64" s="16">
        <v>0</v>
      </c>
      <c r="AG64" s="16">
        <v>200000</v>
      </c>
      <c r="AH64" s="16"/>
      <c r="AI64" s="16">
        <v>0</v>
      </c>
      <c r="AJ64" s="16"/>
      <c r="AK64" s="16">
        <v>0</v>
      </c>
      <c r="AL64" s="11">
        <f t="shared" si="1"/>
        <v>2529000</v>
      </c>
      <c r="AM64" s="16">
        <f t="shared" si="2"/>
        <v>251494.39999999999</v>
      </c>
      <c r="AN64" s="16">
        <f t="shared" si="3"/>
        <v>98240</v>
      </c>
      <c r="AO64" s="16">
        <f t="shared" si="27"/>
        <v>153254.39999999999</v>
      </c>
      <c r="AP64" s="16">
        <f t="shared" si="5"/>
        <v>86173</v>
      </c>
      <c r="AQ64" s="16">
        <f t="shared" si="6"/>
        <v>2780494.4</v>
      </c>
      <c r="AR64" s="16">
        <f t="shared" si="26"/>
        <v>166829.66399999999</v>
      </c>
      <c r="AS64" s="16">
        <f t="shared" si="8"/>
        <v>18351.263039999998</v>
      </c>
      <c r="AT64" s="16">
        <f t="shared" si="9"/>
        <v>-3336.59328</v>
      </c>
      <c r="AU64" s="16">
        <f t="shared" si="10"/>
        <v>2943987.4707199996</v>
      </c>
      <c r="AV64" s="16">
        <f t="shared" si="11"/>
        <v>2947324.0639999998</v>
      </c>
      <c r="AW64" s="16">
        <f t="shared" si="12"/>
        <v>98240</v>
      </c>
      <c r="AX64" s="16" t="s">
        <v>286</v>
      </c>
      <c r="AY64" s="17"/>
      <c r="AZ64" s="17">
        <f t="shared" si="13"/>
        <v>2900</v>
      </c>
      <c r="BA64" s="16">
        <f t="shared" si="14"/>
        <v>2430760</v>
      </c>
      <c r="BB64" s="16">
        <f t="shared" si="15"/>
        <v>2427860</v>
      </c>
      <c r="BC64" s="15">
        <v>0.03</v>
      </c>
      <c r="BD64" s="15">
        <v>0.01</v>
      </c>
      <c r="BE64" s="37">
        <f t="shared" si="16"/>
        <v>226934.39999999999</v>
      </c>
      <c r="BF64" s="38">
        <f t="shared" si="17"/>
        <v>139992</v>
      </c>
      <c r="BG64" s="37">
        <f t="shared" si="24"/>
        <v>116450</v>
      </c>
      <c r="BH64" s="37">
        <f t="shared" si="18"/>
        <v>122800</v>
      </c>
      <c r="BI64">
        <v>116450</v>
      </c>
      <c r="BL64" s="8">
        <f t="shared" si="19"/>
        <v>200000</v>
      </c>
      <c r="BM64" s="7" t="str">
        <f t="shared" si="28"/>
        <v>Terdaftar BPJS Kes &amp; Naker</v>
      </c>
      <c r="BN64" s="11">
        <f t="shared" si="29"/>
        <v>139992</v>
      </c>
      <c r="BO64" s="11">
        <f t="shared" si="30"/>
        <v>111502.40000000001</v>
      </c>
      <c r="BP64" s="9">
        <f t="shared" si="23"/>
        <v>0</v>
      </c>
      <c r="BQ64" t="str">
        <f>_xlfn.XLOOKUP(X64,'[2]NON TETAP'!$H:$H,'[2]NON TETAP'!$I:$I)</f>
        <v>GRAMEDIA ASRI MEDIA</v>
      </c>
    </row>
    <row r="65" spans="1:69" x14ac:dyDescent="0.3">
      <c r="A65" s="2">
        <v>64</v>
      </c>
      <c r="B65" s="5" t="s">
        <v>3795</v>
      </c>
      <c r="C65" s="6" t="s">
        <v>241</v>
      </c>
      <c r="D65" s="6"/>
      <c r="E65" s="6" t="s">
        <v>73</v>
      </c>
      <c r="F65" s="6" t="s">
        <v>73</v>
      </c>
      <c r="G65" s="6"/>
      <c r="H65" s="6"/>
      <c r="I65" s="16">
        <v>127000</v>
      </c>
      <c r="J65" s="6"/>
      <c r="K65" s="6">
        <v>800086</v>
      </c>
      <c r="L65" s="6"/>
      <c r="M65" s="6">
        <v>24034968917</v>
      </c>
      <c r="N65" s="46" t="s">
        <v>3794</v>
      </c>
      <c r="O65" s="6">
        <v>1278189033</v>
      </c>
      <c r="P65" s="78" t="s">
        <v>3793</v>
      </c>
      <c r="Q65" s="6">
        <v>10188</v>
      </c>
      <c r="R65" s="6">
        <v>27188</v>
      </c>
      <c r="S65" s="5" t="str">
        <f>VLOOKUP(T65,'[1]Kode Posisi'!$A$3:$B$45,2,)</f>
        <v>Outsourcing Keamanan</v>
      </c>
      <c r="T65" s="36" t="s">
        <v>37</v>
      </c>
      <c r="U65" s="44" t="s">
        <v>3792</v>
      </c>
      <c r="V65" s="44" t="s">
        <v>3791</v>
      </c>
      <c r="W65" s="36" t="s">
        <v>3790</v>
      </c>
      <c r="X65" s="36" t="s">
        <v>3789</v>
      </c>
      <c r="Y65" s="36" t="s">
        <v>1294</v>
      </c>
      <c r="Z65" s="76" t="s">
        <v>3788</v>
      </c>
      <c r="AA65" s="36" t="s">
        <v>3787</v>
      </c>
      <c r="AB65" s="47">
        <v>2329000</v>
      </c>
      <c r="AC65" s="47">
        <v>2456000</v>
      </c>
      <c r="AD65" s="47">
        <v>2329000</v>
      </c>
      <c r="AE65" s="16">
        <f t="shared" si="25"/>
        <v>0</v>
      </c>
      <c r="AF65" s="16">
        <v>0</v>
      </c>
      <c r="AG65" s="16">
        <v>0</v>
      </c>
      <c r="AH65" s="16"/>
      <c r="AI65" s="16">
        <v>0</v>
      </c>
      <c r="AJ65" s="16"/>
      <c r="AK65" s="16">
        <v>0</v>
      </c>
      <c r="AL65" s="11">
        <f t="shared" si="1"/>
        <v>2329000</v>
      </c>
      <c r="AM65" s="16">
        <f t="shared" si="2"/>
        <v>251494.39999999999</v>
      </c>
      <c r="AN65" s="16">
        <f t="shared" si="3"/>
        <v>98240</v>
      </c>
      <c r="AO65" s="16">
        <f t="shared" si="27"/>
        <v>153254.39999999999</v>
      </c>
      <c r="AP65" s="16">
        <f t="shared" si="5"/>
        <v>86173</v>
      </c>
      <c r="AQ65" s="16">
        <f t="shared" si="6"/>
        <v>2580494.4</v>
      </c>
      <c r="AR65" s="16">
        <f t="shared" si="26"/>
        <v>154829.66399999999</v>
      </c>
      <c r="AS65" s="16">
        <f t="shared" si="8"/>
        <v>17031.263039999998</v>
      </c>
      <c r="AT65" s="16">
        <f t="shared" si="9"/>
        <v>-3096.59328</v>
      </c>
      <c r="AU65" s="16">
        <f t="shared" si="10"/>
        <v>2732227.4707199996</v>
      </c>
      <c r="AV65" s="16">
        <f t="shared" si="11"/>
        <v>2735324.0639999998</v>
      </c>
      <c r="AW65" s="16">
        <f t="shared" si="12"/>
        <v>98240</v>
      </c>
      <c r="AX65" s="16" t="s">
        <v>286</v>
      </c>
      <c r="AY65" s="17"/>
      <c r="AZ65" s="17">
        <f t="shared" si="13"/>
        <v>2900</v>
      </c>
      <c r="BA65" s="16">
        <f t="shared" si="14"/>
        <v>2230760</v>
      </c>
      <c r="BB65" s="16">
        <f t="shared" si="15"/>
        <v>2227860</v>
      </c>
      <c r="BC65" s="15">
        <v>0.03</v>
      </c>
      <c r="BD65" s="15">
        <v>0.01</v>
      </c>
      <c r="BE65" s="37">
        <f t="shared" si="16"/>
        <v>226934.39999999999</v>
      </c>
      <c r="BF65" s="38">
        <f t="shared" si="17"/>
        <v>139992</v>
      </c>
      <c r="BG65" s="37">
        <f t="shared" si="24"/>
        <v>116450</v>
      </c>
      <c r="BH65" s="37">
        <f t="shared" si="18"/>
        <v>122800</v>
      </c>
      <c r="BI65">
        <v>116450</v>
      </c>
      <c r="BL65" s="8">
        <f t="shared" si="19"/>
        <v>0</v>
      </c>
      <c r="BM65" s="7" t="str">
        <f t="shared" si="28"/>
        <v>Terdaftar BPJS Kes &amp; Naker</v>
      </c>
      <c r="BN65" s="11">
        <f t="shared" si="29"/>
        <v>139992</v>
      </c>
      <c r="BO65" s="11">
        <f t="shared" si="30"/>
        <v>111502.40000000001</v>
      </c>
      <c r="BP65" s="9">
        <f t="shared" si="23"/>
        <v>0</v>
      </c>
      <c r="BQ65" t="str">
        <f>_xlfn.XLOOKUP(X65,'[2]NON TETAP'!$H:$H,'[2]NON TETAP'!$I:$I)</f>
        <v>GRAMEDIA ASRI MEDIA</v>
      </c>
    </row>
    <row r="66" spans="1:69" x14ac:dyDescent="0.3">
      <c r="A66" s="2">
        <v>65</v>
      </c>
      <c r="B66" s="4" t="s">
        <v>3782</v>
      </c>
      <c r="C66" s="6" t="s">
        <v>241</v>
      </c>
      <c r="D66" s="6"/>
      <c r="E66" s="6" t="s">
        <v>73</v>
      </c>
      <c r="F66" s="6" t="s">
        <v>73</v>
      </c>
      <c r="G66" s="6"/>
      <c r="H66" s="6"/>
      <c r="I66" s="2"/>
      <c r="J66" s="2"/>
      <c r="K66" s="6">
        <v>800087</v>
      </c>
      <c r="L66" s="6"/>
      <c r="M66" s="6">
        <v>25077450317</v>
      </c>
      <c r="N66" s="46" t="s">
        <v>3786</v>
      </c>
      <c r="O66" s="6">
        <v>1989360729</v>
      </c>
      <c r="P66" s="78" t="s">
        <v>3785</v>
      </c>
      <c r="Q66" s="6">
        <v>10140</v>
      </c>
      <c r="R66" s="6">
        <v>27140</v>
      </c>
      <c r="S66" s="5" t="str">
        <f>VLOOKUP(T66,'[1]Kode Posisi'!$A$3:$B$45,2,)</f>
        <v>Outsourcing Keamanan</v>
      </c>
      <c r="T66" s="36" t="s">
        <v>37</v>
      </c>
      <c r="U66" s="44">
        <v>9025</v>
      </c>
      <c r="V66" s="44" t="s">
        <v>3784</v>
      </c>
      <c r="W66" s="36" t="s">
        <v>2260</v>
      </c>
      <c r="X66" s="36" t="s">
        <v>2259</v>
      </c>
      <c r="Y66" s="36" t="s">
        <v>262</v>
      </c>
      <c r="Z66" s="79" t="s">
        <v>3783</v>
      </c>
      <c r="AA66" s="36" t="s">
        <v>3782</v>
      </c>
      <c r="AB66" s="47">
        <v>4149000</v>
      </c>
      <c r="AC66" s="41">
        <v>4149000</v>
      </c>
      <c r="AD66" s="47">
        <v>3881000</v>
      </c>
      <c r="AE66" s="16">
        <f t="shared" ref="AE66:AE97" si="31">AB66-AD66</f>
        <v>268000</v>
      </c>
      <c r="AF66" s="16">
        <v>0</v>
      </c>
      <c r="AG66" s="16">
        <v>0</v>
      </c>
      <c r="AH66" s="16">
        <v>200000</v>
      </c>
      <c r="AI66" s="16">
        <v>0</v>
      </c>
      <c r="AJ66" s="16"/>
      <c r="AK66" s="16">
        <v>0</v>
      </c>
      <c r="AL66" s="11">
        <f t="shared" ref="AL66:AL129" si="32">SUM(AB66,AF66,AG66:AJ66)-AK66</f>
        <v>4349000</v>
      </c>
      <c r="AM66" s="16">
        <f t="shared" ref="AM66:AM129" si="33">SUM(AN66:AO66)</f>
        <v>424857.59999999998</v>
      </c>
      <c r="AN66" s="16">
        <f t="shared" ref="AN66:AN129" si="34">IF(BD66=0.01,AC66*0.04,0)</f>
        <v>165960</v>
      </c>
      <c r="AO66" s="16">
        <f t="shared" si="27"/>
        <v>258897.59999999998</v>
      </c>
      <c r="AP66" s="16">
        <f t="shared" ref="AP66:AP129" si="35">IF(BC66=0.03,0.037*(AB66+AF66),0)</f>
        <v>153513</v>
      </c>
      <c r="AQ66" s="16">
        <f t="shared" ref="AQ66:AQ129" si="36">SUM(AL66:AM66)</f>
        <v>4773857.5999999996</v>
      </c>
      <c r="AR66" s="16">
        <f t="shared" si="26"/>
        <v>286431.45599999995</v>
      </c>
      <c r="AS66" s="16">
        <f t="shared" ref="AS66:AS129" si="37">SUM(AR66*0.11)</f>
        <v>31507.460159999995</v>
      </c>
      <c r="AT66" s="16">
        <f t="shared" ref="AT66:AT129" si="38">SUM(AR66*-0.02)</f>
        <v>-5728.6291199999987</v>
      </c>
      <c r="AU66" s="16">
        <f t="shared" ref="AU66:AU129" si="39">(AQ66+AR66)+AT66</f>
        <v>5054560.4268800002</v>
      </c>
      <c r="AV66" s="16">
        <f t="shared" ref="AV66:AV129" si="40">SUM(AQ66+AR66)</f>
        <v>5060289.0559999999</v>
      </c>
      <c r="AW66" s="16">
        <f t="shared" ref="AW66:AW129" si="41">SUM(AC66)*SUM(BC66,BD66)</f>
        <v>165960</v>
      </c>
      <c r="AX66" s="16" t="s">
        <v>91</v>
      </c>
      <c r="AY66" s="17"/>
      <c r="AZ66" s="17">
        <f t="shared" ref="AZ66:AZ129" si="42">IF(Y66="BCA",0,2900)</f>
        <v>2900</v>
      </c>
      <c r="BA66" s="16">
        <f t="shared" ref="BA66:BA129" si="43">SUM(AL66-AW66,AY66)</f>
        <v>4183040</v>
      </c>
      <c r="BB66" s="16">
        <f t="shared" ref="BB66:BB129" si="44">SUM(AL66-AW66,AY66)-AZ66</f>
        <v>4180140</v>
      </c>
      <c r="BC66" s="15">
        <v>0.03</v>
      </c>
      <c r="BD66" s="15">
        <v>0.01</v>
      </c>
      <c r="BE66" s="37">
        <f t="shared" ref="BE66:BE129" si="45">IF(BC66=0.03,AC66*9.24%,0)</f>
        <v>383367.6</v>
      </c>
      <c r="BF66" s="38">
        <f t="shared" ref="BF66:BF129" si="46">IF(BC66=0.03,0.057/0.0924*BE66,0)</f>
        <v>236493</v>
      </c>
      <c r="BG66" s="37">
        <f t="shared" si="24"/>
        <v>194050</v>
      </c>
      <c r="BH66" s="37">
        <f t="shared" ref="BH66:BH129" si="47">IF(BD66=0.01,AC66*5%,0)</f>
        <v>207450</v>
      </c>
      <c r="BI66">
        <v>194050</v>
      </c>
      <c r="BL66" s="8">
        <f t="shared" ref="BL66:BL129" si="48">SUM(AF66:AJ66)-AK66</f>
        <v>200000</v>
      </c>
      <c r="BM66" s="7" t="str">
        <f t="shared" si="28"/>
        <v>Terdaftar BPJS Kes &amp; Naker</v>
      </c>
      <c r="BN66" s="11">
        <f t="shared" si="29"/>
        <v>236493</v>
      </c>
      <c r="BO66" s="11">
        <f t="shared" si="30"/>
        <v>188364.6</v>
      </c>
      <c r="BP66" s="9">
        <f t="shared" ref="BP66:BP129" si="49">AM66-BN66-BO66</f>
        <v>0</v>
      </c>
      <c r="BQ66" t="str">
        <f>_xlfn.XLOOKUP(X66,'[2]NON TETAP'!$H:$H,'[2]NON TETAP'!$I:$I)</f>
        <v>GRAMEDIA ASRI MEDIA</v>
      </c>
    </row>
    <row r="67" spans="1:69" x14ac:dyDescent="0.3">
      <c r="A67" s="2">
        <v>66</v>
      </c>
      <c r="B67" s="5" t="s">
        <v>3777</v>
      </c>
      <c r="C67" s="6" t="s">
        <v>241</v>
      </c>
      <c r="D67" s="6"/>
      <c r="E67" s="6" t="s">
        <v>73</v>
      </c>
      <c r="F67" s="6"/>
      <c r="G67" s="6" t="s">
        <v>73</v>
      </c>
      <c r="H67" s="6"/>
      <c r="I67" s="6"/>
      <c r="J67" s="6"/>
      <c r="K67" s="6">
        <v>800106</v>
      </c>
      <c r="L67" s="6"/>
      <c r="M67" s="6">
        <v>25023140491</v>
      </c>
      <c r="N67" s="46" t="s">
        <v>3781</v>
      </c>
      <c r="O67" s="6">
        <v>3074564395</v>
      </c>
      <c r="P67" s="78" t="s">
        <v>3780</v>
      </c>
      <c r="Q67" s="6">
        <v>10140</v>
      </c>
      <c r="R67" s="6">
        <v>27140</v>
      </c>
      <c r="S67" s="5" t="str">
        <f>VLOOKUP(T67,'[1]Kode Posisi'!$A$3:$B$45,2,)</f>
        <v>Outsourcing Keamanan</v>
      </c>
      <c r="T67" s="36" t="s">
        <v>37</v>
      </c>
      <c r="U67" s="44">
        <v>9025</v>
      </c>
      <c r="V67" s="44" t="s">
        <v>3779</v>
      </c>
      <c r="W67" s="36" t="s">
        <v>2260</v>
      </c>
      <c r="X67" s="36" t="s">
        <v>2259</v>
      </c>
      <c r="Y67" s="36" t="s">
        <v>262</v>
      </c>
      <c r="Z67" s="79" t="s">
        <v>3778</v>
      </c>
      <c r="AA67" s="36" t="s">
        <v>3777</v>
      </c>
      <c r="AB67" s="47">
        <v>4149000</v>
      </c>
      <c r="AC67" s="41">
        <v>4149000</v>
      </c>
      <c r="AD67" s="47">
        <v>3881000</v>
      </c>
      <c r="AE67" s="16">
        <f t="shared" si="31"/>
        <v>268000</v>
      </c>
      <c r="AF67" s="16">
        <v>0</v>
      </c>
      <c r="AG67" s="16">
        <v>0</v>
      </c>
      <c r="AH67" s="16">
        <v>200000</v>
      </c>
      <c r="AI67" s="16">
        <v>0</v>
      </c>
      <c r="AJ67" s="16"/>
      <c r="AK67" s="16">
        <v>0</v>
      </c>
      <c r="AL67" s="11">
        <f t="shared" si="32"/>
        <v>4349000</v>
      </c>
      <c r="AM67" s="16">
        <f t="shared" si="33"/>
        <v>424857.59999999998</v>
      </c>
      <c r="AN67" s="16">
        <f t="shared" si="34"/>
        <v>165960</v>
      </c>
      <c r="AO67" s="16">
        <f t="shared" si="27"/>
        <v>258897.59999999998</v>
      </c>
      <c r="AP67" s="16">
        <f t="shared" si="35"/>
        <v>153513</v>
      </c>
      <c r="AQ67" s="16">
        <f t="shared" si="36"/>
        <v>4773857.5999999996</v>
      </c>
      <c r="AR67" s="16">
        <f t="shared" si="26"/>
        <v>286431.45599999995</v>
      </c>
      <c r="AS67" s="16">
        <f t="shared" si="37"/>
        <v>31507.460159999995</v>
      </c>
      <c r="AT67" s="16">
        <f t="shared" si="38"/>
        <v>-5728.6291199999987</v>
      </c>
      <c r="AU67" s="16">
        <f t="shared" si="39"/>
        <v>5054560.4268800002</v>
      </c>
      <c r="AV67" s="16">
        <f t="shared" si="40"/>
        <v>5060289.0559999999</v>
      </c>
      <c r="AW67" s="16">
        <f t="shared" si="41"/>
        <v>165960</v>
      </c>
      <c r="AX67" s="16" t="s">
        <v>477</v>
      </c>
      <c r="AY67" s="17"/>
      <c r="AZ67" s="17">
        <f t="shared" si="42"/>
        <v>2900</v>
      </c>
      <c r="BA67" s="16">
        <f t="shared" si="43"/>
        <v>4183040</v>
      </c>
      <c r="BB67" s="16">
        <f t="shared" si="44"/>
        <v>4180140</v>
      </c>
      <c r="BC67" s="15">
        <v>0.03</v>
      </c>
      <c r="BD67" s="15">
        <v>0.01</v>
      </c>
      <c r="BE67" s="37">
        <f t="shared" si="45"/>
        <v>383367.6</v>
      </c>
      <c r="BF67" s="38">
        <f t="shared" si="46"/>
        <v>236493</v>
      </c>
      <c r="BG67" s="37">
        <f t="shared" ref="BG67:BG130" si="50">5%*AD67</f>
        <v>194050</v>
      </c>
      <c r="BH67" s="37">
        <f t="shared" si="47"/>
        <v>207450</v>
      </c>
      <c r="BI67">
        <v>194050</v>
      </c>
      <c r="BL67" s="8">
        <f t="shared" si="48"/>
        <v>200000</v>
      </c>
      <c r="BM67" s="7" t="str">
        <f t="shared" si="28"/>
        <v>Terdaftar BPJS Kes &amp; Naker</v>
      </c>
      <c r="BN67" s="11">
        <f t="shared" si="29"/>
        <v>236493</v>
      </c>
      <c r="BO67" s="11">
        <f t="shared" si="30"/>
        <v>188364.6</v>
      </c>
      <c r="BP67" s="9">
        <f t="shared" si="49"/>
        <v>0</v>
      </c>
      <c r="BQ67" t="str">
        <f>_xlfn.XLOOKUP(X67,'[2]NON TETAP'!$H:$H,'[2]NON TETAP'!$I:$I)</f>
        <v>GRAMEDIA ASRI MEDIA</v>
      </c>
    </row>
    <row r="68" spans="1:69" x14ac:dyDescent="0.3">
      <c r="A68" s="2">
        <v>67</v>
      </c>
      <c r="B68" s="4" t="s">
        <v>3769</v>
      </c>
      <c r="C68" s="6" t="s">
        <v>241</v>
      </c>
      <c r="D68" s="6"/>
      <c r="E68" s="6" t="s">
        <v>73</v>
      </c>
      <c r="F68" s="6" t="s">
        <v>73</v>
      </c>
      <c r="G68" s="6"/>
      <c r="H68" s="6"/>
      <c r="I68" s="2"/>
      <c r="J68" s="2"/>
      <c r="K68" s="6">
        <v>800088</v>
      </c>
      <c r="L68" s="6"/>
      <c r="M68" s="6">
        <v>25077450325</v>
      </c>
      <c r="N68" s="46" t="s">
        <v>3776</v>
      </c>
      <c r="O68" s="6">
        <v>1557754143</v>
      </c>
      <c r="P68" s="78" t="s">
        <v>3775</v>
      </c>
      <c r="Q68" s="6">
        <v>10152</v>
      </c>
      <c r="R68" s="6">
        <v>27152</v>
      </c>
      <c r="S68" s="5" t="str">
        <f>VLOOKUP(T68,'[1]Kode Posisi'!$A$3:$B$45,2,)</f>
        <v>Outsourcing Keamanan</v>
      </c>
      <c r="T68" s="36" t="s">
        <v>37</v>
      </c>
      <c r="U68" s="44" t="s">
        <v>3774</v>
      </c>
      <c r="V68" s="44" t="s">
        <v>3773</v>
      </c>
      <c r="W68" s="36" t="s">
        <v>3772</v>
      </c>
      <c r="X68" s="36" t="s">
        <v>3771</v>
      </c>
      <c r="Y68" s="36" t="s">
        <v>262</v>
      </c>
      <c r="Z68" s="79" t="s">
        <v>3770</v>
      </c>
      <c r="AA68" s="36" t="s">
        <v>3769</v>
      </c>
      <c r="AB68" s="47">
        <v>4149000</v>
      </c>
      <c r="AC68" s="41">
        <v>4149000</v>
      </c>
      <c r="AD68" s="47">
        <v>3881000</v>
      </c>
      <c r="AE68" s="16">
        <f t="shared" si="31"/>
        <v>268000</v>
      </c>
      <c r="AF68" s="16">
        <v>0</v>
      </c>
      <c r="AG68" s="16">
        <v>0</v>
      </c>
      <c r="AI68" s="16">
        <v>0</v>
      </c>
      <c r="AJ68" s="16"/>
      <c r="AK68" s="16">
        <v>0</v>
      </c>
      <c r="AL68" s="11">
        <f t="shared" si="32"/>
        <v>4149000</v>
      </c>
      <c r="AM68" s="16">
        <f t="shared" si="33"/>
        <v>424857.59999999998</v>
      </c>
      <c r="AN68" s="16">
        <f t="shared" si="34"/>
        <v>165960</v>
      </c>
      <c r="AO68" s="16">
        <f t="shared" si="27"/>
        <v>258897.59999999998</v>
      </c>
      <c r="AP68" s="16">
        <f t="shared" si="35"/>
        <v>153513</v>
      </c>
      <c r="AQ68" s="16">
        <f t="shared" si="36"/>
        <v>4573857.5999999996</v>
      </c>
      <c r="AR68" s="16">
        <f t="shared" si="26"/>
        <v>274431.45599999995</v>
      </c>
      <c r="AS68" s="16">
        <f t="shared" si="37"/>
        <v>30187.460159999995</v>
      </c>
      <c r="AT68" s="16">
        <f t="shared" si="38"/>
        <v>-5488.6291199999987</v>
      </c>
      <c r="AU68" s="16">
        <f t="shared" si="39"/>
        <v>4842800.4268800002</v>
      </c>
      <c r="AV68" s="16">
        <f t="shared" si="40"/>
        <v>4848289.0559999999</v>
      </c>
      <c r="AW68" s="16">
        <f t="shared" si="41"/>
        <v>165960</v>
      </c>
      <c r="AX68" s="16" t="s">
        <v>319</v>
      </c>
      <c r="AY68" s="17"/>
      <c r="AZ68" s="17">
        <f t="shared" si="42"/>
        <v>2900</v>
      </c>
      <c r="BA68" s="16">
        <f t="shared" si="43"/>
        <v>3983040</v>
      </c>
      <c r="BB68" s="16">
        <f t="shared" si="44"/>
        <v>3980140</v>
      </c>
      <c r="BC68" s="15">
        <v>0.03</v>
      </c>
      <c r="BD68" s="15">
        <v>0.01</v>
      </c>
      <c r="BE68" s="37">
        <f t="shared" si="45"/>
        <v>383367.6</v>
      </c>
      <c r="BF68" s="38">
        <f t="shared" si="46"/>
        <v>236493</v>
      </c>
      <c r="BG68" s="37">
        <f t="shared" si="50"/>
        <v>194050</v>
      </c>
      <c r="BH68" s="37">
        <f t="shared" si="47"/>
        <v>207450</v>
      </c>
      <c r="BI68">
        <v>194050</v>
      </c>
      <c r="BL68" s="8">
        <f t="shared" si="48"/>
        <v>0</v>
      </c>
      <c r="BM68" s="7" t="str">
        <f t="shared" si="28"/>
        <v>Terdaftar BPJS Kes &amp; Naker</v>
      </c>
      <c r="BN68" s="11">
        <f t="shared" si="29"/>
        <v>236493</v>
      </c>
      <c r="BO68" s="11">
        <f t="shared" si="30"/>
        <v>188364.6</v>
      </c>
      <c r="BP68" s="9">
        <f t="shared" si="49"/>
        <v>0</v>
      </c>
      <c r="BQ68" t="s">
        <v>8</v>
      </c>
    </row>
    <row r="69" spans="1:69" s="87" customFormat="1" x14ac:dyDescent="0.3">
      <c r="A69" s="113">
        <v>68</v>
      </c>
      <c r="B69" s="114" t="s">
        <v>3764</v>
      </c>
      <c r="C69" s="110" t="s">
        <v>241</v>
      </c>
      <c r="D69" s="110"/>
      <c r="E69" s="110" t="s">
        <v>73</v>
      </c>
      <c r="F69" s="110" t="s">
        <v>73</v>
      </c>
      <c r="G69" s="110"/>
      <c r="H69" s="110"/>
      <c r="I69" s="113"/>
      <c r="J69" s="113"/>
      <c r="K69" s="110">
        <v>800089</v>
      </c>
      <c r="L69" s="110"/>
      <c r="M69" s="110">
        <v>25077450341</v>
      </c>
      <c r="N69" s="112" t="s">
        <v>3768</v>
      </c>
      <c r="O69" s="110">
        <v>1650829623</v>
      </c>
      <c r="P69" s="111" t="s">
        <v>3767</v>
      </c>
      <c r="Q69" s="110">
        <v>10140</v>
      </c>
      <c r="R69" s="110">
        <v>27140</v>
      </c>
      <c r="S69" s="109" t="str">
        <f>VLOOKUP(T69,'[1]Kode Posisi'!$A$3:$B$45,2,)</f>
        <v>Outsourcing Keamanan</v>
      </c>
      <c r="T69" s="106" t="s">
        <v>37</v>
      </c>
      <c r="U69" s="108">
        <v>9025</v>
      </c>
      <c r="V69" s="108" t="s">
        <v>3766</v>
      </c>
      <c r="W69" s="106" t="s">
        <v>2260</v>
      </c>
      <c r="X69" s="106" t="s">
        <v>2259</v>
      </c>
      <c r="Y69" s="106" t="s">
        <v>262</v>
      </c>
      <c r="Z69" s="107" t="s">
        <v>3765</v>
      </c>
      <c r="AA69" s="106" t="s">
        <v>3764</v>
      </c>
      <c r="AB69" s="104">
        <v>4149000</v>
      </c>
      <c r="AC69" s="105">
        <v>4149000</v>
      </c>
      <c r="AD69" s="104">
        <v>3881000</v>
      </c>
      <c r="AE69" s="102">
        <f t="shared" si="31"/>
        <v>268000</v>
      </c>
      <c r="AF69" s="102">
        <v>0</v>
      </c>
      <c r="AG69" s="102">
        <v>0</v>
      </c>
      <c r="AH69" s="102">
        <v>200000</v>
      </c>
      <c r="AI69" s="102">
        <v>0</v>
      </c>
      <c r="AJ69" s="102"/>
      <c r="AK69" s="102">
        <v>0</v>
      </c>
      <c r="AL69" s="96">
        <f t="shared" si="32"/>
        <v>4349000</v>
      </c>
      <c r="AM69" s="102">
        <f t="shared" si="33"/>
        <v>424857.59999999998</v>
      </c>
      <c r="AN69" s="102">
        <f t="shared" si="34"/>
        <v>165960</v>
      </c>
      <c r="AO69" s="102">
        <f t="shared" si="27"/>
        <v>258897.59999999998</v>
      </c>
      <c r="AP69" s="102">
        <f t="shared" si="35"/>
        <v>153513</v>
      </c>
      <c r="AQ69" s="102">
        <f t="shared" si="36"/>
        <v>4773857.5999999996</v>
      </c>
      <c r="AR69" s="102">
        <f t="shared" si="26"/>
        <v>286431.45599999995</v>
      </c>
      <c r="AS69" s="102">
        <f t="shared" si="37"/>
        <v>31507.460159999995</v>
      </c>
      <c r="AT69" s="102">
        <f t="shared" si="38"/>
        <v>-5728.6291199999987</v>
      </c>
      <c r="AU69" s="102">
        <f t="shared" si="39"/>
        <v>5054560.4268800002</v>
      </c>
      <c r="AV69" s="102">
        <f t="shared" si="40"/>
        <v>5060289.0559999999</v>
      </c>
      <c r="AW69" s="102">
        <f t="shared" si="41"/>
        <v>165960</v>
      </c>
      <c r="AX69" s="102" t="s">
        <v>235</v>
      </c>
      <c r="AY69" s="103"/>
      <c r="AZ69" s="103">
        <f t="shared" si="42"/>
        <v>2900</v>
      </c>
      <c r="BA69" s="102">
        <f t="shared" si="43"/>
        <v>4183040</v>
      </c>
      <c r="BB69" s="102">
        <f t="shared" si="44"/>
        <v>4180140</v>
      </c>
      <c r="BC69" s="101">
        <v>0.03</v>
      </c>
      <c r="BD69" s="101">
        <v>0.01</v>
      </c>
      <c r="BE69" s="99">
        <f t="shared" si="45"/>
        <v>383367.6</v>
      </c>
      <c r="BF69" s="100">
        <f t="shared" si="46"/>
        <v>236493</v>
      </c>
      <c r="BG69" s="99">
        <f t="shared" si="50"/>
        <v>194050</v>
      </c>
      <c r="BH69" s="99">
        <f t="shared" si="47"/>
        <v>207450</v>
      </c>
      <c r="BI69" s="87">
        <v>194050</v>
      </c>
      <c r="BL69" s="98">
        <f t="shared" si="48"/>
        <v>200000</v>
      </c>
      <c r="BM69" s="97" t="str">
        <f t="shared" si="28"/>
        <v>Terdaftar BPJS Kes &amp; Naker</v>
      </c>
      <c r="BN69" s="96">
        <f t="shared" si="29"/>
        <v>236493</v>
      </c>
      <c r="BO69" s="96">
        <f t="shared" si="30"/>
        <v>188364.6</v>
      </c>
      <c r="BP69" s="95">
        <f t="shared" si="49"/>
        <v>0</v>
      </c>
      <c r="BQ69" s="87" t="str">
        <f>_xlfn.XLOOKUP(X69,'[2]NON TETAP'!$H:$H,'[2]NON TETAP'!$I:$I)</f>
        <v>GRAMEDIA ASRI MEDIA</v>
      </c>
    </row>
    <row r="70" spans="1:69" x14ac:dyDescent="0.3">
      <c r="A70" s="2">
        <v>69</v>
      </c>
      <c r="B70" s="4" t="s">
        <v>3757</v>
      </c>
      <c r="C70" s="6" t="s">
        <v>241</v>
      </c>
      <c r="D70" s="6"/>
      <c r="E70" s="6" t="s">
        <v>73</v>
      </c>
      <c r="F70" s="6" t="s">
        <v>73</v>
      </c>
      <c r="G70" s="6" t="s">
        <v>73</v>
      </c>
      <c r="H70" s="6"/>
      <c r="I70" s="2"/>
      <c r="J70" s="2"/>
      <c r="K70" s="6">
        <v>800090</v>
      </c>
      <c r="L70" s="6"/>
      <c r="M70" s="6">
        <v>25077450358</v>
      </c>
      <c r="N70" s="46" t="s">
        <v>3763</v>
      </c>
      <c r="O70" s="6">
        <v>1743066742</v>
      </c>
      <c r="P70" s="78" t="s">
        <v>3762</v>
      </c>
      <c r="Q70" s="6">
        <v>10452</v>
      </c>
      <c r="R70" s="6">
        <v>27452</v>
      </c>
      <c r="S70" s="5" t="str">
        <f>VLOOKUP(T70,'[1]Kode Posisi'!$A$3:$B$45,2,)</f>
        <v>Outsourcing Keamanan</v>
      </c>
      <c r="T70" s="36" t="s">
        <v>37</v>
      </c>
      <c r="U70" s="44" t="s">
        <v>3761</v>
      </c>
      <c r="V70" s="44" t="s">
        <v>3760</v>
      </c>
      <c r="W70" s="36" t="s">
        <v>3759</v>
      </c>
      <c r="X70" s="36" t="s">
        <v>172</v>
      </c>
      <c r="Y70" s="36" t="s">
        <v>52</v>
      </c>
      <c r="Z70" s="79" t="s">
        <v>3758</v>
      </c>
      <c r="AA70" s="36" t="s">
        <v>3757</v>
      </c>
      <c r="AB70" s="47">
        <v>5730000</v>
      </c>
      <c r="AC70" s="41">
        <v>5730000</v>
      </c>
      <c r="AD70" s="47">
        <v>5397000</v>
      </c>
      <c r="AE70" s="16">
        <f t="shared" si="31"/>
        <v>333000</v>
      </c>
      <c r="AF70" s="16">
        <v>0</v>
      </c>
      <c r="AG70" s="16">
        <v>0</v>
      </c>
      <c r="AH70" s="16"/>
      <c r="AI70" s="16">
        <v>0</v>
      </c>
      <c r="AJ70" s="16"/>
      <c r="AK70" s="16">
        <v>0</v>
      </c>
      <c r="AL70" s="11">
        <f t="shared" si="32"/>
        <v>5730000</v>
      </c>
      <c r="AM70" s="16">
        <f t="shared" si="33"/>
        <v>586752</v>
      </c>
      <c r="AN70" s="16">
        <f t="shared" si="34"/>
        <v>229200</v>
      </c>
      <c r="AO70" s="16">
        <f t="shared" ref="AO70:AO101" si="51">IF(BC70=0.03,AC70*0.0624,0)</f>
        <v>357552</v>
      </c>
      <c r="AP70" s="16">
        <f t="shared" si="35"/>
        <v>212010</v>
      </c>
      <c r="AQ70" s="16">
        <f t="shared" si="36"/>
        <v>6316752</v>
      </c>
      <c r="AR70" s="16">
        <f t="shared" si="26"/>
        <v>379005.12</v>
      </c>
      <c r="AS70" s="16">
        <f t="shared" si="37"/>
        <v>41690.563199999997</v>
      </c>
      <c r="AT70" s="16">
        <f t="shared" si="38"/>
        <v>-7580.1023999999998</v>
      </c>
      <c r="AU70" s="16">
        <f t="shared" si="39"/>
        <v>6688177.0175999999</v>
      </c>
      <c r="AV70" s="16">
        <f t="shared" si="40"/>
        <v>6695757.1200000001</v>
      </c>
      <c r="AW70" s="16">
        <f t="shared" si="41"/>
        <v>229200</v>
      </c>
      <c r="AX70" s="16" t="s">
        <v>319</v>
      </c>
      <c r="AY70" s="17"/>
      <c r="AZ70" s="17">
        <f t="shared" si="42"/>
        <v>0</v>
      </c>
      <c r="BA70" s="16">
        <f t="shared" si="43"/>
        <v>5500800</v>
      </c>
      <c r="BB70" s="16">
        <f t="shared" si="44"/>
        <v>5500800</v>
      </c>
      <c r="BC70" s="15">
        <v>0.03</v>
      </c>
      <c r="BD70" s="15">
        <v>0.01</v>
      </c>
      <c r="BE70" s="37">
        <f t="shared" si="45"/>
        <v>529452</v>
      </c>
      <c r="BF70" s="38">
        <f t="shared" si="46"/>
        <v>326610</v>
      </c>
      <c r="BG70" s="37">
        <f t="shared" si="50"/>
        <v>269850</v>
      </c>
      <c r="BH70" s="37">
        <f t="shared" si="47"/>
        <v>286500</v>
      </c>
      <c r="BI70">
        <v>269850</v>
      </c>
      <c r="BL70" s="8">
        <f t="shared" si="48"/>
        <v>0</v>
      </c>
      <c r="BM70" s="7" t="str">
        <f t="shared" ref="BM70:BM89" si="52">IF(AND(BC70=0.03,BD70=0.01),"Terdaftar BPJS Kes &amp; Naker","Tidak Terdaftar")</f>
        <v>Terdaftar BPJS Kes &amp; Naker</v>
      </c>
      <c r="BN70" s="11">
        <f t="shared" ref="BN70:BN89" si="53">AC70*5.7%</f>
        <v>326610</v>
      </c>
      <c r="BO70" s="11">
        <f t="shared" ref="BO70:BO89" si="54">AC70*4.54%</f>
        <v>260142.00000000003</v>
      </c>
      <c r="BP70" s="9">
        <f t="shared" si="49"/>
        <v>0</v>
      </c>
      <c r="BQ70" t="str">
        <f>_xlfn.XLOOKUP(X70,'[2]NON TETAP'!$H:$H,'[2]NON TETAP'!$I:$I)</f>
        <v>GRAMEDIA ASRI MEDIA</v>
      </c>
    </row>
    <row r="71" spans="1:69" x14ac:dyDescent="0.3">
      <c r="A71" s="2">
        <v>70</v>
      </c>
      <c r="B71" s="5" t="s">
        <v>3756</v>
      </c>
      <c r="C71" s="6" t="s">
        <v>241</v>
      </c>
      <c r="D71" s="6"/>
      <c r="E71" s="6" t="s">
        <v>73</v>
      </c>
      <c r="F71" s="6" t="s">
        <v>73</v>
      </c>
      <c r="G71" s="6" t="s">
        <v>73</v>
      </c>
      <c r="H71" s="6"/>
      <c r="I71" s="6"/>
      <c r="J71" s="6"/>
      <c r="K71" s="6">
        <v>800094</v>
      </c>
      <c r="L71" s="6"/>
      <c r="M71" s="6">
        <v>25023140921</v>
      </c>
      <c r="N71" s="46" t="s">
        <v>3755</v>
      </c>
      <c r="O71" s="6">
        <v>1141745411</v>
      </c>
      <c r="P71" s="78" t="s">
        <v>3754</v>
      </c>
      <c r="Q71" s="6">
        <v>10477</v>
      </c>
      <c r="R71" s="6">
        <v>27477</v>
      </c>
      <c r="S71" s="5" t="str">
        <f>VLOOKUP(T71,'[1]Kode Posisi'!$A$3:$B$45,2,)</f>
        <v>Outsourcing Keamanan</v>
      </c>
      <c r="T71" s="36" t="s">
        <v>37</v>
      </c>
      <c r="U71" s="44" t="s">
        <v>46</v>
      </c>
      <c r="V71" s="44" t="s">
        <v>3753</v>
      </c>
      <c r="W71" s="5" t="s">
        <v>12</v>
      </c>
      <c r="X71" s="5" t="s">
        <v>11</v>
      </c>
      <c r="Y71" s="36" t="s">
        <v>262</v>
      </c>
      <c r="Z71" s="79" t="s">
        <v>3752</v>
      </c>
      <c r="AA71" s="36" t="s">
        <v>3751</v>
      </c>
      <c r="AB71" s="47">
        <v>5730000</v>
      </c>
      <c r="AC71" s="41">
        <v>5730000</v>
      </c>
      <c r="AD71" s="47">
        <v>5397000</v>
      </c>
      <c r="AE71" s="16">
        <f t="shared" si="31"/>
        <v>333000</v>
      </c>
      <c r="AF71" s="16">
        <v>0</v>
      </c>
      <c r="AG71" s="16">
        <v>0</v>
      </c>
      <c r="AH71" s="16"/>
      <c r="AI71" s="16">
        <v>0</v>
      </c>
      <c r="AJ71" s="16"/>
      <c r="AK71" s="16">
        <v>0</v>
      </c>
      <c r="AL71" s="11">
        <f t="shared" si="32"/>
        <v>5730000</v>
      </c>
      <c r="AM71" s="16">
        <f t="shared" si="33"/>
        <v>586752</v>
      </c>
      <c r="AN71" s="16">
        <f t="shared" si="34"/>
        <v>229200</v>
      </c>
      <c r="AO71" s="16">
        <f t="shared" si="51"/>
        <v>357552</v>
      </c>
      <c r="AP71" s="16">
        <f t="shared" si="35"/>
        <v>212010</v>
      </c>
      <c r="AQ71" s="16">
        <f t="shared" si="36"/>
        <v>6316752</v>
      </c>
      <c r="AR71" s="16">
        <f t="shared" si="26"/>
        <v>379005.12</v>
      </c>
      <c r="AS71" s="16">
        <f t="shared" si="37"/>
        <v>41690.563199999997</v>
      </c>
      <c r="AT71" s="16">
        <f t="shared" si="38"/>
        <v>-7580.1023999999998</v>
      </c>
      <c r="AU71" s="16">
        <f t="shared" si="39"/>
        <v>6688177.0175999999</v>
      </c>
      <c r="AV71" s="16">
        <f t="shared" si="40"/>
        <v>6695757.1200000001</v>
      </c>
      <c r="AW71" s="16">
        <f t="shared" si="41"/>
        <v>229200</v>
      </c>
      <c r="AX71" s="16" t="s">
        <v>91</v>
      </c>
      <c r="AY71" s="17"/>
      <c r="AZ71" s="17">
        <f t="shared" si="42"/>
        <v>2900</v>
      </c>
      <c r="BA71" s="16">
        <f t="shared" si="43"/>
        <v>5500800</v>
      </c>
      <c r="BB71" s="16">
        <f t="shared" si="44"/>
        <v>5497900</v>
      </c>
      <c r="BC71" s="15">
        <v>0.03</v>
      </c>
      <c r="BD71" s="15">
        <v>0.01</v>
      </c>
      <c r="BE71" s="37">
        <f t="shared" si="45"/>
        <v>529452</v>
      </c>
      <c r="BF71" s="38">
        <f t="shared" si="46"/>
        <v>326610</v>
      </c>
      <c r="BG71" s="37">
        <f t="shared" si="50"/>
        <v>269850</v>
      </c>
      <c r="BH71" s="37">
        <f t="shared" si="47"/>
        <v>286500</v>
      </c>
      <c r="BI71">
        <v>269850</v>
      </c>
      <c r="BL71" s="8">
        <f t="shared" si="48"/>
        <v>0</v>
      </c>
      <c r="BM71" s="7" t="str">
        <f t="shared" si="52"/>
        <v>Terdaftar BPJS Kes &amp; Naker</v>
      </c>
      <c r="BN71" s="11">
        <f t="shared" si="53"/>
        <v>326610</v>
      </c>
      <c r="BO71" s="11">
        <f t="shared" si="54"/>
        <v>260142.00000000003</v>
      </c>
      <c r="BP71" s="9">
        <f t="shared" si="49"/>
        <v>0</v>
      </c>
      <c r="BQ71" t="str">
        <f>_xlfn.XLOOKUP(X71,'[2]NON TETAP'!$H:$H,'[2]NON TETAP'!$I:$I)</f>
        <v>GRAMEDIA ASRI MEDIA</v>
      </c>
    </row>
    <row r="72" spans="1:69" x14ac:dyDescent="0.3">
      <c r="A72" s="2">
        <v>71</v>
      </c>
      <c r="B72" s="5" t="s">
        <v>3750</v>
      </c>
      <c r="C72" s="6" t="s">
        <v>241</v>
      </c>
      <c r="D72" s="6"/>
      <c r="E72" s="6" t="s">
        <v>73</v>
      </c>
      <c r="F72" s="6" t="s">
        <v>73</v>
      </c>
      <c r="G72" s="6" t="s">
        <v>73</v>
      </c>
      <c r="H72" s="6"/>
      <c r="I72" s="6"/>
      <c r="J72" s="6"/>
      <c r="K72" s="6">
        <v>800095</v>
      </c>
      <c r="L72" s="6"/>
      <c r="M72" s="6">
        <v>22044445405</v>
      </c>
      <c r="N72" s="46" t="s">
        <v>3749</v>
      </c>
      <c r="O72" s="6">
        <v>1656735265</v>
      </c>
      <c r="P72" s="78" t="s">
        <v>3748</v>
      </c>
      <c r="Q72" s="6">
        <v>10108</v>
      </c>
      <c r="R72" s="6">
        <v>27108</v>
      </c>
      <c r="S72" s="5" t="str">
        <f>VLOOKUP(T72,'[1]Kode Posisi'!$A$3:$B$45,2,)</f>
        <v>Outsourcing Keamanan</v>
      </c>
      <c r="T72" s="36" t="s">
        <v>37</v>
      </c>
      <c r="U72" s="44" t="s">
        <v>46</v>
      </c>
      <c r="V72" s="44" t="s">
        <v>3747</v>
      </c>
      <c r="W72" s="36" t="s">
        <v>45</v>
      </c>
      <c r="X72" s="36" t="s">
        <v>44</v>
      </c>
      <c r="Y72" s="36" t="s">
        <v>52</v>
      </c>
      <c r="Z72" s="79" t="s">
        <v>3746</v>
      </c>
      <c r="AA72" s="36" t="s">
        <v>3745</v>
      </c>
      <c r="AB72" s="47">
        <v>5730000</v>
      </c>
      <c r="AC72" s="41">
        <v>5730000</v>
      </c>
      <c r="AD72" s="47">
        <v>5397000</v>
      </c>
      <c r="AE72" s="16">
        <f t="shared" si="31"/>
        <v>333000</v>
      </c>
      <c r="AF72" s="16">
        <v>0</v>
      </c>
      <c r="AG72" s="16">
        <v>0</v>
      </c>
      <c r="AH72" s="16"/>
      <c r="AI72" s="16">
        <v>436751.44508670521</v>
      </c>
      <c r="AJ72" s="16"/>
      <c r="AK72" s="16">
        <v>0</v>
      </c>
      <c r="AL72" s="11">
        <f t="shared" si="32"/>
        <v>6166751.4450867055</v>
      </c>
      <c r="AM72" s="16">
        <f t="shared" si="33"/>
        <v>586752</v>
      </c>
      <c r="AN72" s="16">
        <f t="shared" si="34"/>
        <v>229200</v>
      </c>
      <c r="AO72" s="16">
        <f t="shared" si="51"/>
        <v>357552</v>
      </c>
      <c r="AP72" s="16">
        <f t="shared" si="35"/>
        <v>212010</v>
      </c>
      <c r="AQ72" s="16">
        <f t="shared" si="36"/>
        <v>6753503.4450867055</v>
      </c>
      <c r="AR72" s="16">
        <f t="shared" si="26"/>
        <v>405210.20670520229</v>
      </c>
      <c r="AS72" s="16">
        <f t="shared" si="37"/>
        <v>44573.122737572252</v>
      </c>
      <c r="AT72" s="16">
        <f t="shared" si="38"/>
        <v>-8104.2041341040458</v>
      </c>
      <c r="AU72" s="16">
        <f t="shared" si="39"/>
        <v>7150609.447657804</v>
      </c>
      <c r="AV72" s="16">
        <f t="shared" si="40"/>
        <v>7158713.6517919078</v>
      </c>
      <c r="AW72" s="16">
        <f t="shared" si="41"/>
        <v>229200</v>
      </c>
      <c r="AX72" s="16" t="s">
        <v>286</v>
      </c>
      <c r="AY72" s="17"/>
      <c r="AZ72" s="17">
        <f t="shared" si="42"/>
        <v>0</v>
      </c>
      <c r="BA72" s="16">
        <f t="shared" si="43"/>
        <v>5937551.4450867055</v>
      </c>
      <c r="BB72" s="16">
        <f t="shared" si="44"/>
        <v>5937551.4450867055</v>
      </c>
      <c r="BC72" s="15">
        <v>0.03</v>
      </c>
      <c r="BD72" s="15">
        <v>0.01</v>
      </c>
      <c r="BE72" s="37">
        <f t="shared" si="45"/>
        <v>529452</v>
      </c>
      <c r="BF72" s="38">
        <f t="shared" si="46"/>
        <v>326610</v>
      </c>
      <c r="BG72" s="37">
        <f t="shared" si="50"/>
        <v>269850</v>
      </c>
      <c r="BH72" s="37">
        <f t="shared" si="47"/>
        <v>286500</v>
      </c>
      <c r="BI72">
        <v>269850</v>
      </c>
      <c r="BL72" s="8">
        <f t="shared" si="48"/>
        <v>436751.44508670521</v>
      </c>
      <c r="BM72" s="7" t="str">
        <f t="shared" si="52"/>
        <v>Terdaftar BPJS Kes &amp; Naker</v>
      </c>
      <c r="BN72" s="11">
        <f t="shared" si="53"/>
        <v>326610</v>
      </c>
      <c r="BO72" s="11">
        <f t="shared" si="54"/>
        <v>260142.00000000003</v>
      </c>
      <c r="BP72" s="9">
        <f t="shared" si="49"/>
        <v>0</v>
      </c>
      <c r="BQ72" t="str">
        <f>_xlfn.XLOOKUP(X72,'[2]NON TETAP'!$H:$H,'[2]NON TETAP'!$I:$I)</f>
        <v>GRAMEDIA ASRI MEDIA</v>
      </c>
    </row>
    <row r="73" spans="1:69" x14ac:dyDescent="0.3">
      <c r="A73" s="2">
        <v>72</v>
      </c>
      <c r="B73" s="5" t="s">
        <v>3744</v>
      </c>
      <c r="C73" s="6" t="s">
        <v>241</v>
      </c>
      <c r="D73" s="6"/>
      <c r="E73" s="6" t="s">
        <v>73</v>
      </c>
      <c r="F73" s="6" t="s">
        <v>73</v>
      </c>
      <c r="G73" s="6" t="s">
        <v>73</v>
      </c>
      <c r="H73" s="6"/>
      <c r="I73" s="6"/>
      <c r="J73" s="6"/>
      <c r="K73" s="6">
        <v>800096</v>
      </c>
      <c r="L73" s="6"/>
      <c r="M73" s="6">
        <v>25023140442</v>
      </c>
      <c r="N73" s="46" t="s">
        <v>3743</v>
      </c>
      <c r="O73" s="6">
        <v>1226330122</v>
      </c>
      <c r="P73" s="78" t="s">
        <v>3742</v>
      </c>
      <c r="Q73" s="6">
        <v>10108</v>
      </c>
      <c r="R73" s="6">
        <v>27108</v>
      </c>
      <c r="S73" s="5" t="str">
        <f>VLOOKUP(T73,'[1]Kode Posisi'!$A$3:$B$45,2,)</f>
        <v>Outsourcing Keamanan</v>
      </c>
      <c r="T73" s="36" t="s">
        <v>37</v>
      </c>
      <c r="U73" s="44" t="s">
        <v>46</v>
      </c>
      <c r="V73" s="44" t="s">
        <v>3741</v>
      </c>
      <c r="W73" s="36" t="s">
        <v>45</v>
      </c>
      <c r="X73" s="36" t="s">
        <v>44</v>
      </c>
      <c r="Y73" s="36" t="s">
        <v>52</v>
      </c>
      <c r="Z73" s="79" t="s">
        <v>3740</v>
      </c>
      <c r="AA73" s="36" t="s">
        <v>3739</v>
      </c>
      <c r="AB73" s="47">
        <v>5730000</v>
      </c>
      <c r="AC73" s="41">
        <v>5730000</v>
      </c>
      <c r="AD73" s="47">
        <v>5397000</v>
      </c>
      <c r="AE73" s="16">
        <f t="shared" si="31"/>
        <v>333000</v>
      </c>
      <c r="AF73" s="16">
        <v>0</v>
      </c>
      <c r="AG73" s="16">
        <v>0</v>
      </c>
      <c r="AH73" s="16"/>
      <c r="AI73" s="16">
        <v>0</v>
      </c>
      <c r="AJ73" s="16"/>
      <c r="AK73" s="16">
        <v>0</v>
      </c>
      <c r="AL73" s="11">
        <f t="shared" si="32"/>
        <v>5730000</v>
      </c>
      <c r="AM73" s="16">
        <f t="shared" si="33"/>
        <v>586752</v>
      </c>
      <c r="AN73" s="16">
        <f t="shared" si="34"/>
        <v>229200</v>
      </c>
      <c r="AO73" s="16">
        <f t="shared" si="51"/>
        <v>357552</v>
      </c>
      <c r="AP73" s="16">
        <f t="shared" si="35"/>
        <v>212010</v>
      </c>
      <c r="AQ73" s="16">
        <f t="shared" si="36"/>
        <v>6316752</v>
      </c>
      <c r="AR73" s="16">
        <f t="shared" si="26"/>
        <v>379005.12</v>
      </c>
      <c r="AS73" s="16">
        <f t="shared" si="37"/>
        <v>41690.563199999997</v>
      </c>
      <c r="AT73" s="16">
        <f t="shared" si="38"/>
        <v>-7580.1023999999998</v>
      </c>
      <c r="AU73" s="16">
        <f t="shared" si="39"/>
        <v>6688177.0175999999</v>
      </c>
      <c r="AV73" s="16">
        <f t="shared" si="40"/>
        <v>6695757.1200000001</v>
      </c>
      <c r="AW73" s="16">
        <f t="shared" si="41"/>
        <v>229200</v>
      </c>
      <c r="AX73" s="16" t="s">
        <v>319</v>
      </c>
      <c r="AY73" s="17"/>
      <c r="AZ73" s="17">
        <f t="shared" si="42"/>
        <v>0</v>
      </c>
      <c r="BA73" s="16">
        <f t="shared" si="43"/>
        <v>5500800</v>
      </c>
      <c r="BB73" s="16">
        <f t="shared" si="44"/>
        <v>5500800</v>
      </c>
      <c r="BC73" s="15">
        <v>0.03</v>
      </c>
      <c r="BD73" s="15">
        <v>0.01</v>
      </c>
      <c r="BE73" s="37">
        <f t="shared" si="45"/>
        <v>529452</v>
      </c>
      <c r="BF73" s="38">
        <f t="shared" si="46"/>
        <v>326610</v>
      </c>
      <c r="BG73" s="37">
        <f t="shared" si="50"/>
        <v>269850</v>
      </c>
      <c r="BH73" s="37">
        <f t="shared" si="47"/>
        <v>286500</v>
      </c>
      <c r="BI73">
        <v>269850</v>
      </c>
      <c r="BL73" s="8">
        <f t="shared" si="48"/>
        <v>0</v>
      </c>
      <c r="BM73" s="7" t="str">
        <f t="shared" si="52"/>
        <v>Terdaftar BPJS Kes &amp; Naker</v>
      </c>
      <c r="BN73" s="11">
        <f t="shared" si="53"/>
        <v>326610</v>
      </c>
      <c r="BO73" s="11">
        <f t="shared" si="54"/>
        <v>260142.00000000003</v>
      </c>
      <c r="BP73" s="9">
        <f t="shared" si="49"/>
        <v>0</v>
      </c>
      <c r="BQ73" t="str">
        <f>_xlfn.XLOOKUP(X73,'[2]NON TETAP'!$H:$H,'[2]NON TETAP'!$I:$I)</f>
        <v>GRAMEDIA ASRI MEDIA</v>
      </c>
    </row>
    <row r="74" spans="1:69" x14ac:dyDescent="0.3">
      <c r="A74" s="2">
        <v>73</v>
      </c>
      <c r="B74" s="5" t="s">
        <v>2476</v>
      </c>
      <c r="C74" s="6" t="s">
        <v>241</v>
      </c>
      <c r="D74" s="6"/>
      <c r="E74" s="6" t="s">
        <v>73</v>
      </c>
      <c r="F74" s="6" t="s">
        <v>73</v>
      </c>
      <c r="G74" s="6" t="s">
        <v>73</v>
      </c>
      <c r="H74" s="6"/>
      <c r="I74" s="6"/>
      <c r="J74" s="6"/>
      <c r="K74" s="6">
        <v>800097</v>
      </c>
      <c r="L74" s="6"/>
      <c r="M74" s="6">
        <v>25023140459</v>
      </c>
      <c r="N74" s="46" t="s">
        <v>3738</v>
      </c>
      <c r="O74" s="6">
        <v>1139036545</v>
      </c>
      <c r="P74" s="78" t="s">
        <v>3737</v>
      </c>
      <c r="Q74" s="6">
        <v>10108</v>
      </c>
      <c r="R74" s="6">
        <v>27108</v>
      </c>
      <c r="S74" s="5" t="str">
        <f>VLOOKUP(T74,'[1]Kode Posisi'!$A$3:$B$45,2,)</f>
        <v>Outsourcing Keamanan</v>
      </c>
      <c r="T74" s="36" t="s">
        <v>2850</v>
      </c>
      <c r="U74" s="44" t="s">
        <v>46</v>
      </c>
      <c r="V74" s="44" t="s">
        <v>3736</v>
      </c>
      <c r="W74" s="36" t="s">
        <v>45</v>
      </c>
      <c r="X74" s="36" t="s">
        <v>44</v>
      </c>
      <c r="Y74" s="36" t="s">
        <v>262</v>
      </c>
      <c r="Z74" s="79" t="s">
        <v>3735</v>
      </c>
      <c r="AA74" s="36" t="s">
        <v>2476</v>
      </c>
      <c r="AB74" s="47">
        <v>5730000</v>
      </c>
      <c r="AC74" s="41">
        <v>5730000</v>
      </c>
      <c r="AD74" s="47">
        <v>5397000</v>
      </c>
      <c r="AE74" s="16">
        <f t="shared" si="31"/>
        <v>333000</v>
      </c>
      <c r="AF74" s="16"/>
      <c r="AG74" s="16">
        <v>200000</v>
      </c>
      <c r="AH74" s="16"/>
      <c r="AI74" s="16">
        <v>0</v>
      </c>
      <c r="AJ74" s="16"/>
      <c r="AK74" s="16">
        <v>0</v>
      </c>
      <c r="AL74" s="11">
        <f t="shared" si="32"/>
        <v>5930000</v>
      </c>
      <c r="AM74" s="16">
        <f t="shared" si="33"/>
        <v>586752</v>
      </c>
      <c r="AN74" s="16">
        <f t="shared" si="34"/>
        <v>229200</v>
      </c>
      <c r="AO74" s="16">
        <f t="shared" si="51"/>
        <v>357552</v>
      </c>
      <c r="AP74" s="16">
        <f t="shared" si="35"/>
        <v>212010</v>
      </c>
      <c r="AQ74" s="16">
        <f t="shared" si="36"/>
        <v>6516752</v>
      </c>
      <c r="AR74" s="16">
        <f t="shared" si="26"/>
        <v>391005.12</v>
      </c>
      <c r="AS74" s="16">
        <f t="shared" si="37"/>
        <v>43010.563199999997</v>
      </c>
      <c r="AT74" s="16">
        <f t="shared" si="38"/>
        <v>-7820.1023999999998</v>
      </c>
      <c r="AU74" s="16">
        <f t="shared" si="39"/>
        <v>6899937.0175999999</v>
      </c>
      <c r="AV74" s="16">
        <f t="shared" si="40"/>
        <v>6907757.1200000001</v>
      </c>
      <c r="AW74" s="16">
        <f t="shared" si="41"/>
        <v>229200</v>
      </c>
      <c r="AX74" s="16" t="s">
        <v>286</v>
      </c>
      <c r="AY74" s="17"/>
      <c r="AZ74" s="17">
        <f t="shared" si="42"/>
        <v>2900</v>
      </c>
      <c r="BA74" s="16">
        <f t="shared" si="43"/>
        <v>5700800</v>
      </c>
      <c r="BB74" s="16">
        <f t="shared" si="44"/>
        <v>5697900</v>
      </c>
      <c r="BC74" s="15">
        <v>0.03</v>
      </c>
      <c r="BD74" s="15">
        <v>0.01</v>
      </c>
      <c r="BE74" s="37">
        <f t="shared" si="45"/>
        <v>529452</v>
      </c>
      <c r="BF74" s="38">
        <f t="shared" si="46"/>
        <v>326610</v>
      </c>
      <c r="BG74" s="37">
        <f t="shared" si="50"/>
        <v>269850</v>
      </c>
      <c r="BH74" s="37">
        <f t="shared" si="47"/>
        <v>286500</v>
      </c>
      <c r="BI74">
        <v>269850</v>
      </c>
      <c r="BL74" s="8">
        <f t="shared" si="48"/>
        <v>200000</v>
      </c>
      <c r="BM74" s="7" t="str">
        <f t="shared" si="52"/>
        <v>Terdaftar BPJS Kes &amp; Naker</v>
      </c>
      <c r="BN74" s="11">
        <f t="shared" si="53"/>
        <v>326610</v>
      </c>
      <c r="BO74" s="11">
        <f t="shared" si="54"/>
        <v>260142.00000000003</v>
      </c>
      <c r="BP74" s="9">
        <f t="shared" si="49"/>
        <v>0</v>
      </c>
      <c r="BQ74" t="str">
        <f>_xlfn.XLOOKUP(X74,'[2]NON TETAP'!$H:$H,'[2]NON TETAP'!$I:$I)</f>
        <v>GRAMEDIA ASRI MEDIA</v>
      </c>
    </row>
    <row r="75" spans="1:69" x14ac:dyDescent="0.3">
      <c r="A75" s="2">
        <v>74</v>
      </c>
      <c r="B75" s="5" t="s">
        <v>3730</v>
      </c>
      <c r="C75" s="6" t="s">
        <v>241</v>
      </c>
      <c r="D75" s="6"/>
      <c r="E75" s="6" t="s">
        <v>73</v>
      </c>
      <c r="F75" s="6" t="s">
        <v>73</v>
      </c>
      <c r="G75" s="6" t="s">
        <v>73</v>
      </c>
      <c r="H75" s="6"/>
      <c r="I75" s="6"/>
      <c r="J75" s="6"/>
      <c r="K75" s="6">
        <v>800098</v>
      </c>
      <c r="L75" s="6"/>
      <c r="M75" s="6">
        <v>25023140483</v>
      </c>
      <c r="N75" s="46" t="s">
        <v>3734</v>
      </c>
      <c r="O75" s="6">
        <v>1149375036</v>
      </c>
      <c r="P75" s="78" t="s">
        <v>3733</v>
      </c>
      <c r="Q75" s="6">
        <v>10108</v>
      </c>
      <c r="R75" s="6">
        <v>27108</v>
      </c>
      <c r="S75" s="5" t="str">
        <f>VLOOKUP(T75,'[1]Kode Posisi'!$A$3:$B$45,2,)</f>
        <v>Outsourcing Keamanan</v>
      </c>
      <c r="T75" s="36" t="s">
        <v>37</v>
      </c>
      <c r="U75" s="44" t="s">
        <v>46</v>
      </c>
      <c r="V75" s="44" t="s">
        <v>3732</v>
      </c>
      <c r="W75" s="36" t="s">
        <v>45</v>
      </c>
      <c r="X75" s="36" t="s">
        <v>44</v>
      </c>
      <c r="Y75" s="36" t="s">
        <v>262</v>
      </c>
      <c r="Z75" s="79" t="s">
        <v>3731</v>
      </c>
      <c r="AA75" s="36" t="s">
        <v>3730</v>
      </c>
      <c r="AB75" s="47">
        <v>5730000</v>
      </c>
      <c r="AC75" s="41">
        <v>5730000</v>
      </c>
      <c r="AD75" s="47">
        <v>5397000</v>
      </c>
      <c r="AE75" s="16">
        <f t="shared" si="31"/>
        <v>333000</v>
      </c>
      <c r="AF75" s="16">
        <v>0</v>
      </c>
      <c r="AG75" s="16">
        <v>0</v>
      </c>
      <c r="AH75" s="16"/>
      <c r="AI75" s="16">
        <v>218375.7225433526</v>
      </c>
      <c r="AJ75" s="16"/>
      <c r="AK75" s="16">
        <v>0</v>
      </c>
      <c r="AL75" s="11">
        <f t="shared" si="32"/>
        <v>5948375.7225433523</v>
      </c>
      <c r="AM75" s="16">
        <f t="shared" si="33"/>
        <v>586752</v>
      </c>
      <c r="AN75" s="16">
        <f t="shared" si="34"/>
        <v>229200</v>
      </c>
      <c r="AO75" s="16">
        <f t="shared" si="51"/>
        <v>357552</v>
      </c>
      <c r="AP75" s="16">
        <f t="shared" si="35"/>
        <v>212010</v>
      </c>
      <c r="AQ75" s="16">
        <f t="shared" si="36"/>
        <v>6535127.7225433523</v>
      </c>
      <c r="AR75" s="16">
        <f t="shared" si="26"/>
        <v>392107.66335260111</v>
      </c>
      <c r="AS75" s="16">
        <f t="shared" si="37"/>
        <v>43131.842968786121</v>
      </c>
      <c r="AT75" s="16">
        <f t="shared" si="38"/>
        <v>-7842.1532670520228</v>
      </c>
      <c r="AU75" s="16">
        <f t="shared" si="39"/>
        <v>6919393.2326289015</v>
      </c>
      <c r="AV75" s="16">
        <f t="shared" si="40"/>
        <v>6927235.3858959535</v>
      </c>
      <c r="AW75" s="16">
        <f t="shared" si="41"/>
        <v>229200</v>
      </c>
      <c r="AX75" s="16" t="s">
        <v>286</v>
      </c>
      <c r="AY75" s="17"/>
      <c r="AZ75" s="17">
        <f t="shared" si="42"/>
        <v>2900</v>
      </c>
      <c r="BA75" s="16">
        <f t="shared" si="43"/>
        <v>5719175.7225433523</v>
      </c>
      <c r="BB75" s="16">
        <f t="shared" si="44"/>
        <v>5716275.7225433523</v>
      </c>
      <c r="BC75" s="15">
        <v>0.03</v>
      </c>
      <c r="BD75" s="15">
        <v>0.01</v>
      </c>
      <c r="BE75" s="37">
        <f t="shared" si="45"/>
        <v>529452</v>
      </c>
      <c r="BF75" s="38">
        <f t="shared" si="46"/>
        <v>326610</v>
      </c>
      <c r="BG75" s="37">
        <f t="shared" si="50"/>
        <v>269850</v>
      </c>
      <c r="BH75" s="37">
        <f t="shared" si="47"/>
        <v>286500</v>
      </c>
      <c r="BI75">
        <v>269850</v>
      </c>
      <c r="BL75" s="8">
        <f t="shared" si="48"/>
        <v>218375.7225433526</v>
      </c>
      <c r="BM75" s="7" t="str">
        <f t="shared" si="52"/>
        <v>Terdaftar BPJS Kes &amp; Naker</v>
      </c>
      <c r="BN75" s="11">
        <f t="shared" si="53"/>
        <v>326610</v>
      </c>
      <c r="BO75" s="11">
        <f t="shared" si="54"/>
        <v>260142.00000000003</v>
      </c>
      <c r="BP75" s="9">
        <f t="shared" si="49"/>
        <v>0</v>
      </c>
      <c r="BQ75" t="str">
        <f>_xlfn.XLOOKUP(X75,'[2]NON TETAP'!$H:$H,'[2]NON TETAP'!$I:$I)</f>
        <v>GRAMEDIA ASRI MEDIA</v>
      </c>
    </row>
    <row r="76" spans="1:69" x14ac:dyDescent="0.3">
      <c r="A76" s="2">
        <v>75</v>
      </c>
      <c r="B76" s="5" t="s">
        <v>3724</v>
      </c>
      <c r="C76" s="6" t="s">
        <v>241</v>
      </c>
      <c r="D76" s="6"/>
      <c r="E76" s="6" t="s">
        <v>73</v>
      </c>
      <c r="F76" s="6" t="s">
        <v>73</v>
      </c>
      <c r="G76" s="6" t="s">
        <v>73</v>
      </c>
      <c r="H76" s="6"/>
      <c r="I76" s="6" t="s">
        <v>3729</v>
      </c>
      <c r="J76" s="6"/>
      <c r="K76" s="6">
        <v>800099</v>
      </c>
      <c r="L76" s="6"/>
      <c r="M76" s="6">
        <v>25023140467</v>
      </c>
      <c r="N76" s="46" t="s">
        <v>3728</v>
      </c>
      <c r="O76" s="6">
        <v>1137522802</v>
      </c>
      <c r="P76" s="78" t="s">
        <v>3727</v>
      </c>
      <c r="Q76" s="6">
        <v>10108</v>
      </c>
      <c r="R76" s="6">
        <v>27108</v>
      </c>
      <c r="S76" s="5" t="str">
        <f>VLOOKUP(T76,'[1]Kode Posisi'!$A$3:$B$45,2,)</f>
        <v>Outsourcing Keamanan</v>
      </c>
      <c r="T76" s="36" t="s">
        <v>37</v>
      </c>
      <c r="U76" s="44" t="s">
        <v>46</v>
      </c>
      <c r="V76" s="44" t="s">
        <v>3726</v>
      </c>
      <c r="W76" s="36" t="s">
        <v>45</v>
      </c>
      <c r="X76" s="36" t="s">
        <v>44</v>
      </c>
      <c r="Y76" s="36" t="s">
        <v>52</v>
      </c>
      <c r="Z76" s="79" t="s">
        <v>3725</v>
      </c>
      <c r="AA76" s="36" t="s">
        <v>3724</v>
      </c>
      <c r="AB76" s="47">
        <v>5730000</v>
      </c>
      <c r="AC76" s="41">
        <v>5730000</v>
      </c>
      <c r="AD76" s="47">
        <v>5397000</v>
      </c>
      <c r="AE76" s="16">
        <f t="shared" si="31"/>
        <v>333000</v>
      </c>
      <c r="AF76" s="16">
        <v>0</v>
      </c>
      <c r="AG76" s="16">
        <v>0</v>
      </c>
      <c r="AH76" s="16"/>
      <c r="AI76" s="16">
        <v>0</v>
      </c>
      <c r="AJ76" s="16"/>
      <c r="AK76" s="16">
        <v>0</v>
      </c>
      <c r="AL76" s="11">
        <f t="shared" si="32"/>
        <v>5730000</v>
      </c>
      <c r="AM76" s="16">
        <f t="shared" si="33"/>
        <v>586752</v>
      </c>
      <c r="AN76" s="16">
        <f t="shared" si="34"/>
        <v>229200</v>
      </c>
      <c r="AO76" s="16">
        <f t="shared" si="51"/>
        <v>357552</v>
      </c>
      <c r="AP76" s="16">
        <f t="shared" si="35"/>
        <v>212010</v>
      </c>
      <c r="AQ76" s="16">
        <f t="shared" si="36"/>
        <v>6316752</v>
      </c>
      <c r="AR76" s="16">
        <f t="shared" si="26"/>
        <v>379005.12</v>
      </c>
      <c r="AS76" s="16">
        <f t="shared" si="37"/>
        <v>41690.563199999997</v>
      </c>
      <c r="AT76" s="16">
        <f t="shared" si="38"/>
        <v>-7580.1023999999998</v>
      </c>
      <c r="AU76" s="16">
        <f t="shared" si="39"/>
        <v>6688177.0175999999</v>
      </c>
      <c r="AV76" s="16">
        <f t="shared" si="40"/>
        <v>6695757.1200000001</v>
      </c>
      <c r="AW76" s="16">
        <f t="shared" si="41"/>
        <v>229200</v>
      </c>
      <c r="AX76" s="16" t="s">
        <v>319</v>
      </c>
      <c r="AY76" s="17"/>
      <c r="AZ76" s="17">
        <f t="shared" si="42"/>
        <v>0</v>
      </c>
      <c r="BA76" s="16">
        <f t="shared" si="43"/>
        <v>5500800</v>
      </c>
      <c r="BB76" s="16">
        <f t="shared" si="44"/>
        <v>5500800</v>
      </c>
      <c r="BC76" s="15">
        <v>0.03</v>
      </c>
      <c r="BD76" s="15">
        <v>0.01</v>
      </c>
      <c r="BE76" s="37">
        <f t="shared" si="45"/>
        <v>529452</v>
      </c>
      <c r="BF76" s="38">
        <f t="shared" si="46"/>
        <v>326610</v>
      </c>
      <c r="BG76" s="37">
        <f t="shared" si="50"/>
        <v>269850</v>
      </c>
      <c r="BH76" s="37">
        <f t="shared" si="47"/>
        <v>286500</v>
      </c>
      <c r="BI76">
        <v>269850</v>
      </c>
      <c r="BL76" s="8">
        <f t="shared" si="48"/>
        <v>0</v>
      </c>
      <c r="BM76" s="7" t="str">
        <f t="shared" si="52"/>
        <v>Terdaftar BPJS Kes &amp; Naker</v>
      </c>
      <c r="BN76" s="11">
        <f t="shared" si="53"/>
        <v>326610</v>
      </c>
      <c r="BO76" s="11">
        <f t="shared" si="54"/>
        <v>260142.00000000003</v>
      </c>
      <c r="BP76" s="9">
        <f t="shared" si="49"/>
        <v>0</v>
      </c>
      <c r="BQ76" t="str">
        <f>_xlfn.XLOOKUP(X76,'[2]NON TETAP'!$H:$H,'[2]NON TETAP'!$I:$I)</f>
        <v>GRAMEDIA ASRI MEDIA</v>
      </c>
    </row>
    <row r="77" spans="1:69" x14ac:dyDescent="0.3">
      <c r="A77" s="2">
        <v>76</v>
      </c>
      <c r="B77" s="5" t="s">
        <v>3723</v>
      </c>
      <c r="C77" s="6" t="s">
        <v>241</v>
      </c>
      <c r="D77" s="6"/>
      <c r="E77" s="6" t="s">
        <v>73</v>
      </c>
      <c r="F77" s="6" t="s">
        <v>73</v>
      </c>
      <c r="G77" s="6" t="s">
        <v>73</v>
      </c>
      <c r="H77" s="6"/>
      <c r="I77" s="6"/>
      <c r="J77" s="6"/>
      <c r="K77" s="6">
        <v>800100</v>
      </c>
      <c r="L77" s="6"/>
      <c r="M77" s="6">
        <v>25023140475</v>
      </c>
      <c r="N77" s="46" t="s">
        <v>3722</v>
      </c>
      <c r="O77" s="6">
        <v>49044925</v>
      </c>
      <c r="P77" s="78" t="s">
        <v>3721</v>
      </c>
      <c r="Q77" s="6">
        <v>10108</v>
      </c>
      <c r="R77" s="6">
        <v>27108</v>
      </c>
      <c r="S77" s="5" t="str">
        <f>VLOOKUP(T77,'[1]Kode Posisi'!$A$3:$B$45,2,)</f>
        <v>Outsourcing Keamanan</v>
      </c>
      <c r="T77" s="36" t="s">
        <v>37</v>
      </c>
      <c r="U77" s="44" t="s">
        <v>46</v>
      </c>
      <c r="V77" s="44" t="s">
        <v>3720</v>
      </c>
      <c r="W77" s="36" t="s">
        <v>45</v>
      </c>
      <c r="X77" s="36" t="s">
        <v>44</v>
      </c>
      <c r="Y77" s="36" t="s">
        <v>52</v>
      </c>
      <c r="Z77" s="79" t="s">
        <v>3719</v>
      </c>
      <c r="AA77" s="36" t="s">
        <v>3718</v>
      </c>
      <c r="AB77" s="47">
        <v>5730000</v>
      </c>
      <c r="AC77" s="41">
        <v>5730000</v>
      </c>
      <c r="AD77" s="47">
        <v>5397000</v>
      </c>
      <c r="AE77" s="16">
        <f t="shared" si="31"/>
        <v>333000</v>
      </c>
      <c r="AF77" s="16">
        <v>0</v>
      </c>
      <c r="AG77" s="16">
        <v>0</v>
      </c>
      <c r="AH77" s="16"/>
      <c r="AI77" s="16">
        <v>0</v>
      </c>
      <c r="AJ77" s="16"/>
      <c r="AK77" s="16">
        <v>0</v>
      </c>
      <c r="AL77" s="11">
        <f t="shared" si="32"/>
        <v>5730000</v>
      </c>
      <c r="AM77" s="16">
        <f t="shared" si="33"/>
        <v>586752</v>
      </c>
      <c r="AN77" s="16">
        <f t="shared" si="34"/>
        <v>229200</v>
      </c>
      <c r="AO77" s="16">
        <f t="shared" si="51"/>
        <v>357552</v>
      </c>
      <c r="AP77" s="16">
        <f t="shared" si="35"/>
        <v>212010</v>
      </c>
      <c r="AQ77" s="16">
        <f t="shared" si="36"/>
        <v>6316752</v>
      </c>
      <c r="AR77" s="16">
        <f t="shared" si="26"/>
        <v>379005.12</v>
      </c>
      <c r="AS77" s="16">
        <f t="shared" si="37"/>
        <v>41690.563199999997</v>
      </c>
      <c r="AT77" s="16">
        <f t="shared" si="38"/>
        <v>-7580.1023999999998</v>
      </c>
      <c r="AU77" s="16">
        <f t="shared" si="39"/>
        <v>6688177.0175999999</v>
      </c>
      <c r="AV77" s="16">
        <f t="shared" si="40"/>
        <v>6695757.1200000001</v>
      </c>
      <c r="AW77" s="16">
        <f t="shared" si="41"/>
        <v>229200</v>
      </c>
      <c r="AX77" s="16" t="s">
        <v>235</v>
      </c>
      <c r="AY77" s="17"/>
      <c r="AZ77" s="17">
        <f t="shared" si="42"/>
        <v>0</v>
      </c>
      <c r="BA77" s="16">
        <f t="shared" si="43"/>
        <v>5500800</v>
      </c>
      <c r="BB77" s="16">
        <f t="shared" si="44"/>
        <v>5500800</v>
      </c>
      <c r="BC77" s="15">
        <v>0.03</v>
      </c>
      <c r="BD77" s="15">
        <v>0.01</v>
      </c>
      <c r="BE77" s="37">
        <f t="shared" si="45"/>
        <v>529452</v>
      </c>
      <c r="BF77" s="38">
        <f t="shared" si="46"/>
        <v>326610</v>
      </c>
      <c r="BG77" s="37">
        <f t="shared" si="50"/>
        <v>269850</v>
      </c>
      <c r="BH77" s="37">
        <f t="shared" si="47"/>
        <v>286500</v>
      </c>
      <c r="BI77">
        <v>269850</v>
      </c>
      <c r="BL77" s="8">
        <f t="shared" si="48"/>
        <v>0</v>
      </c>
      <c r="BM77" s="7" t="str">
        <f t="shared" si="52"/>
        <v>Terdaftar BPJS Kes &amp; Naker</v>
      </c>
      <c r="BN77" s="11">
        <f t="shared" si="53"/>
        <v>326610</v>
      </c>
      <c r="BO77" s="11">
        <f t="shared" si="54"/>
        <v>260142.00000000003</v>
      </c>
      <c r="BP77" s="9">
        <f t="shared" si="49"/>
        <v>0</v>
      </c>
      <c r="BQ77" t="str">
        <f>_xlfn.XLOOKUP(X77,'[2]NON TETAP'!$H:$H,'[2]NON TETAP'!$I:$I)</f>
        <v>GRAMEDIA ASRI MEDIA</v>
      </c>
    </row>
    <row r="78" spans="1:69" x14ac:dyDescent="0.3">
      <c r="A78" s="2">
        <v>77</v>
      </c>
      <c r="B78" s="4" t="s">
        <v>3713</v>
      </c>
      <c r="C78" s="6" t="s">
        <v>241</v>
      </c>
      <c r="D78" s="6"/>
      <c r="E78" s="6" t="s">
        <v>73</v>
      </c>
      <c r="F78" s="6" t="s">
        <v>73</v>
      </c>
      <c r="G78" s="6" t="s">
        <v>73</v>
      </c>
      <c r="H78" s="6"/>
      <c r="I78" s="2"/>
      <c r="J78" s="2"/>
      <c r="K78" s="6">
        <v>800101</v>
      </c>
      <c r="L78" s="6"/>
      <c r="M78" s="6">
        <v>25077450366</v>
      </c>
      <c r="N78" s="46" t="s">
        <v>3717</v>
      </c>
      <c r="O78" s="6">
        <v>1216895253</v>
      </c>
      <c r="P78" s="78" t="s">
        <v>3716</v>
      </c>
      <c r="Q78" s="6">
        <v>10108</v>
      </c>
      <c r="R78" s="6">
        <v>27108</v>
      </c>
      <c r="S78" s="5" t="str">
        <f>VLOOKUP(T78,'[1]Kode Posisi'!$A$3:$B$45,2,)</f>
        <v>Outsourcing Keamanan</v>
      </c>
      <c r="T78" s="36" t="s">
        <v>37</v>
      </c>
      <c r="U78" s="44" t="s">
        <v>46</v>
      </c>
      <c r="V78" s="44" t="s">
        <v>3715</v>
      </c>
      <c r="W78" s="36" t="s">
        <v>45</v>
      </c>
      <c r="X78" s="36" t="s">
        <v>44</v>
      </c>
      <c r="Y78" s="36" t="s">
        <v>262</v>
      </c>
      <c r="Z78" s="79" t="s">
        <v>3714</v>
      </c>
      <c r="AA78" s="36" t="s">
        <v>3713</v>
      </c>
      <c r="AB78" s="47">
        <v>5730000</v>
      </c>
      <c r="AC78" s="41">
        <v>5730000</v>
      </c>
      <c r="AD78" s="47">
        <v>5397000</v>
      </c>
      <c r="AE78" s="16">
        <f t="shared" si="31"/>
        <v>333000</v>
      </c>
      <c r="AF78" s="16">
        <v>0</v>
      </c>
      <c r="AG78" s="16">
        <v>0</v>
      </c>
      <c r="AH78" s="16"/>
      <c r="AI78" s="16">
        <v>0</v>
      </c>
      <c r="AJ78" s="16"/>
      <c r="AK78" s="16">
        <v>0</v>
      </c>
      <c r="AL78" s="11">
        <f t="shared" si="32"/>
        <v>5730000</v>
      </c>
      <c r="AM78" s="16">
        <f t="shared" si="33"/>
        <v>586752</v>
      </c>
      <c r="AN78" s="16">
        <f t="shared" si="34"/>
        <v>229200</v>
      </c>
      <c r="AO78" s="16">
        <f t="shared" si="51"/>
        <v>357552</v>
      </c>
      <c r="AP78" s="16">
        <f t="shared" si="35"/>
        <v>212010</v>
      </c>
      <c r="AQ78" s="16">
        <f t="shared" si="36"/>
        <v>6316752</v>
      </c>
      <c r="AR78" s="16">
        <f t="shared" si="26"/>
        <v>379005.12</v>
      </c>
      <c r="AS78" s="16">
        <f t="shared" si="37"/>
        <v>41690.563199999997</v>
      </c>
      <c r="AT78" s="16">
        <f t="shared" si="38"/>
        <v>-7580.1023999999998</v>
      </c>
      <c r="AU78" s="16">
        <f t="shared" si="39"/>
        <v>6688177.0175999999</v>
      </c>
      <c r="AV78" s="16">
        <f t="shared" si="40"/>
        <v>6695757.1200000001</v>
      </c>
      <c r="AW78" s="16">
        <f t="shared" si="41"/>
        <v>229200</v>
      </c>
      <c r="AX78" s="16" t="s">
        <v>235</v>
      </c>
      <c r="AY78" s="17"/>
      <c r="AZ78" s="17">
        <f t="shared" si="42"/>
        <v>2900</v>
      </c>
      <c r="BA78" s="16">
        <f t="shared" si="43"/>
        <v>5500800</v>
      </c>
      <c r="BB78" s="16">
        <f t="shared" si="44"/>
        <v>5497900</v>
      </c>
      <c r="BC78" s="15">
        <v>0.03</v>
      </c>
      <c r="BD78" s="15">
        <v>0.01</v>
      </c>
      <c r="BE78" s="37">
        <f t="shared" si="45"/>
        <v>529452</v>
      </c>
      <c r="BF78" s="38">
        <f t="shared" si="46"/>
        <v>326610</v>
      </c>
      <c r="BG78" s="37">
        <f t="shared" si="50"/>
        <v>269850</v>
      </c>
      <c r="BH78" s="37">
        <f t="shared" si="47"/>
        <v>286500</v>
      </c>
      <c r="BI78">
        <v>269850</v>
      </c>
      <c r="BL78" s="8">
        <f t="shared" si="48"/>
        <v>0</v>
      </c>
      <c r="BM78" s="7" t="str">
        <f t="shared" si="52"/>
        <v>Terdaftar BPJS Kes &amp; Naker</v>
      </c>
      <c r="BN78" s="11">
        <f t="shared" si="53"/>
        <v>326610</v>
      </c>
      <c r="BO78" s="11">
        <f t="shared" si="54"/>
        <v>260142.00000000003</v>
      </c>
      <c r="BP78" s="9">
        <f t="shared" si="49"/>
        <v>0</v>
      </c>
      <c r="BQ78" t="str">
        <f>_xlfn.XLOOKUP(X78,'[2]NON TETAP'!$H:$H,'[2]NON TETAP'!$I:$I)</f>
        <v>GRAMEDIA ASRI MEDIA</v>
      </c>
    </row>
    <row r="79" spans="1:69" x14ac:dyDescent="0.3">
      <c r="A79" s="2">
        <v>78</v>
      </c>
      <c r="B79" s="4" t="s">
        <v>3708</v>
      </c>
      <c r="C79" s="6" t="s">
        <v>241</v>
      </c>
      <c r="D79" s="6"/>
      <c r="E79" s="6" t="s">
        <v>73</v>
      </c>
      <c r="F79" s="6" t="s">
        <v>73</v>
      </c>
      <c r="G79" s="6" t="s">
        <v>73</v>
      </c>
      <c r="H79" s="6"/>
      <c r="I79" s="2"/>
      <c r="J79" s="2"/>
      <c r="K79" s="6">
        <v>800102</v>
      </c>
      <c r="L79" s="6"/>
      <c r="M79" s="6">
        <v>25077450374</v>
      </c>
      <c r="N79" s="46" t="s">
        <v>3712</v>
      </c>
      <c r="O79" s="6">
        <v>1133987106</v>
      </c>
      <c r="P79" s="78" t="s">
        <v>3711</v>
      </c>
      <c r="Q79" s="6">
        <v>10108</v>
      </c>
      <c r="R79" s="6">
        <v>27108</v>
      </c>
      <c r="S79" s="5" t="str">
        <f>VLOOKUP(T79,'[1]Kode Posisi'!$A$3:$B$45,2,)</f>
        <v>Outsourcing Keamanan</v>
      </c>
      <c r="T79" s="36" t="s">
        <v>37</v>
      </c>
      <c r="U79" s="44" t="s">
        <v>46</v>
      </c>
      <c r="V79" s="44" t="s">
        <v>3710</v>
      </c>
      <c r="W79" s="36" t="s">
        <v>45</v>
      </c>
      <c r="X79" s="36" t="s">
        <v>44</v>
      </c>
      <c r="Y79" s="36" t="s">
        <v>262</v>
      </c>
      <c r="Z79" s="79" t="s">
        <v>3709</v>
      </c>
      <c r="AA79" s="36" t="s">
        <v>3708</v>
      </c>
      <c r="AB79" s="47">
        <v>5730000</v>
      </c>
      <c r="AC79" s="41">
        <v>5730000</v>
      </c>
      <c r="AD79" s="47">
        <v>5397000</v>
      </c>
      <c r="AE79" s="16">
        <f t="shared" si="31"/>
        <v>333000</v>
      </c>
      <c r="AF79" s="16">
        <v>0</v>
      </c>
      <c r="AG79" s="16">
        <v>0</v>
      </c>
      <c r="AH79" s="16"/>
      <c r="AI79" s="16">
        <v>0</v>
      </c>
      <c r="AJ79" s="16"/>
      <c r="AK79" s="16">
        <v>0</v>
      </c>
      <c r="AL79" s="11">
        <f t="shared" si="32"/>
        <v>5730000</v>
      </c>
      <c r="AM79" s="16">
        <f t="shared" si="33"/>
        <v>586752</v>
      </c>
      <c r="AN79" s="16">
        <f t="shared" si="34"/>
        <v>229200</v>
      </c>
      <c r="AO79" s="16">
        <f t="shared" si="51"/>
        <v>357552</v>
      </c>
      <c r="AP79" s="16">
        <f t="shared" si="35"/>
        <v>212010</v>
      </c>
      <c r="AQ79" s="16">
        <f t="shared" si="36"/>
        <v>6316752</v>
      </c>
      <c r="AR79" s="16">
        <f t="shared" si="26"/>
        <v>379005.12</v>
      </c>
      <c r="AS79" s="16">
        <f t="shared" si="37"/>
        <v>41690.563199999997</v>
      </c>
      <c r="AT79" s="16">
        <f t="shared" si="38"/>
        <v>-7580.1023999999998</v>
      </c>
      <c r="AU79" s="16">
        <f t="shared" si="39"/>
        <v>6688177.0175999999</v>
      </c>
      <c r="AV79" s="16">
        <f t="shared" si="40"/>
        <v>6695757.1200000001</v>
      </c>
      <c r="AW79" s="16">
        <f t="shared" si="41"/>
        <v>229200</v>
      </c>
      <c r="AX79" s="16" t="s">
        <v>286</v>
      </c>
      <c r="AY79" s="17"/>
      <c r="AZ79" s="17">
        <f t="shared" si="42"/>
        <v>2900</v>
      </c>
      <c r="BA79" s="16">
        <f t="shared" si="43"/>
        <v>5500800</v>
      </c>
      <c r="BB79" s="16">
        <f t="shared" si="44"/>
        <v>5497900</v>
      </c>
      <c r="BC79" s="15">
        <v>0.03</v>
      </c>
      <c r="BD79" s="15">
        <v>0.01</v>
      </c>
      <c r="BE79" s="37">
        <f t="shared" si="45"/>
        <v>529452</v>
      </c>
      <c r="BF79" s="38">
        <f t="shared" si="46"/>
        <v>326610</v>
      </c>
      <c r="BG79" s="37">
        <f t="shared" si="50"/>
        <v>269850</v>
      </c>
      <c r="BH79" s="37">
        <f t="shared" si="47"/>
        <v>286500</v>
      </c>
      <c r="BI79">
        <v>269850</v>
      </c>
      <c r="BL79" s="8">
        <f t="shared" si="48"/>
        <v>0</v>
      </c>
      <c r="BM79" s="7" t="str">
        <f t="shared" si="52"/>
        <v>Terdaftar BPJS Kes &amp; Naker</v>
      </c>
      <c r="BN79" s="11">
        <f t="shared" si="53"/>
        <v>326610</v>
      </c>
      <c r="BO79" s="11">
        <f t="shared" si="54"/>
        <v>260142.00000000003</v>
      </c>
      <c r="BP79" s="9">
        <f t="shared" si="49"/>
        <v>0</v>
      </c>
      <c r="BQ79" t="str">
        <f>_xlfn.XLOOKUP(X79,'[2]NON TETAP'!$H:$H,'[2]NON TETAP'!$I:$I)</f>
        <v>GRAMEDIA ASRI MEDIA</v>
      </c>
    </row>
    <row r="80" spans="1:69" x14ac:dyDescent="0.3">
      <c r="A80" s="2">
        <v>79</v>
      </c>
      <c r="B80" s="4" t="s">
        <v>3703</v>
      </c>
      <c r="C80" s="6" t="s">
        <v>241</v>
      </c>
      <c r="D80" s="6"/>
      <c r="E80" s="6" t="s">
        <v>73</v>
      </c>
      <c r="F80" s="6" t="s">
        <v>73</v>
      </c>
      <c r="G80" s="6" t="s">
        <v>73</v>
      </c>
      <c r="H80" s="6"/>
      <c r="I80" s="2"/>
      <c r="J80" s="2"/>
      <c r="K80" s="6">
        <v>800103</v>
      </c>
      <c r="L80" s="6"/>
      <c r="M80" s="6">
        <v>25077450382</v>
      </c>
      <c r="N80" s="46" t="s">
        <v>3707</v>
      </c>
      <c r="O80" s="6">
        <v>1134957249</v>
      </c>
      <c r="P80" s="78" t="s">
        <v>3706</v>
      </c>
      <c r="Q80" s="6">
        <v>10108</v>
      </c>
      <c r="R80" s="6">
        <v>27108</v>
      </c>
      <c r="S80" s="5" t="str">
        <f>VLOOKUP(T80,'[1]Kode Posisi'!$A$3:$B$45,2,)</f>
        <v>Outsourcing Keamanan</v>
      </c>
      <c r="T80" s="36" t="s">
        <v>37</v>
      </c>
      <c r="U80" s="44" t="s">
        <v>46</v>
      </c>
      <c r="V80" s="44" t="s">
        <v>3705</v>
      </c>
      <c r="W80" s="36" t="s">
        <v>45</v>
      </c>
      <c r="X80" s="36" t="s">
        <v>44</v>
      </c>
      <c r="Y80" s="36" t="s">
        <v>262</v>
      </c>
      <c r="Z80" s="79" t="s">
        <v>3704</v>
      </c>
      <c r="AA80" s="36" t="s">
        <v>3703</v>
      </c>
      <c r="AB80" s="47">
        <v>5730000</v>
      </c>
      <c r="AC80" s="41">
        <v>5730000</v>
      </c>
      <c r="AD80" s="47">
        <v>5397000</v>
      </c>
      <c r="AE80" s="16">
        <f t="shared" si="31"/>
        <v>333000</v>
      </c>
      <c r="AF80" s="16">
        <v>0</v>
      </c>
      <c r="AG80" s="16">
        <v>0</v>
      </c>
      <c r="AH80" s="16"/>
      <c r="AI80" s="16">
        <v>218375.7225433526</v>
      </c>
      <c r="AJ80" s="16"/>
      <c r="AK80" s="16">
        <v>0</v>
      </c>
      <c r="AL80" s="11">
        <f t="shared" si="32"/>
        <v>5948375.7225433523</v>
      </c>
      <c r="AM80" s="16">
        <f t="shared" si="33"/>
        <v>586752</v>
      </c>
      <c r="AN80" s="16">
        <f t="shared" si="34"/>
        <v>229200</v>
      </c>
      <c r="AO80" s="16">
        <f t="shared" si="51"/>
        <v>357552</v>
      </c>
      <c r="AP80" s="16">
        <f t="shared" si="35"/>
        <v>212010</v>
      </c>
      <c r="AQ80" s="16">
        <f t="shared" si="36"/>
        <v>6535127.7225433523</v>
      </c>
      <c r="AR80" s="16">
        <f t="shared" si="26"/>
        <v>392107.66335260111</v>
      </c>
      <c r="AS80" s="16">
        <f t="shared" si="37"/>
        <v>43131.842968786121</v>
      </c>
      <c r="AT80" s="16">
        <f t="shared" si="38"/>
        <v>-7842.1532670520228</v>
      </c>
      <c r="AU80" s="16">
        <f t="shared" si="39"/>
        <v>6919393.2326289015</v>
      </c>
      <c r="AV80" s="16">
        <f t="shared" si="40"/>
        <v>6927235.3858959535</v>
      </c>
      <c r="AW80" s="16">
        <f t="shared" si="41"/>
        <v>229200</v>
      </c>
      <c r="AX80" s="16" t="s">
        <v>243</v>
      </c>
      <c r="AY80" s="17"/>
      <c r="AZ80" s="17">
        <f t="shared" si="42"/>
        <v>2900</v>
      </c>
      <c r="BA80" s="16">
        <f t="shared" si="43"/>
        <v>5719175.7225433523</v>
      </c>
      <c r="BB80" s="16">
        <f t="shared" si="44"/>
        <v>5716275.7225433523</v>
      </c>
      <c r="BC80" s="15">
        <v>0.03</v>
      </c>
      <c r="BD80" s="15">
        <v>0.01</v>
      </c>
      <c r="BE80" s="37">
        <f t="shared" si="45"/>
        <v>529452</v>
      </c>
      <c r="BF80" s="38">
        <f t="shared" si="46"/>
        <v>326610</v>
      </c>
      <c r="BG80" s="37">
        <f t="shared" si="50"/>
        <v>269850</v>
      </c>
      <c r="BH80" s="37">
        <f t="shared" si="47"/>
        <v>286500</v>
      </c>
      <c r="BI80">
        <v>269850</v>
      </c>
      <c r="BL80" s="8">
        <f t="shared" si="48"/>
        <v>218375.7225433526</v>
      </c>
      <c r="BM80" s="7" t="str">
        <f t="shared" si="52"/>
        <v>Terdaftar BPJS Kes &amp; Naker</v>
      </c>
      <c r="BN80" s="11">
        <f t="shared" si="53"/>
        <v>326610</v>
      </c>
      <c r="BO80" s="11">
        <f t="shared" si="54"/>
        <v>260142.00000000003</v>
      </c>
      <c r="BP80" s="9">
        <f t="shared" si="49"/>
        <v>0</v>
      </c>
      <c r="BQ80" t="str">
        <f>_xlfn.XLOOKUP(X80,'[2]NON TETAP'!$H:$H,'[2]NON TETAP'!$I:$I)</f>
        <v>GRAMEDIA ASRI MEDIA</v>
      </c>
    </row>
    <row r="81" spans="1:69" x14ac:dyDescent="0.3">
      <c r="A81" s="2">
        <v>80</v>
      </c>
      <c r="B81" s="4" t="s">
        <v>3702</v>
      </c>
      <c r="C81" s="6" t="s">
        <v>241</v>
      </c>
      <c r="D81" s="6"/>
      <c r="E81" s="6" t="s">
        <v>73</v>
      </c>
      <c r="F81" s="6" t="s">
        <v>73</v>
      </c>
      <c r="G81" s="6" t="s">
        <v>73</v>
      </c>
      <c r="H81" s="6"/>
      <c r="I81" s="2"/>
      <c r="J81" s="2"/>
      <c r="K81" s="6">
        <v>800104</v>
      </c>
      <c r="L81" s="6"/>
      <c r="M81" s="6">
        <v>25077450408</v>
      </c>
      <c r="N81" s="46" t="s">
        <v>3701</v>
      </c>
      <c r="O81" s="6">
        <v>1310628036</v>
      </c>
      <c r="P81" s="78" t="s">
        <v>3700</v>
      </c>
      <c r="Q81" s="6">
        <v>10108</v>
      </c>
      <c r="R81" s="6">
        <v>27108</v>
      </c>
      <c r="S81" s="5" t="str">
        <f>VLOOKUP(T81,'[1]Kode Posisi'!$A$3:$B$45,2,)</f>
        <v>Outsourcing Keamanan</v>
      </c>
      <c r="T81" s="36" t="s">
        <v>37</v>
      </c>
      <c r="U81" s="44" t="s">
        <v>46</v>
      </c>
      <c r="V81" s="44" t="s">
        <v>3699</v>
      </c>
      <c r="W81" s="36" t="s">
        <v>45</v>
      </c>
      <c r="X81" s="36" t="s">
        <v>44</v>
      </c>
      <c r="Y81" s="36" t="s">
        <v>262</v>
      </c>
      <c r="Z81" s="79" t="s">
        <v>3698</v>
      </c>
      <c r="AA81" s="36" t="s">
        <v>3697</v>
      </c>
      <c r="AB81" s="47">
        <v>5730000</v>
      </c>
      <c r="AC81" s="41">
        <v>5730000</v>
      </c>
      <c r="AD81" s="47">
        <v>5397000</v>
      </c>
      <c r="AE81" s="16">
        <f t="shared" si="31"/>
        <v>333000</v>
      </c>
      <c r="AF81" s="16">
        <v>0</v>
      </c>
      <c r="AG81" s="16">
        <v>0</v>
      </c>
      <c r="AH81" s="16"/>
      <c r="AI81" s="16">
        <v>218375.7225433526</v>
      </c>
      <c r="AJ81" s="16"/>
      <c r="AK81" s="16">
        <v>0</v>
      </c>
      <c r="AL81" s="11">
        <f t="shared" si="32"/>
        <v>5948375.7225433523</v>
      </c>
      <c r="AM81" s="16">
        <f t="shared" si="33"/>
        <v>586752</v>
      </c>
      <c r="AN81" s="16">
        <f t="shared" si="34"/>
        <v>229200</v>
      </c>
      <c r="AO81" s="16">
        <f t="shared" si="51"/>
        <v>357552</v>
      </c>
      <c r="AP81" s="16">
        <f t="shared" si="35"/>
        <v>212010</v>
      </c>
      <c r="AQ81" s="16">
        <f t="shared" si="36"/>
        <v>6535127.7225433523</v>
      </c>
      <c r="AR81" s="16">
        <f t="shared" si="26"/>
        <v>392107.66335260111</v>
      </c>
      <c r="AS81" s="16">
        <f t="shared" si="37"/>
        <v>43131.842968786121</v>
      </c>
      <c r="AT81" s="16">
        <f t="shared" si="38"/>
        <v>-7842.1532670520228</v>
      </c>
      <c r="AU81" s="16">
        <f t="shared" si="39"/>
        <v>6919393.2326289015</v>
      </c>
      <c r="AV81" s="16">
        <f t="shared" si="40"/>
        <v>6927235.3858959535</v>
      </c>
      <c r="AW81" s="16">
        <f t="shared" si="41"/>
        <v>229200</v>
      </c>
      <c r="AX81" s="16" t="s">
        <v>286</v>
      </c>
      <c r="AY81" s="17"/>
      <c r="AZ81" s="17">
        <f t="shared" si="42"/>
        <v>2900</v>
      </c>
      <c r="BA81" s="16">
        <f t="shared" si="43"/>
        <v>5719175.7225433523</v>
      </c>
      <c r="BB81" s="16">
        <f t="shared" si="44"/>
        <v>5716275.7225433523</v>
      </c>
      <c r="BC81" s="15">
        <v>0.03</v>
      </c>
      <c r="BD81" s="15">
        <v>0.01</v>
      </c>
      <c r="BE81" s="37">
        <f t="shared" si="45"/>
        <v>529452</v>
      </c>
      <c r="BF81" s="38">
        <f t="shared" si="46"/>
        <v>326610</v>
      </c>
      <c r="BG81" s="37">
        <f t="shared" si="50"/>
        <v>269850</v>
      </c>
      <c r="BH81" s="37">
        <f t="shared" si="47"/>
        <v>286500</v>
      </c>
      <c r="BI81">
        <v>269850</v>
      </c>
      <c r="BL81" s="8">
        <f t="shared" si="48"/>
        <v>218375.7225433526</v>
      </c>
      <c r="BM81" s="7" t="str">
        <f t="shared" si="52"/>
        <v>Terdaftar BPJS Kes &amp; Naker</v>
      </c>
      <c r="BN81" s="11">
        <f t="shared" si="53"/>
        <v>326610</v>
      </c>
      <c r="BO81" s="11">
        <f t="shared" si="54"/>
        <v>260142.00000000003</v>
      </c>
      <c r="BP81" s="9">
        <f t="shared" si="49"/>
        <v>0</v>
      </c>
      <c r="BQ81" t="str">
        <f>_xlfn.XLOOKUP(X81,'[2]NON TETAP'!$H:$H,'[2]NON TETAP'!$I:$I)</f>
        <v>GRAMEDIA ASRI MEDIA</v>
      </c>
    </row>
    <row r="82" spans="1:69" x14ac:dyDescent="0.3">
      <c r="A82" s="2">
        <v>81</v>
      </c>
      <c r="B82" s="4" t="s">
        <v>3692</v>
      </c>
      <c r="C82" s="6" t="s">
        <v>241</v>
      </c>
      <c r="D82" s="6"/>
      <c r="E82" s="6" t="s">
        <v>73</v>
      </c>
      <c r="F82" s="6" t="s">
        <v>73</v>
      </c>
      <c r="G82" s="6" t="s">
        <v>73</v>
      </c>
      <c r="H82" s="6"/>
      <c r="I82" s="2"/>
      <c r="J82" s="2"/>
      <c r="K82" s="6">
        <v>800105</v>
      </c>
      <c r="L82" s="6"/>
      <c r="M82" s="6">
        <v>25077450416</v>
      </c>
      <c r="N82" s="46" t="s">
        <v>3696</v>
      </c>
      <c r="O82" s="6">
        <v>1218349811</v>
      </c>
      <c r="P82" s="78" t="s">
        <v>3695</v>
      </c>
      <c r="Q82" s="6">
        <v>10108</v>
      </c>
      <c r="R82" s="6">
        <v>27108</v>
      </c>
      <c r="S82" s="5" t="str">
        <f>VLOOKUP(T82,'[1]Kode Posisi'!$A$3:$B$45,2,)</f>
        <v>Outsourcing Keamanan</v>
      </c>
      <c r="T82" s="36" t="s">
        <v>37</v>
      </c>
      <c r="U82" s="44" t="s">
        <v>46</v>
      </c>
      <c r="V82" s="44" t="s">
        <v>3694</v>
      </c>
      <c r="W82" s="36" t="s">
        <v>45</v>
      </c>
      <c r="X82" s="36" t="s">
        <v>44</v>
      </c>
      <c r="Y82" s="36" t="s">
        <v>52</v>
      </c>
      <c r="Z82" s="79" t="s">
        <v>3693</v>
      </c>
      <c r="AA82" s="36" t="s">
        <v>3692</v>
      </c>
      <c r="AB82" s="47">
        <v>5730000</v>
      </c>
      <c r="AC82" s="41">
        <v>5730000</v>
      </c>
      <c r="AD82" s="47">
        <v>5397000</v>
      </c>
      <c r="AE82" s="16">
        <f t="shared" si="31"/>
        <v>333000</v>
      </c>
      <c r="AF82" s="16">
        <v>0</v>
      </c>
      <c r="AG82" s="16">
        <v>0</v>
      </c>
      <c r="AH82" s="16"/>
      <c r="AI82" s="16">
        <v>436751.44508670521</v>
      </c>
      <c r="AJ82" s="16"/>
      <c r="AK82" s="16">
        <v>0</v>
      </c>
      <c r="AL82" s="11">
        <f t="shared" si="32"/>
        <v>6166751.4450867055</v>
      </c>
      <c r="AM82" s="16">
        <f t="shared" si="33"/>
        <v>586752</v>
      </c>
      <c r="AN82" s="16">
        <f t="shared" si="34"/>
        <v>229200</v>
      </c>
      <c r="AO82" s="16">
        <f t="shared" si="51"/>
        <v>357552</v>
      </c>
      <c r="AP82" s="16">
        <f t="shared" si="35"/>
        <v>212010</v>
      </c>
      <c r="AQ82" s="16">
        <f t="shared" si="36"/>
        <v>6753503.4450867055</v>
      </c>
      <c r="AR82" s="16">
        <f t="shared" si="26"/>
        <v>405210.20670520229</v>
      </c>
      <c r="AS82" s="16">
        <f t="shared" si="37"/>
        <v>44573.122737572252</v>
      </c>
      <c r="AT82" s="16">
        <f t="shared" si="38"/>
        <v>-8104.2041341040458</v>
      </c>
      <c r="AU82" s="16">
        <f t="shared" si="39"/>
        <v>7150609.447657804</v>
      </c>
      <c r="AV82" s="16">
        <f t="shared" si="40"/>
        <v>7158713.6517919078</v>
      </c>
      <c r="AW82" s="16">
        <f t="shared" si="41"/>
        <v>229200</v>
      </c>
      <c r="AX82" s="16" t="s">
        <v>286</v>
      </c>
      <c r="AY82" s="17"/>
      <c r="AZ82" s="17">
        <f t="shared" si="42"/>
        <v>0</v>
      </c>
      <c r="BA82" s="16">
        <f t="shared" si="43"/>
        <v>5937551.4450867055</v>
      </c>
      <c r="BB82" s="16">
        <f t="shared" si="44"/>
        <v>5937551.4450867055</v>
      </c>
      <c r="BC82" s="15">
        <v>0.03</v>
      </c>
      <c r="BD82" s="15">
        <v>0.01</v>
      </c>
      <c r="BE82" s="37">
        <f t="shared" si="45"/>
        <v>529452</v>
      </c>
      <c r="BF82" s="38">
        <f t="shared" si="46"/>
        <v>326610</v>
      </c>
      <c r="BG82" s="37">
        <f t="shared" si="50"/>
        <v>269850</v>
      </c>
      <c r="BH82" s="37">
        <f t="shared" si="47"/>
        <v>286500</v>
      </c>
      <c r="BI82">
        <v>269850</v>
      </c>
      <c r="BL82" s="8">
        <f t="shared" si="48"/>
        <v>436751.44508670521</v>
      </c>
      <c r="BM82" s="7" t="str">
        <f t="shared" si="52"/>
        <v>Terdaftar BPJS Kes &amp; Naker</v>
      </c>
      <c r="BN82" s="11">
        <f t="shared" si="53"/>
        <v>326610</v>
      </c>
      <c r="BO82" s="11">
        <f t="shared" si="54"/>
        <v>260142.00000000003</v>
      </c>
      <c r="BP82" s="9">
        <f t="shared" si="49"/>
        <v>0</v>
      </c>
      <c r="BQ82" t="str">
        <f>_xlfn.XLOOKUP(X82,'[2]NON TETAP'!$H:$H,'[2]NON TETAP'!$I:$I)</f>
        <v>GRAMEDIA ASRI MEDIA</v>
      </c>
    </row>
    <row r="83" spans="1:69" x14ac:dyDescent="0.3">
      <c r="A83" s="2">
        <v>82</v>
      </c>
      <c r="B83" s="5" t="s">
        <v>3691</v>
      </c>
      <c r="C83" s="6" t="s">
        <v>241</v>
      </c>
      <c r="D83" s="6"/>
      <c r="E83" s="6" t="s">
        <v>73</v>
      </c>
      <c r="F83" s="6" t="s">
        <v>73</v>
      </c>
      <c r="G83" s="6" t="s">
        <v>73</v>
      </c>
      <c r="H83" s="6"/>
      <c r="I83" s="6"/>
      <c r="J83" s="6"/>
      <c r="K83" s="6">
        <v>800107</v>
      </c>
      <c r="L83" s="6"/>
      <c r="M83" s="6">
        <v>25023140509</v>
      </c>
      <c r="N83" s="46" t="s">
        <v>3690</v>
      </c>
      <c r="O83" s="6">
        <v>1650829533</v>
      </c>
      <c r="P83" s="78" t="s">
        <v>3689</v>
      </c>
      <c r="Q83" s="6">
        <v>10144</v>
      </c>
      <c r="R83" s="6">
        <v>27144</v>
      </c>
      <c r="S83" s="5" t="str">
        <f>VLOOKUP(T83,'[1]Kode Posisi'!$A$3:$B$45,2,)</f>
        <v>Outsourcing Keamanan</v>
      </c>
      <c r="T83" s="36" t="s">
        <v>37</v>
      </c>
      <c r="U83" s="44" t="s">
        <v>3688</v>
      </c>
      <c r="V83" s="44" t="s">
        <v>3687</v>
      </c>
      <c r="W83" s="36" t="s">
        <v>3686</v>
      </c>
      <c r="X83" s="36" t="s">
        <v>3685</v>
      </c>
      <c r="Y83" s="36" t="s">
        <v>262</v>
      </c>
      <c r="Z83" s="79" t="s">
        <v>3684</v>
      </c>
      <c r="AA83" s="36" t="s">
        <v>3683</v>
      </c>
      <c r="AB83" s="47">
        <v>4149000</v>
      </c>
      <c r="AC83" s="41">
        <v>4149000</v>
      </c>
      <c r="AD83" s="47">
        <v>3881000</v>
      </c>
      <c r="AE83" s="16">
        <f t="shared" si="31"/>
        <v>268000</v>
      </c>
      <c r="AF83" s="16">
        <v>0</v>
      </c>
      <c r="AG83" s="16">
        <v>0</v>
      </c>
      <c r="AH83" s="16"/>
      <c r="AI83" s="16">
        <v>0</v>
      </c>
      <c r="AJ83" s="16"/>
      <c r="AK83" s="16">
        <v>0</v>
      </c>
      <c r="AL83" s="11">
        <f t="shared" si="32"/>
        <v>4149000</v>
      </c>
      <c r="AM83" s="16">
        <f t="shared" si="33"/>
        <v>424857.59999999998</v>
      </c>
      <c r="AN83" s="16">
        <f t="shared" si="34"/>
        <v>165960</v>
      </c>
      <c r="AO83" s="16">
        <f t="shared" si="51"/>
        <v>258897.59999999998</v>
      </c>
      <c r="AP83" s="16">
        <f t="shared" si="35"/>
        <v>153513</v>
      </c>
      <c r="AQ83" s="16">
        <f t="shared" si="36"/>
        <v>4573857.5999999996</v>
      </c>
      <c r="AR83" s="16">
        <f t="shared" si="26"/>
        <v>274431.45599999995</v>
      </c>
      <c r="AS83" s="16">
        <f t="shared" si="37"/>
        <v>30187.460159999995</v>
      </c>
      <c r="AT83" s="16">
        <f t="shared" si="38"/>
        <v>-5488.6291199999987</v>
      </c>
      <c r="AU83" s="16">
        <f t="shared" si="39"/>
        <v>4842800.4268800002</v>
      </c>
      <c r="AV83" s="16">
        <f t="shared" si="40"/>
        <v>4848289.0559999999</v>
      </c>
      <c r="AW83" s="16">
        <f t="shared" si="41"/>
        <v>165960</v>
      </c>
      <c r="AX83" s="16" t="s">
        <v>286</v>
      </c>
      <c r="AY83" s="17"/>
      <c r="AZ83" s="17">
        <f t="shared" si="42"/>
        <v>2900</v>
      </c>
      <c r="BA83" s="16">
        <f t="shared" si="43"/>
        <v>3983040</v>
      </c>
      <c r="BB83" s="16">
        <f t="shared" si="44"/>
        <v>3980140</v>
      </c>
      <c r="BC83" s="15">
        <v>0.03</v>
      </c>
      <c r="BD83" s="15">
        <v>0.01</v>
      </c>
      <c r="BE83" s="37">
        <f t="shared" si="45"/>
        <v>383367.6</v>
      </c>
      <c r="BF83" s="38">
        <f t="shared" si="46"/>
        <v>236493</v>
      </c>
      <c r="BG83" s="37">
        <f t="shared" si="50"/>
        <v>194050</v>
      </c>
      <c r="BH83" s="37">
        <f t="shared" si="47"/>
        <v>207450</v>
      </c>
      <c r="BI83">
        <v>194050</v>
      </c>
      <c r="BL83" s="8">
        <f t="shared" si="48"/>
        <v>0</v>
      </c>
      <c r="BM83" s="7" t="str">
        <f t="shared" si="52"/>
        <v>Terdaftar BPJS Kes &amp; Naker</v>
      </c>
      <c r="BN83" s="11">
        <f t="shared" si="53"/>
        <v>236493</v>
      </c>
      <c r="BO83" s="11">
        <f t="shared" si="54"/>
        <v>188364.6</v>
      </c>
      <c r="BP83" s="9">
        <f t="shared" si="49"/>
        <v>0</v>
      </c>
      <c r="BQ83" t="s">
        <v>8</v>
      </c>
    </row>
    <row r="84" spans="1:69" x14ac:dyDescent="0.3">
      <c r="A84" s="2">
        <v>83</v>
      </c>
      <c r="B84" s="5" t="s">
        <v>3678</v>
      </c>
      <c r="C84" s="6" t="s">
        <v>241</v>
      </c>
      <c r="D84" s="6"/>
      <c r="E84" s="6" t="s">
        <v>73</v>
      </c>
      <c r="F84" s="6" t="s">
        <v>73</v>
      </c>
      <c r="G84" s="6" t="s">
        <v>73</v>
      </c>
      <c r="H84" s="6"/>
      <c r="I84" s="6"/>
      <c r="J84" s="6"/>
      <c r="K84" s="6">
        <v>800108</v>
      </c>
      <c r="L84" s="6"/>
      <c r="M84" s="6">
        <v>25023140517</v>
      </c>
      <c r="N84" s="46" t="s">
        <v>3682</v>
      </c>
      <c r="O84" s="6">
        <v>967544807</v>
      </c>
      <c r="P84" s="78" t="s">
        <v>3681</v>
      </c>
      <c r="Q84" s="6">
        <v>10474</v>
      </c>
      <c r="R84" s="6">
        <v>27474</v>
      </c>
      <c r="S84" s="5" t="str">
        <f>VLOOKUP(T84,'[1]Kode Posisi'!$A$3:$B$45,2,)</f>
        <v>Outsourcing Keamanan</v>
      </c>
      <c r="T84" s="36" t="s">
        <v>37</v>
      </c>
      <c r="U84" s="44" t="s">
        <v>3674</v>
      </c>
      <c r="V84" s="44" t="s">
        <v>3680</v>
      </c>
      <c r="W84" s="36" t="s">
        <v>3672</v>
      </c>
      <c r="X84" s="36" t="s">
        <v>3671</v>
      </c>
      <c r="Y84" s="36" t="s">
        <v>1294</v>
      </c>
      <c r="Z84" s="79" t="s">
        <v>3679</v>
      </c>
      <c r="AA84" s="36" t="s">
        <v>3678</v>
      </c>
      <c r="AB84" s="47">
        <v>3382000</v>
      </c>
      <c r="AC84" s="41">
        <v>3382000</v>
      </c>
      <c r="AD84" s="47">
        <v>3186000</v>
      </c>
      <c r="AE84" s="16">
        <f t="shared" si="31"/>
        <v>196000</v>
      </c>
      <c r="AF84" s="16">
        <v>0</v>
      </c>
      <c r="AG84" s="16">
        <v>0</v>
      </c>
      <c r="AH84" s="16"/>
      <c r="AI84" s="16">
        <v>0</v>
      </c>
      <c r="AJ84" s="16"/>
      <c r="AK84" s="16">
        <v>0</v>
      </c>
      <c r="AL84" s="11">
        <f t="shared" si="32"/>
        <v>3382000</v>
      </c>
      <c r="AM84" s="16">
        <f t="shared" si="33"/>
        <v>346316.79999999999</v>
      </c>
      <c r="AN84" s="16">
        <f t="shared" si="34"/>
        <v>135280</v>
      </c>
      <c r="AO84" s="16">
        <f t="shared" si="51"/>
        <v>211036.79999999999</v>
      </c>
      <c r="AP84" s="16">
        <f t="shared" si="35"/>
        <v>125134</v>
      </c>
      <c r="AQ84" s="16">
        <f t="shared" si="36"/>
        <v>3728316.8</v>
      </c>
      <c r="AR84" s="16">
        <f t="shared" si="26"/>
        <v>223699.00799999997</v>
      </c>
      <c r="AS84" s="16">
        <f t="shared" si="37"/>
        <v>24606.890879999995</v>
      </c>
      <c r="AT84" s="16">
        <f t="shared" si="38"/>
        <v>-4473.9801599999992</v>
      </c>
      <c r="AU84" s="16">
        <f t="shared" si="39"/>
        <v>3947541.8278399999</v>
      </c>
      <c r="AV84" s="16">
        <f t="shared" si="40"/>
        <v>3952015.8079999997</v>
      </c>
      <c r="AW84" s="16">
        <f t="shared" si="41"/>
        <v>135280</v>
      </c>
      <c r="AX84" s="16" t="s">
        <v>235</v>
      </c>
      <c r="AY84" s="17"/>
      <c r="AZ84" s="17">
        <f t="shared" si="42"/>
        <v>2900</v>
      </c>
      <c r="BA84" s="16">
        <f t="shared" si="43"/>
        <v>3246720</v>
      </c>
      <c r="BB84" s="16">
        <f t="shared" si="44"/>
        <v>3243820</v>
      </c>
      <c r="BC84" s="15">
        <v>0.03</v>
      </c>
      <c r="BD84" s="15">
        <v>0.01</v>
      </c>
      <c r="BE84" s="37">
        <f t="shared" si="45"/>
        <v>312496.8</v>
      </c>
      <c r="BF84" s="38">
        <f t="shared" si="46"/>
        <v>192774</v>
      </c>
      <c r="BG84" s="37">
        <f t="shared" si="50"/>
        <v>159300</v>
      </c>
      <c r="BH84" s="37">
        <f t="shared" si="47"/>
        <v>169100</v>
      </c>
      <c r="BI84">
        <v>159300</v>
      </c>
      <c r="BL84" s="8">
        <f t="shared" si="48"/>
        <v>0</v>
      </c>
      <c r="BM84" s="7" t="str">
        <f t="shared" si="52"/>
        <v>Terdaftar BPJS Kes &amp; Naker</v>
      </c>
      <c r="BN84" s="11">
        <f t="shared" si="53"/>
        <v>192774</v>
      </c>
      <c r="BO84" s="11">
        <f t="shared" si="54"/>
        <v>153542.80000000002</v>
      </c>
      <c r="BP84" s="9">
        <f t="shared" si="49"/>
        <v>0</v>
      </c>
      <c r="BQ84" t="str">
        <f>_xlfn.XLOOKUP(X84,'[2]NON TETAP'!$H:$H,'[2]NON TETAP'!$I:$I)</f>
        <v>GRAMEDIA ASRI MEDIA</v>
      </c>
    </row>
    <row r="85" spans="1:69" x14ac:dyDescent="0.3">
      <c r="A85" s="2">
        <v>84</v>
      </c>
      <c r="B85" s="5" t="s">
        <v>3677</v>
      </c>
      <c r="C85" s="6" t="s">
        <v>241</v>
      </c>
      <c r="D85" s="6"/>
      <c r="E85" s="6" t="s">
        <v>73</v>
      </c>
      <c r="F85" s="6" t="s">
        <v>73</v>
      </c>
      <c r="G85" s="6" t="s">
        <v>73</v>
      </c>
      <c r="H85" s="6"/>
      <c r="I85" s="6"/>
      <c r="J85" s="6"/>
      <c r="K85" s="6">
        <v>800109</v>
      </c>
      <c r="L85" s="6"/>
      <c r="M85" s="6">
        <v>25023139998</v>
      </c>
      <c r="N85" s="46" t="s">
        <v>3676</v>
      </c>
      <c r="O85" s="6">
        <v>1151292328</v>
      </c>
      <c r="P85" s="78" t="s">
        <v>3675</v>
      </c>
      <c r="Q85" s="6">
        <v>10474</v>
      </c>
      <c r="R85" s="6">
        <v>27474</v>
      </c>
      <c r="S85" s="5" t="str">
        <f>VLOOKUP(T85,'[1]Kode Posisi'!$A$3:$B$45,2,)</f>
        <v>Outsourcing Keamanan</v>
      </c>
      <c r="T85" s="36" t="s">
        <v>37</v>
      </c>
      <c r="U85" s="44" t="s">
        <v>3674</v>
      </c>
      <c r="V85" s="44" t="s">
        <v>3673</v>
      </c>
      <c r="W85" s="36" t="s">
        <v>3672</v>
      </c>
      <c r="X85" s="36" t="s">
        <v>3671</v>
      </c>
      <c r="Y85" s="36" t="s">
        <v>1294</v>
      </c>
      <c r="Z85" s="79" t="s">
        <v>3670</v>
      </c>
      <c r="AA85" s="36" t="s">
        <v>3669</v>
      </c>
      <c r="AB85" s="47">
        <v>3382000</v>
      </c>
      <c r="AC85" s="41">
        <v>3382000</v>
      </c>
      <c r="AD85" s="47">
        <v>3186000</v>
      </c>
      <c r="AE85" s="16">
        <f t="shared" si="31"/>
        <v>196000</v>
      </c>
      <c r="AF85" s="16">
        <v>0</v>
      </c>
      <c r="AG85" s="16">
        <v>0</v>
      </c>
      <c r="AH85" s="16"/>
      <c r="AI85" s="16">
        <v>0</v>
      </c>
      <c r="AJ85" s="16"/>
      <c r="AK85" s="16">
        <v>0</v>
      </c>
      <c r="AL85" s="11">
        <f t="shared" si="32"/>
        <v>3382000</v>
      </c>
      <c r="AM85" s="16">
        <f t="shared" si="33"/>
        <v>346316.79999999999</v>
      </c>
      <c r="AN85" s="16">
        <f t="shared" si="34"/>
        <v>135280</v>
      </c>
      <c r="AO85" s="16">
        <f t="shared" si="51"/>
        <v>211036.79999999999</v>
      </c>
      <c r="AP85" s="16">
        <f t="shared" si="35"/>
        <v>125134</v>
      </c>
      <c r="AQ85" s="16">
        <f t="shared" si="36"/>
        <v>3728316.8</v>
      </c>
      <c r="AR85" s="16">
        <f t="shared" si="26"/>
        <v>223699.00799999997</v>
      </c>
      <c r="AS85" s="16">
        <f t="shared" si="37"/>
        <v>24606.890879999995</v>
      </c>
      <c r="AT85" s="16">
        <f t="shared" si="38"/>
        <v>-4473.9801599999992</v>
      </c>
      <c r="AU85" s="16">
        <f t="shared" si="39"/>
        <v>3947541.8278399999</v>
      </c>
      <c r="AV85" s="16">
        <f t="shared" si="40"/>
        <v>3952015.8079999997</v>
      </c>
      <c r="AW85" s="16">
        <f t="shared" si="41"/>
        <v>135280</v>
      </c>
      <c r="AX85" s="16" t="s">
        <v>319</v>
      </c>
      <c r="AY85" s="17"/>
      <c r="AZ85" s="17">
        <f t="shared" si="42"/>
        <v>2900</v>
      </c>
      <c r="BA85" s="16">
        <f t="shared" si="43"/>
        <v>3246720</v>
      </c>
      <c r="BB85" s="16">
        <f t="shared" si="44"/>
        <v>3243820</v>
      </c>
      <c r="BC85" s="15">
        <v>0.03</v>
      </c>
      <c r="BD85" s="15">
        <v>0.01</v>
      </c>
      <c r="BE85" s="37">
        <f t="shared" si="45"/>
        <v>312496.8</v>
      </c>
      <c r="BF85" s="38">
        <f t="shared" si="46"/>
        <v>192774</v>
      </c>
      <c r="BG85" s="37">
        <f t="shared" si="50"/>
        <v>159300</v>
      </c>
      <c r="BH85" s="37">
        <f t="shared" si="47"/>
        <v>169100</v>
      </c>
      <c r="BI85">
        <v>159300</v>
      </c>
      <c r="BL85" s="8">
        <f t="shared" si="48"/>
        <v>0</v>
      </c>
      <c r="BM85" s="7" t="str">
        <f t="shared" si="52"/>
        <v>Terdaftar BPJS Kes &amp; Naker</v>
      </c>
      <c r="BN85" s="11">
        <f t="shared" si="53"/>
        <v>192774</v>
      </c>
      <c r="BO85" s="11">
        <f t="shared" si="54"/>
        <v>153542.80000000002</v>
      </c>
      <c r="BP85" s="9">
        <f t="shared" si="49"/>
        <v>0</v>
      </c>
      <c r="BQ85" t="str">
        <f>_xlfn.XLOOKUP(X85,'[2]NON TETAP'!$H:$H,'[2]NON TETAP'!$I:$I)</f>
        <v>GRAMEDIA ASRI MEDIA</v>
      </c>
    </row>
    <row r="86" spans="1:69" x14ac:dyDescent="0.3">
      <c r="A86" s="2">
        <v>85</v>
      </c>
      <c r="B86" s="4" t="s">
        <v>3660</v>
      </c>
      <c r="C86" s="6" t="s">
        <v>241</v>
      </c>
      <c r="D86" s="6"/>
      <c r="E86" s="6" t="s">
        <v>73</v>
      </c>
      <c r="F86" s="6"/>
      <c r="G86" s="6" t="s">
        <v>3668</v>
      </c>
      <c r="H86" s="6"/>
      <c r="I86" s="2">
        <v>138000</v>
      </c>
      <c r="J86" s="2"/>
      <c r="K86" s="6">
        <v>800110</v>
      </c>
      <c r="L86" s="6"/>
      <c r="M86" s="6">
        <v>25077450424</v>
      </c>
      <c r="N86" s="46" t="s">
        <v>3667</v>
      </c>
      <c r="O86" s="6">
        <v>2239972569</v>
      </c>
      <c r="P86" s="78" t="s">
        <v>3666</v>
      </c>
      <c r="Q86" s="6">
        <v>10459</v>
      </c>
      <c r="R86" s="6">
        <v>27459</v>
      </c>
      <c r="S86" s="5" t="str">
        <f>VLOOKUP(T86,'[1]Kode Posisi'!$A$3:$B$45,2,)</f>
        <v>Outsourcing Keamanan</v>
      </c>
      <c r="T86" s="36" t="s">
        <v>37</v>
      </c>
      <c r="U86" s="44" t="s">
        <v>3665</v>
      </c>
      <c r="V86" s="44" t="s">
        <v>3664</v>
      </c>
      <c r="W86" s="36" t="s">
        <v>3663</v>
      </c>
      <c r="X86" s="36" t="s">
        <v>3662</v>
      </c>
      <c r="Y86" s="36" t="s">
        <v>1294</v>
      </c>
      <c r="Z86" s="79" t="s">
        <v>3661</v>
      </c>
      <c r="AA86" s="36" t="s">
        <v>3660</v>
      </c>
      <c r="AB86" s="47">
        <v>3462000</v>
      </c>
      <c r="AC86" s="47">
        <v>3600000</v>
      </c>
      <c r="AD86" s="47">
        <v>3462000</v>
      </c>
      <c r="AE86" s="16">
        <f t="shared" si="31"/>
        <v>0</v>
      </c>
      <c r="AF86" s="16">
        <v>0</v>
      </c>
      <c r="AG86" s="16">
        <v>0</v>
      </c>
      <c r="AH86" s="16"/>
      <c r="AI86" s="16">
        <v>0</v>
      </c>
      <c r="AJ86" s="16"/>
      <c r="AK86" s="16">
        <v>0</v>
      </c>
      <c r="AL86" s="11">
        <f t="shared" si="32"/>
        <v>3462000</v>
      </c>
      <c r="AM86" s="16">
        <f t="shared" si="33"/>
        <v>368640</v>
      </c>
      <c r="AN86" s="16">
        <f t="shared" si="34"/>
        <v>144000</v>
      </c>
      <c r="AO86" s="16">
        <f t="shared" si="51"/>
        <v>224640</v>
      </c>
      <c r="AP86" s="16">
        <f t="shared" si="35"/>
        <v>128094</v>
      </c>
      <c r="AQ86" s="16">
        <f t="shared" si="36"/>
        <v>3830640</v>
      </c>
      <c r="AR86" s="16">
        <f t="shared" si="26"/>
        <v>229838.4</v>
      </c>
      <c r="AS86" s="16">
        <f t="shared" si="37"/>
        <v>25282.223999999998</v>
      </c>
      <c r="AT86" s="16">
        <f t="shared" si="38"/>
        <v>-4596.768</v>
      </c>
      <c r="AU86" s="16">
        <f t="shared" si="39"/>
        <v>4055881.6319999998</v>
      </c>
      <c r="AV86" s="16">
        <f t="shared" si="40"/>
        <v>4060478.4</v>
      </c>
      <c r="AW86" s="16">
        <f t="shared" si="41"/>
        <v>144000</v>
      </c>
      <c r="AX86" s="16" t="s">
        <v>286</v>
      </c>
      <c r="AY86" s="17"/>
      <c r="AZ86" s="17">
        <f t="shared" si="42"/>
        <v>2900</v>
      </c>
      <c r="BA86" s="16">
        <f t="shared" si="43"/>
        <v>3318000</v>
      </c>
      <c r="BB86" s="16">
        <f t="shared" si="44"/>
        <v>3315100</v>
      </c>
      <c r="BC86" s="15">
        <v>0.03</v>
      </c>
      <c r="BD86" s="15">
        <v>0.01</v>
      </c>
      <c r="BE86" s="37">
        <f t="shared" si="45"/>
        <v>332640</v>
      </c>
      <c r="BF86" s="38">
        <f t="shared" si="46"/>
        <v>205200</v>
      </c>
      <c r="BG86" s="37">
        <f t="shared" si="50"/>
        <v>173100</v>
      </c>
      <c r="BH86" s="37">
        <f t="shared" si="47"/>
        <v>180000</v>
      </c>
      <c r="BI86">
        <v>173100</v>
      </c>
      <c r="BL86" s="8">
        <f t="shared" si="48"/>
        <v>0</v>
      </c>
      <c r="BM86" s="7" t="str">
        <f t="shared" si="52"/>
        <v>Terdaftar BPJS Kes &amp; Naker</v>
      </c>
      <c r="BN86" s="11">
        <f t="shared" si="53"/>
        <v>205200</v>
      </c>
      <c r="BO86" s="11">
        <f t="shared" si="54"/>
        <v>163440</v>
      </c>
      <c r="BP86" s="9">
        <f t="shared" si="49"/>
        <v>0</v>
      </c>
      <c r="BQ86" t="s">
        <v>8</v>
      </c>
    </row>
    <row r="87" spans="1:69" x14ac:dyDescent="0.3">
      <c r="A87" s="2">
        <v>86</v>
      </c>
      <c r="B87" s="5" t="s">
        <v>3655</v>
      </c>
      <c r="C87" s="6" t="s">
        <v>241</v>
      </c>
      <c r="D87" s="6"/>
      <c r="E87" s="6" t="s">
        <v>73</v>
      </c>
      <c r="F87" s="6" t="s">
        <v>73</v>
      </c>
      <c r="G87" s="6"/>
      <c r="H87" s="6"/>
      <c r="I87" s="6"/>
      <c r="J87" s="6"/>
      <c r="K87" s="6">
        <v>800113</v>
      </c>
      <c r="L87" s="6"/>
      <c r="M87" s="6">
        <v>25023140657</v>
      </c>
      <c r="N87" s="46" t="s">
        <v>3659</v>
      </c>
      <c r="O87" s="6">
        <v>3542709341</v>
      </c>
      <c r="P87" s="78" t="s">
        <v>3658</v>
      </c>
      <c r="Q87" s="6">
        <v>10137</v>
      </c>
      <c r="R87" s="6">
        <v>27137</v>
      </c>
      <c r="S87" s="5" t="str">
        <f>VLOOKUP(T87,'[1]Kode Posisi'!$A$3:$B$45,2,)</f>
        <v>Outsourcing Keamanan</v>
      </c>
      <c r="T87" s="36" t="s">
        <v>2850</v>
      </c>
      <c r="U87" s="44" t="s">
        <v>2176</v>
      </c>
      <c r="V87" s="44" t="s">
        <v>3657</v>
      </c>
      <c r="W87" s="36" t="s">
        <v>2174</v>
      </c>
      <c r="X87" s="36" t="s">
        <v>135</v>
      </c>
      <c r="Y87" s="36" t="s">
        <v>52</v>
      </c>
      <c r="Z87" s="79" t="s">
        <v>3656</v>
      </c>
      <c r="AA87" s="36" t="s">
        <v>3655</v>
      </c>
      <c r="AB87" s="47">
        <v>3856000</v>
      </c>
      <c r="AC87" s="41">
        <v>3856000</v>
      </c>
      <c r="AD87" s="47">
        <v>3600000</v>
      </c>
      <c r="AE87" s="16">
        <f t="shared" si="31"/>
        <v>256000</v>
      </c>
      <c r="AF87" s="16">
        <v>0</v>
      </c>
      <c r="AG87" s="16">
        <v>200000</v>
      </c>
      <c r="AH87" s="16"/>
      <c r="AI87" s="16">
        <v>0</v>
      </c>
      <c r="AJ87" s="16"/>
      <c r="AK87" s="16">
        <v>0</v>
      </c>
      <c r="AL87" s="11">
        <f t="shared" si="32"/>
        <v>4056000</v>
      </c>
      <c r="AM87" s="16">
        <f t="shared" si="33"/>
        <v>394854.40000000002</v>
      </c>
      <c r="AN87" s="16">
        <f t="shared" si="34"/>
        <v>154240</v>
      </c>
      <c r="AO87" s="16">
        <f t="shared" si="51"/>
        <v>240614.39999999999</v>
      </c>
      <c r="AP87" s="16">
        <f t="shared" si="35"/>
        <v>142672</v>
      </c>
      <c r="AQ87" s="16">
        <f t="shared" si="36"/>
        <v>4450854.4000000004</v>
      </c>
      <c r="AR87" s="16">
        <f t="shared" si="26"/>
        <v>267051.26400000002</v>
      </c>
      <c r="AS87" s="16">
        <f t="shared" si="37"/>
        <v>29375.639040000002</v>
      </c>
      <c r="AT87" s="16">
        <f t="shared" si="38"/>
        <v>-5341.0252800000007</v>
      </c>
      <c r="AU87" s="16">
        <f t="shared" si="39"/>
        <v>4712564.6387200011</v>
      </c>
      <c r="AV87" s="16">
        <f t="shared" si="40"/>
        <v>4717905.6640000008</v>
      </c>
      <c r="AW87" s="16">
        <f t="shared" si="41"/>
        <v>154240</v>
      </c>
      <c r="AX87" s="16" t="s">
        <v>235</v>
      </c>
      <c r="AY87" s="17"/>
      <c r="AZ87" s="17">
        <f t="shared" si="42"/>
        <v>0</v>
      </c>
      <c r="BA87" s="16">
        <f t="shared" si="43"/>
        <v>3901760</v>
      </c>
      <c r="BB87" s="16">
        <f t="shared" si="44"/>
        <v>3901760</v>
      </c>
      <c r="BC87" s="15">
        <v>0.03</v>
      </c>
      <c r="BD87" s="15">
        <v>0.01</v>
      </c>
      <c r="BE87" s="37">
        <f t="shared" si="45"/>
        <v>356294.39999999997</v>
      </c>
      <c r="BF87" s="38">
        <f t="shared" si="46"/>
        <v>219792</v>
      </c>
      <c r="BG87" s="37">
        <f t="shared" si="50"/>
        <v>180000</v>
      </c>
      <c r="BH87" s="37">
        <f t="shared" si="47"/>
        <v>192800</v>
      </c>
      <c r="BI87">
        <v>180000</v>
      </c>
      <c r="BL87" s="8">
        <f t="shared" si="48"/>
        <v>200000</v>
      </c>
      <c r="BM87" s="7" t="str">
        <f t="shared" si="52"/>
        <v>Terdaftar BPJS Kes &amp; Naker</v>
      </c>
      <c r="BN87" s="11">
        <f t="shared" si="53"/>
        <v>219792</v>
      </c>
      <c r="BO87" s="11">
        <f t="shared" si="54"/>
        <v>175062.40000000002</v>
      </c>
      <c r="BP87" s="9">
        <f t="shared" si="49"/>
        <v>0</v>
      </c>
      <c r="BQ87" t="str">
        <f>_xlfn.XLOOKUP(X87,'[2]NON TETAP'!$H:$H,'[2]NON TETAP'!$I:$I)</f>
        <v>GRAMEDIA ASRI MEDIA</v>
      </c>
    </row>
    <row r="88" spans="1:69" x14ac:dyDescent="0.3">
      <c r="A88" s="2">
        <v>87</v>
      </c>
      <c r="B88" s="4" t="s">
        <v>3650</v>
      </c>
      <c r="C88" s="6" t="s">
        <v>241</v>
      </c>
      <c r="D88" s="6"/>
      <c r="E88" s="6" t="s">
        <v>73</v>
      </c>
      <c r="F88" s="6" t="s">
        <v>73</v>
      </c>
      <c r="G88" s="6"/>
      <c r="H88" s="6"/>
      <c r="I88" s="2"/>
      <c r="J88" s="2"/>
      <c r="K88" s="6">
        <v>800116</v>
      </c>
      <c r="L88" s="6"/>
      <c r="M88" s="6">
        <v>25077450440</v>
      </c>
      <c r="N88" s="46" t="s">
        <v>3654</v>
      </c>
      <c r="O88" s="6">
        <v>2257593614</v>
      </c>
      <c r="P88" s="78" t="s">
        <v>3653</v>
      </c>
      <c r="Q88" s="6">
        <v>10137</v>
      </c>
      <c r="R88" s="6">
        <v>27137</v>
      </c>
      <c r="S88" s="5" t="str">
        <f>VLOOKUP(T88,'[1]Kode Posisi'!$A$3:$B$45,2,)</f>
        <v>Outsourcing Keamanan</v>
      </c>
      <c r="T88" s="36" t="s">
        <v>37</v>
      </c>
      <c r="U88" s="44" t="s">
        <v>2176</v>
      </c>
      <c r="V88" s="44" t="s">
        <v>3652</v>
      </c>
      <c r="W88" s="36" t="s">
        <v>2174</v>
      </c>
      <c r="X88" s="36" t="s">
        <v>135</v>
      </c>
      <c r="Y88" s="36" t="s">
        <v>52</v>
      </c>
      <c r="Z88" s="79" t="s">
        <v>3651</v>
      </c>
      <c r="AA88" s="36" t="s">
        <v>3650</v>
      </c>
      <c r="AB88" s="47">
        <v>3856000</v>
      </c>
      <c r="AC88" s="41">
        <v>3856000</v>
      </c>
      <c r="AD88" s="47">
        <v>3600000</v>
      </c>
      <c r="AE88" s="16">
        <f t="shared" si="31"/>
        <v>256000</v>
      </c>
      <c r="AF88" s="16">
        <v>0</v>
      </c>
      <c r="AG88" s="16">
        <v>0</v>
      </c>
      <c r="AH88" s="16"/>
      <c r="AI88" s="16">
        <v>0</v>
      </c>
      <c r="AJ88" s="16"/>
      <c r="AK88" s="16">
        <v>0</v>
      </c>
      <c r="AL88" s="11">
        <f t="shared" si="32"/>
        <v>3856000</v>
      </c>
      <c r="AM88" s="16">
        <f t="shared" si="33"/>
        <v>394854.40000000002</v>
      </c>
      <c r="AN88" s="16">
        <f t="shared" si="34"/>
        <v>154240</v>
      </c>
      <c r="AO88" s="16">
        <f t="shared" si="51"/>
        <v>240614.39999999999</v>
      </c>
      <c r="AP88" s="16">
        <f t="shared" si="35"/>
        <v>142672</v>
      </c>
      <c r="AQ88" s="16">
        <f t="shared" si="36"/>
        <v>4250854.4000000004</v>
      </c>
      <c r="AR88" s="16">
        <f t="shared" si="26"/>
        <v>255051.26400000002</v>
      </c>
      <c r="AS88" s="16">
        <f t="shared" si="37"/>
        <v>28055.639040000002</v>
      </c>
      <c r="AT88" s="16">
        <f t="shared" si="38"/>
        <v>-5101.0252800000007</v>
      </c>
      <c r="AU88" s="16">
        <f t="shared" si="39"/>
        <v>4500804.6387200011</v>
      </c>
      <c r="AV88" s="16">
        <f t="shared" si="40"/>
        <v>4505905.6640000008</v>
      </c>
      <c r="AW88" s="16">
        <f t="shared" si="41"/>
        <v>154240</v>
      </c>
      <c r="AX88" s="16" t="s">
        <v>319</v>
      </c>
      <c r="AY88" s="17"/>
      <c r="AZ88" s="17">
        <f t="shared" si="42"/>
        <v>0</v>
      </c>
      <c r="BA88" s="16">
        <f t="shared" si="43"/>
        <v>3701760</v>
      </c>
      <c r="BB88" s="16">
        <f t="shared" si="44"/>
        <v>3701760</v>
      </c>
      <c r="BC88" s="15">
        <v>0.03</v>
      </c>
      <c r="BD88" s="15">
        <v>0.01</v>
      </c>
      <c r="BE88" s="37">
        <f t="shared" si="45"/>
        <v>356294.39999999997</v>
      </c>
      <c r="BF88" s="38">
        <f t="shared" si="46"/>
        <v>219792</v>
      </c>
      <c r="BG88" s="37">
        <f t="shared" si="50"/>
        <v>180000</v>
      </c>
      <c r="BH88" s="37">
        <f t="shared" si="47"/>
        <v>192800</v>
      </c>
      <c r="BI88">
        <v>180000</v>
      </c>
      <c r="BL88" s="8">
        <f t="shared" si="48"/>
        <v>0</v>
      </c>
      <c r="BM88" s="7" t="str">
        <f t="shared" si="52"/>
        <v>Terdaftar BPJS Kes &amp; Naker</v>
      </c>
      <c r="BN88" s="11">
        <f t="shared" si="53"/>
        <v>219792</v>
      </c>
      <c r="BO88" s="11">
        <f t="shared" si="54"/>
        <v>175062.40000000002</v>
      </c>
      <c r="BP88" s="9">
        <f t="shared" si="49"/>
        <v>0</v>
      </c>
      <c r="BQ88" t="str">
        <f>_xlfn.XLOOKUP(X88,'[2]NON TETAP'!$H:$H,'[2]NON TETAP'!$I:$I)</f>
        <v>GRAMEDIA ASRI MEDIA</v>
      </c>
    </row>
    <row r="89" spans="1:69" x14ac:dyDescent="0.3">
      <c r="A89" s="2">
        <v>88</v>
      </c>
      <c r="B89" s="5" t="s">
        <v>3649</v>
      </c>
      <c r="C89" s="6" t="s">
        <v>241</v>
      </c>
      <c r="D89" s="6"/>
      <c r="E89" s="6" t="s">
        <v>73</v>
      </c>
      <c r="F89" s="6" t="s">
        <v>73</v>
      </c>
      <c r="G89" s="6" t="s">
        <v>73</v>
      </c>
      <c r="H89" s="6"/>
      <c r="I89" s="6"/>
      <c r="J89" s="6"/>
      <c r="K89" s="6">
        <v>800118</v>
      </c>
      <c r="L89" s="6"/>
      <c r="M89" s="6">
        <v>24034968743</v>
      </c>
      <c r="N89" s="46" t="s">
        <v>3648</v>
      </c>
      <c r="O89" s="6">
        <v>2921017026</v>
      </c>
      <c r="P89" s="78" t="s">
        <v>3647</v>
      </c>
      <c r="Q89" s="6">
        <v>10475</v>
      </c>
      <c r="R89" s="6">
        <v>27475</v>
      </c>
      <c r="S89" s="5" t="str">
        <f>VLOOKUP(T89,'[1]Kode Posisi'!$A$3:$B$45,2,)</f>
        <v>Outsourcing Keamanan</v>
      </c>
      <c r="T89" s="36" t="s">
        <v>37</v>
      </c>
      <c r="U89" s="44" t="s">
        <v>1273</v>
      </c>
      <c r="V89" s="44" t="s">
        <v>3646</v>
      </c>
      <c r="W89" s="36" t="s">
        <v>1271</v>
      </c>
      <c r="X89" s="36" t="s">
        <v>84</v>
      </c>
      <c r="Y89" s="36" t="s">
        <v>1294</v>
      </c>
      <c r="Z89" s="79" t="s">
        <v>3645</v>
      </c>
      <c r="AA89" s="36" t="s">
        <v>3644</v>
      </c>
      <c r="AB89" s="47">
        <v>2879000</v>
      </c>
      <c r="AC89" s="41">
        <v>2879000</v>
      </c>
      <c r="AD89" s="47">
        <v>2698000</v>
      </c>
      <c r="AE89" s="16">
        <f t="shared" si="31"/>
        <v>181000</v>
      </c>
      <c r="AF89" s="16">
        <v>0</v>
      </c>
      <c r="AG89" s="16"/>
      <c r="AH89" s="16"/>
      <c r="AI89" s="16">
        <v>0</v>
      </c>
      <c r="AJ89" s="16"/>
      <c r="AK89" s="16">
        <v>0</v>
      </c>
      <c r="AL89" s="11">
        <f t="shared" si="32"/>
        <v>2879000</v>
      </c>
      <c r="AM89" s="16">
        <f t="shared" si="33"/>
        <v>294809.59999999998</v>
      </c>
      <c r="AN89" s="16">
        <f t="shared" si="34"/>
        <v>115160</v>
      </c>
      <c r="AO89" s="16">
        <f t="shared" si="51"/>
        <v>179649.6</v>
      </c>
      <c r="AP89" s="16">
        <f t="shared" si="35"/>
        <v>106523</v>
      </c>
      <c r="AQ89" s="16">
        <f t="shared" si="36"/>
        <v>3173809.6</v>
      </c>
      <c r="AR89" s="16">
        <f t="shared" si="26"/>
        <v>190428.576</v>
      </c>
      <c r="AS89" s="16">
        <f t="shared" si="37"/>
        <v>20947.143360000002</v>
      </c>
      <c r="AT89" s="16">
        <f t="shared" si="38"/>
        <v>-3808.57152</v>
      </c>
      <c r="AU89" s="16">
        <f t="shared" si="39"/>
        <v>3360429.6044799997</v>
      </c>
      <c r="AV89" s="16">
        <f t="shared" si="40"/>
        <v>3364238.176</v>
      </c>
      <c r="AW89" s="16">
        <f t="shared" si="41"/>
        <v>115160</v>
      </c>
      <c r="AX89" s="16" t="s">
        <v>319</v>
      </c>
      <c r="AY89" s="17"/>
      <c r="AZ89" s="17">
        <f t="shared" si="42"/>
        <v>2900</v>
      </c>
      <c r="BA89" s="16">
        <f t="shared" si="43"/>
        <v>2763840</v>
      </c>
      <c r="BB89" s="16">
        <f t="shared" si="44"/>
        <v>2760940</v>
      </c>
      <c r="BC89" s="15">
        <v>0.03</v>
      </c>
      <c r="BD89" s="15">
        <v>0.01</v>
      </c>
      <c r="BE89" s="37">
        <f t="shared" si="45"/>
        <v>266019.59999999998</v>
      </c>
      <c r="BF89" s="38">
        <f t="shared" si="46"/>
        <v>164103</v>
      </c>
      <c r="BG89" s="37">
        <f t="shared" si="50"/>
        <v>134900</v>
      </c>
      <c r="BH89" s="37">
        <f t="shared" si="47"/>
        <v>143950</v>
      </c>
      <c r="BI89">
        <v>134900</v>
      </c>
      <c r="BL89" s="8">
        <f t="shared" si="48"/>
        <v>0</v>
      </c>
      <c r="BM89" s="7" t="str">
        <f t="shared" si="52"/>
        <v>Terdaftar BPJS Kes &amp; Naker</v>
      </c>
      <c r="BN89" s="11">
        <f t="shared" si="53"/>
        <v>164103</v>
      </c>
      <c r="BO89" s="11">
        <f t="shared" si="54"/>
        <v>130706.6</v>
      </c>
      <c r="BP89" s="9">
        <f t="shared" si="49"/>
        <v>0</v>
      </c>
      <c r="BQ89" t="str">
        <f>_xlfn.XLOOKUP(X89,'[2]NON TETAP'!$H:$H,'[2]NON TETAP'!$I:$I)</f>
        <v>GRAMEDIA ASRI MEDIA</v>
      </c>
    </row>
    <row r="90" spans="1:69" x14ac:dyDescent="0.3">
      <c r="A90" s="2">
        <v>89</v>
      </c>
      <c r="B90" s="5" t="s">
        <v>3639</v>
      </c>
      <c r="C90" s="6" t="s">
        <v>241</v>
      </c>
      <c r="D90" s="6"/>
      <c r="E90" s="6" t="s">
        <v>73</v>
      </c>
      <c r="F90" s="6" t="s">
        <v>73</v>
      </c>
      <c r="G90" s="6" t="s">
        <v>73</v>
      </c>
      <c r="H90" s="6"/>
      <c r="I90" s="6"/>
      <c r="J90" s="6"/>
      <c r="K90" s="6">
        <v>800119</v>
      </c>
      <c r="L90" s="6"/>
      <c r="M90" s="6">
        <v>24136341161</v>
      </c>
      <c r="N90" s="46" t="s">
        <v>3643</v>
      </c>
      <c r="O90" s="6">
        <v>1143762344</v>
      </c>
      <c r="P90" s="78" t="s">
        <v>3642</v>
      </c>
      <c r="Q90" s="6">
        <v>10475</v>
      </c>
      <c r="R90" s="6">
        <v>27475</v>
      </c>
      <c r="S90" s="5" t="str">
        <f>VLOOKUP(T90,'[1]Kode Posisi'!$A$3:$B$45,2,)</f>
        <v>Outsourcing Keamanan</v>
      </c>
      <c r="T90" s="36" t="s">
        <v>2850</v>
      </c>
      <c r="U90" s="44" t="s">
        <v>1273</v>
      </c>
      <c r="V90" s="44" t="s">
        <v>3641</v>
      </c>
      <c r="W90" s="36" t="s">
        <v>1271</v>
      </c>
      <c r="X90" s="36" t="s">
        <v>84</v>
      </c>
      <c r="Y90" s="36" t="s">
        <v>1294</v>
      </c>
      <c r="Z90" s="79" t="s">
        <v>3640</v>
      </c>
      <c r="AA90" s="36" t="s">
        <v>3639</v>
      </c>
      <c r="AB90" s="47">
        <v>2879000</v>
      </c>
      <c r="AC90" s="41">
        <v>2879000</v>
      </c>
      <c r="AD90" s="47">
        <v>2698000</v>
      </c>
      <c r="AE90" s="16">
        <f t="shared" si="31"/>
        <v>181000</v>
      </c>
      <c r="AF90" s="16">
        <v>0</v>
      </c>
      <c r="AG90" s="16">
        <v>200000</v>
      </c>
      <c r="AH90" s="16"/>
      <c r="AI90" s="16">
        <v>0</v>
      </c>
      <c r="AJ90" s="16"/>
      <c r="AK90" s="16">
        <v>2418360</v>
      </c>
      <c r="AL90" s="11">
        <f t="shared" si="32"/>
        <v>660640</v>
      </c>
      <c r="AM90" s="16">
        <f t="shared" si="33"/>
        <v>0</v>
      </c>
      <c r="AN90" s="16">
        <f t="shared" si="34"/>
        <v>0</v>
      </c>
      <c r="AO90" s="16">
        <f t="shared" si="51"/>
        <v>0</v>
      </c>
      <c r="AP90" s="16">
        <f t="shared" si="35"/>
        <v>0</v>
      </c>
      <c r="AQ90" s="16">
        <f t="shared" si="36"/>
        <v>660640</v>
      </c>
      <c r="AR90" s="16">
        <f t="shared" si="26"/>
        <v>39638.400000000001</v>
      </c>
      <c r="AS90" s="16">
        <f t="shared" si="37"/>
        <v>4360.2240000000002</v>
      </c>
      <c r="AT90" s="16">
        <f t="shared" si="38"/>
        <v>-792.76800000000003</v>
      </c>
      <c r="AU90" s="16">
        <f t="shared" si="39"/>
        <v>699485.63199999998</v>
      </c>
      <c r="AV90" s="16">
        <f t="shared" si="40"/>
        <v>700278.4</v>
      </c>
      <c r="AW90" s="16">
        <f t="shared" si="41"/>
        <v>0</v>
      </c>
      <c r="AX90" s="16" t="s">
        <v>286</v>
      </c>
      <c r="AY90" s="17"/>
      <c r="AZ90" s="17">
        <f t="shared" si="42"/>
        <v>2900</v>
      </c>
      <c r="BA90" s="16">
        <f t="shared" si="43"/>
        <v>660640</v>
      </c>
      <c r="BB90" s="16">
        <f t="shared" si="44"/>
        <v>657740</v>
      </c>
      <c r="BC90" s="15"/>
      <c r="BD90" s="15"/>
      <c r="BE90" s="37">
        <f t="shared" si="45"/>
        <v>0</v>
      </c>
      <c r="BF90" s="38">
        <f t="shared" si="46"/>
        <v>0</v>
      </c>
      <c r="BG90" s="37">
        <f t="shared" si="50"/>
        <v>134900</v>
      </c>
      <c r="BH90" s="37">
        <f t="shared" si="47"/>
        <v>0</v>
      </c>
      <c r="BI90">
        <v>134900</v>
      </c>
      <c r="BL90" s="8">
        <f t="shared" si="48"/>
        <v>-2218360</v>
      </c>
      <c r="BM90" s="7" t="str">
        <f>IF(AND(BC90=0.03,0.2,BD90=0.01),"Terdaftar BPJS Kes &amp; Naker","Tidak Terdaftar")</f>
        <v>Tidak Terdaftar</v>
      </c>
      <c r="BN90" s="11"/>
      <c r="BO90" s="11"/>
      <c r="BP90" s="9">
        <f t="shared" si="49"/>
        <v>0</v>
      </c>
      <c r="BQ90" t="str">
        <f>_xlfn.XLOOKUP(X90,'[2]NON TETAP'!$H:$H,'[2]NON TETAP'!$I:$I)</f>
        <v>GRAMEDIA ASRI MEDIA</v>
      </c>
    </row>
    <row r="91" spans="1:69" x14ac:dyDescent="0.3">
      <c r="A91" s="2">
        <v>90</v>
      </c>
      <c r="B91" s="5" t="s">
        <v>3638</v>
      </c>
      <c r="C91" s="6" t="s">
        <v>241</v>
      </c>
      <c r="D91" s="6"/>
      <c r="E91" s="6" t="s">
        <v>73</v>
      </c>
      <c r="F91" s="6" t="s">
        <v>73</v>
      </c>
      <c r="G91" s="6" t="s">
        <v>73</v>
      </c>
      <c r="H91" s="6"/>
      <c r="I91" s="6"/>
      <c r="J91" s="6"/>
      <c r="K91" s="6">
        <v>800120</v>
      </c>
      <c r="L91" s="6"/>
      <c r="M91" s="6">
        <v>22007795515</v>
      </c>
      <c r="N91" s="46" t="s">
        <v>3637</v>
      </c>
      <c r="O91" s="6">
        <v>1287897737</v>
      </c>
      <c r="P91" s="78" t="s">
        <v>3636</v>
      </c>
      <c r="Q91" s="6">
        <v>10475</v>
      </c>
      <c r="R91" s="6">
        <v>27475</v>
      </c>
      <c r="S91" s="5" t="str">
        <f>VLOOKUP(T91,'[1]Kode Posisi'!$A$3:$B$45,2,)</f>
        <v>Outsourcing Keamanan</v>
      </c>
      <c r="T91" s="36" t="s">
        <v>37</v>
      </c>
      <c r="U91" s="44" t="s">
        <v>1273</v>
      </c>
      <c r="V91" s="44" t="s">
        <v>3635</v>
      </c>
      <c r="W91" s="36" t="s">
        <v>1271</v>
      </c>
      <c r="X91" s="36" t="s">
        <v>84</v>
      </c>
      <c r="Y91" s="36" t="s">
        <v>1294</v>
      </c>
      <c r="Z91" s="79" t="s">
        <v>3634</v>
      </c>
      <c r="AA91" s="36" t="s">
        <v>3633</v>
      </c>
      <c r="AB91" s="47">
        <v>2879000</v>
      </c>
      <c r="AC91" s="41">
        <v>2879000</v>
      </c>
      <c r="AD91" s="47">
        <v>2698000</v>
      </c>
      <c r="AE91" s="16">
        <f t="shared" si="31"/>
        <v>181000</v>
      </c>
      <c r="AF91" s="16">
        <v>0</v>
      </c>
      <c r="AG91" s="16">
        <v>0</v>
      </c>
      <c r="AH91" s="16"/>
      <c r="AI91" s="16">
        <v>0</v>
      </c>
      <c r="AJ91" s="16"/>
      <c r="AK91" s="16">
        <v>0</v>
      </c>
      <c r="AL91" s="11">
        <f t="shared" si="32"/>
        <v>2879000</v>
      </c>
      <c r="AM91" s="16">
        <f t="shared" si="33"/>
        <v>294809.59999999998</v>
      </c>
      <c r="AN91" s="16">
        <f t="shared" si="34"/>
        <v>115160</v>
      </c>
      <c r="AO91" s="16">
        <f t="shared" si="51"/>
        <v>179649.6</v>
      </c>
      <c r="AP91" s="16">
        <f t="shared" si="35"/>
        <v>106523</v>
      </c>
      <c r="AQ91" s="16">
        <f t="shared" si="36"/>
        <v>3173809.6</v>
      </c>
      <c r="AR91" s="16">
        <f t="shared" si="26"/>
        <v>190428.576</v>
      </c>
      <c r="AS91" s="16">
        <f t="shared" si="37"/>
        <v>20947.143360000002</v>
      </c>
      <c r="AT91" s="16">
        <f t="shared" si="38"/>
        <v>-3808.57152</v>
      </c>
      <c r="AU91" s="16">
        <f t="shared" si="39"/>
        <v>3360429.6044799997</v>
      </c>
      <c r="AV91" s="16">
        <f t="shared" si="40"/>
        <v>3364238.176</v>
      </c>
      <c r="AW91" s="16">
        <f t="shared" si="41"/>
        <v>115160</v>
      </c>
      <c r="AX91" s="16" t="s">
        <v>235</v>
      </c>
      <c r="AY91" s="17"/>
      <c r="AZ91" s="17">
        <f t="shared" si="42"/>
        <v>2900</v>
      </c>
      <c r="BA91" s="16">
        <f t="shared" si="43"/>
        <v>2763840</v>
      </c>
      <c r="BB91" s="16">
        <f t="shared" si="44"/>
        <v>2760940</v>
      </c>
      <c r="BC91" s="15">
        <v>0.03</v>
      </c>
      <c r="BD91" s="15">
        <v>0.01</v>
      </c>
      <c r="BE91" s="37">
        <f t="shared" si="45"/>
        <v>266019.59999999998</v>
      </c>
      <c r="BF91" s="38">
        <f t="shared" si="46"/>
        <v>164103</v>
      </c>
      <c r="BG91" s="37">
        <f t="shared" si="50"/>
        <v>134900</v>
      </c>
      <c r="BH91" s="37">
        <f t="shared" si="47"/>
        <v>143950</v>
      </c>
      <c r="BI91">
        <v>134900</v>
      </c>
      <c r="BL91" s="8">
        <f t="shared" si="48"/>
        <v>0</v>
      </c>
      <c r="BM91" s="7" t="str">
        <f t="shared" ref="BM91:BM122" si="55">IF(AND(BC91=0.03,BD91=0.01),"Terdaftar BPJS Kes &amp; Naker","Tidak Terdaftar")</f>
        <v>Terdaftar BPJS Kes &amp; Naker</v>
      </c>
      <c r="BN91" s="11">
        <f t="shared" ref="BN91:BN122" si="56">AC91*5.7%</f>
        <v>164103</v>
      </c>
      <c r="BO91" s="11">
        <f t="shared" ref="BO91:BO122" si="57">AC91*4.54%</f>
        <v>130706.6</v>
      </c>
      <c r="BP91" s="9">
        <f t="shared" si="49"/>
        <v>0</v>
      </c>
      <c r="BQ91" t="str">
        <f>_xlfn.XLOOKUP(X91,'[2]NON TETAP'!$H:$H,'[2]NON TETAP'!$I:$I)</f>
        <v>GRAMEDIA ASRI MEDIA</v>
      </c>
    </row>
    <row r="92" spans="1:69" x14ac:dyDescent="0.3">
      <c r="A92" s="2">
        <v>91</v>
      </c>
      <c r="B92" s="5" t="s">
        <v>3628</v>
      </c>
      <c r="C92" s="6" t="s">
        <v>241</v>
      </c>
      <c r="D92" s="6"/>
      <c r="E92" s="6" t="s">
        <v>73</v>
      </c>
      <c r="F92" s="6" t="s">
        <v>73</v>
      </c>
      <c r="G92" s="6" t="s">
        <v>73</v>
      </c>
      <c r="H92" s="6"/>
      <c r="I92" s="6"/>
      <c r="J92" s="6"/>
      <c r="K92" s="6">
        <v>800122</v>
      </c>
      <c r="L92" s="6"/>
      <c r="M92" s="6">
        <v>24124121351</v>
      </c>
      <c r="N92" s="46" t="s">
        <v>3632</v>
      </c>
      <c r="O92" s="6">
        <v>2323268853</v>
      </c>
      <c r="P92" s="78" t="s">
        <v>3631</v>
      </c>
      <c r="Q92" s="6">
        <v>10475</v>
      </c>
      <c r="R92" s="6">
        <v>27475</v>
      </c>
      <c r="S92" s="5" t="str">
        <f>VLOOKUP(T92,'[1]Kode Posisi'!$A$3:$B$45,2,)</f>
        <v>Outsourcing Keamanan</v>
      </c>
      <c r="T92" s="36" t="s">
        <v>37</v>
      </c>
      <c r="U92" s="44" t="s">
        <v>1273</v>
      </c>
      <c r="V92" s="44" t="s">
        <v>3630</v>
      </c>
      <c r="W92" s="36" t="s">
        <v>1271</v>
      </c>
      <c r="X92" s="36" t="s">
        <v>84</v>
      </c>
      <c r="Y92" s="36" t="s">
        <v>52</v>
      </c>
      <c r="Z92" s="79" t="s">
        <v>3629</v>
      </c>
      <c r="AA92" s="36" t="s">
        <v>3628</v>
      </c>
      <c r="AB92" s="47">
        <v>2879000</v>
      </c>
      <c r="AC92" s="41">
        <v>2879000</v>
      </c>
      <c r="AD92" s="47">
        <v>2698000</v>
      </c>
      <c r="AE92" s="16">
        <f t="shared" si="31"/>
        <v>181000</v>
      </c>
      <c r="AF92" s="16">
        <v>0</v>
      </c>
      <c r="AG92" s="16">
        <v>0</v>
      </c>
      <c r="AH92" s="16"/>
      <c r="AI92" s="16">
        <v>0</v>
      </c>
      <c r="AJ92" s="16"/>
      <c r="AK92" s="16">
        <v>1842560</v>
      </c>
      <c r="AL92" s="11">
        <f t="shared" si="32"/>
        <v>1036440</v>
      </c>
      <c r="AM92" s="16">
        <f t="shared" si="33"/>
        <v>294809.59999999998</v>
      </c>
      <c r="AN92" s="16">
        <f t="shared" si="34"/>
        <v>115160</v>
      </c>
      <c r="AO92" s="16">
        <f t="shared" si="51"/>
        <v>179649.6</v>
      </c>
      <c r="AP92" s="16">
        <f t="shared" si="35"/>
        <v>106523</v>
      </c>
      <c r="AQ92" s="16">
        <f t="shared" si="36"/>
        <v>1331249.6000000001</v>
      </c>
      <c r="AR92" s="16">
        <f t="shared" si="26"/>
        <v>79874.97600000001</v>
      </c>
      <c r="AS92" s="16">
        <f t="shared" si="37"/>
        <v>8786.2473600000012</v>
      </c>
      <c r="AT92" s="16">
        <f t="shared" si="38"/>
        <v>-1597.4995200000003</v>
      </c>
      <c r="AU92" s="16">
        <f t="shared" si="39"/>
        <v>1409527.07648</v>
      </c>
      <c r="AV92" s="16">
        <f t="shared" si="40"/>
        <v>1411124.5760000001</v>
      </c>
      <c r="AW92" s="16">
        <f t="shared" si="41"/>
        <v>115160</v>
      </c>
      <c r="AX92" s="16" t="s">
        <v>319</v>
      </c>
      <c r="AY92" s="17"/>
      <c r="AZ92" s="17">
        <f t="shared" si="42"/>
        <v>0</v>
      </c>
      <c r="BA92" s="16">
        <f t="shared" si="43"/>
        <v>921280</v>
      </c>
      <c r="BB92" s="16">
        <f t="shared" si="44"/>
        <v>921280</v>
      </c>
      <c r="BC92" s="15">
        <v>0.03</v>
      </c>
      <c r="BD92" s="15">
        <v>0.01</v>
      </c>
      <c r="BE92" s="37">
        <f t="shared" si="45"/>
        <v>266019.59999999998</v>
      </c>
      <c r="BF92" s="38">
        <f t="shared" si="46"/>
        <v>164103</v>
      </c>
      <c r="BG92" s="37">
        <f t="shared" si="50"/>
        <v>134900</v>
      </c>
      <c r="BH92" s="37">
        <f t="shared" si="47"/>
        <v>143950</v>
      </c>
      <c r="BI92">
        <v>134900</v>
      </c>
      <c r="BL92" s="8">
        <f t="shared" si="48"/>
        <v>-1842560</v>
      </c>
      <c r="BM92" s="7" t="str">
        <f t="shared" si="55"/>
        <v>Terdaftar BPJS Kes &amp; Naker</v>
      </c>
      <c r="BN92" s="11">
        <f t="shared" si="56"/>
        <v>164103</v>
      </c>
      <c r="BO92" s="11">
        <f t="shared" si="57"/>
        <v>130706.6</v>
      </c>
      <c r="BP92" s="9">
        <f t="shared" si="49"/>
        <v>0</v>
      </c>
      <c r="BQ92" t="str">
        <f>_xlfn.XLOOKUP(X92,'[2]NON TETAP'!$H:$H,'[2]NON TETAP'!$I:$I)</f>
        <v>GRAMEDIA ASRI MEDIA</v>
      </c>
    </row>
    <row r="93" spans="1:69" x14ac:dyDescent="0.3">
      <c r="A93" s="2">
        <v>92</v>
      </c>
      <c r="B93" s="4" t="s">
        <v>3623</v>
      </c>
      <c r="C93" s="6" t="s">
        <v>241</v>
      </c>
      <c r="D93" s="6"/>
      <c r="E93" s="6" t="s">
        <v>73</v>
      </c>
      <c r="F93" s="6" t="s">
        <v>73</v>
      </c>
      <c r="G93" s="6" t="s">
        <v>73</v>
      </c>
      <c r="H93" s="6"/>
      <c r="I93" s="2"/>
      <c r="J93" s="2"/>
      <c r="K93" s="6">
        <v>800124</v>
      </c>
      <c r="L93" s="6"/>
      <c r="M93" s="6">
        <v>25077450465</v>
      </c>
      <c r="N93" s="46" t="s">
        <v>3627</v>
      </c>
      <c r="O93" s="6">
        <v>446530959</v>
      </c>
      <c r="P93" s="78" t="s">
        <v>3626</v>
      </c>
      <c r="Q93" s="6">
        <v>10475</v>
      </c>
      <c r="R93" s="6">
        <v>27475</v>
      </c>
      <c r="S93" s="5" t="str">
        <f>VLOOKUP(T93,'[1]Kode Posisi'!$A$3:$B$45,2,)</f>
        <v>Outsourcing Keamanan</v>
      </c>
      <c r="T93" s="36" t="s">
        <v>37</v>
      </c>
      <c r="U93" s="44" t="s">
        <v>1273</v>
      </c>
      <c r="V93" s="44" t="s">
        <v>3625</v>
      </c>
      <c r="W93" s="36" t="s">
        <v>1271</v>
      </c>
      <c r="X93" s="36" t="s">
        <v>84</v>
      </c>
      <c r="Y93" s="36" t="s">
        <v>473</v>
      </c>
      <c r="Z93" s="79" t="s">
        <v>3624</v>
      </c>
      <c r="AA93" s="36" t="s">
        <v>3623</v>
      </c>
      <c r="AB93" s="47">
        <v>2879000</v>
      </c>
      <c r="AC93" s="41">
        <v>2879000</v>
      </c>
      <c r="AD93" s="47">
        <v>2698000</v>
      </c>
      <c r="AE93" s="16">
        <f t="shared" si="31"/>
        <v>181000</v>
      </c>
      <c r="AF93" s="16">
        <v>0</v>
      </c>
      <c r="AG93" s="16">
        <v>0</v>
      </c>
      <c r="AI93" s="16">
        <v>0</v>
      </c>
      <c r="AK93" s="16">
        <v>0</v>
      </c>
      <c r="AL93" s="11">
        <f t="shared" si="32"/>
        <v>2879000</v>
      </c>
      <c r="AM93" s="16">
        <f t="shared" si="33"/>
        <v>294809.59999999998</v>
      </c>
      <c r="AN93" s="16">
        <f t="shared" si="34"/>
        <v>115160</v>
      </c>
      <c r="AO93" s="16">
        <f t="shared" si="51"/>
        <v>179649.6</v>
      </c>
      <c r="AP93" s="16">
        <f t="shared" si="35"/>
        <v>106523</v>
      </c>
      <c r="AQ93" s="16">
        <f t="shared" si="36"/>
        <v>3173809.6</v>
      </c>
      <c r="AR93" s="16">
        <f t="shared" si="26"/>
        <v>190428.576</v>
      </c>
      <c r="AS93" s="16">
        <f t="shared" si="37"/>
        <v>20947.143360000002</v>
      </c>
      <c r="AT93" s="16">
        <f t="shared" si="38"/>
        <v>-3808.57152</v>
      </c>
      <c r="AU93" s="16">
        <f t="shared" si="39"/>
        <v>3360429.6044799997</v>
      </c>
      <c r="AV93" s="16">
        <f t="shared" si="40"/>
        <v>3364238.176</v>
      </c>
      <c r="AW93" s="16">
        <f t="shared" si="41"/>
        <v>115160</v>
      </c>
      <c r="AX93" s="16" t="s">
        <v>286</v>
      </c>
      <c r="AY93" s="17"/>
      <c r="AZ93" s="17">
        <f t="shared" si="42"/>
        <v>2900</v>
      </c>
      <c r="BA93" s="16">
        <f t="shared" si="43"/>
        <v>2763840</v>
      </c>
      <c r="BB93" s="16">
        <f t="shared" si="44"/>
        <v>2760940</v>
      </c>
      <c r="BC93" s="15">
        <v>0.03</v>
      </c>
      <c r="BD93" s="15">
        <v>0.01</v>
      </c>
      <c r="BE93" s="37">
        <f t="shared" si="45"/>
        <v>266019.59999999998</v>
      </c>
      <c r="BF93" s="38">
        <f t="shared" si="46"/>
        <v>164103</v>
      </c>
      <c r="BG93" s="37">
        <f t="shared" si="50"/>
        <v>134900</v>
      </c>
      <c r="BH93" s="37">
        <f t="shared" si="47"/>
        <v>143950</v>
      </c>
      <c r="BI93">
        <v>134900</v>
      </c>
      <c r="BL93" s="8">
        <f t="shared" si="48"/>
        <v>0</v>
      </c>
      <c r="BM93" s="7" t="str">
        <f t="shared" si="55"/>
        <v>Terdaftar BPJS Kes &amp; Naker</v>
      </c>
      <c r="BN93" s="11">
        <f t="shared" si="56"/>
        <v>164103</v>
      </c>
      <c r="BO93" s="11">
        <f t="shared" si="57"/>
        <v>130706.6</v>
      </c>
      <c r="BP93" s="9">
        <f t="shared" si="49"/>
        <v>0</v>
      </c>
      <c r="BQ93" t="str">
        <f>_xlfn.XLOOKUP(X93,'[2]NON TETAP'!$H:$H,'[2]NON TETAP'!$I:$I)</f>
        <v>GRAMEDIA ASRI MEDIA</v>
      </c>
    </row>
    <row r="94" spans="1:69" x14ac:dyDescent="0.3">
      <c r="A94" s="2">
        <v>93</v>
      </c>
      <c r="B94" s="5" t="s">
        <v>3622</v>
      </c>
      <c r="C94" s="6" t="s">
        <v>241</v>
      </c>
      <c r="D94" s="6"/>
      <c r="E94" s="6" t="s">
        <v>73</v>
      </c>
      <c r="F94" s="6"/>
      <c r="G94" s="6"/>
      <c r="H94" s="6"/>
      <c r="I94" s="6"/>
      <c r="J94" s="6"/>
      <c r="K94" s="6">
        <v>800126</v>
      </c>
      <c r="L94" s="6"/>
      <c r="M94" s="6">
        <v>24017836834</v>
      </c>
      <c r="N94" s="46" t="s">
        <v>3621</v>
      </c>
      <c r="O94" s="6">
        <v>527403936</v>
      </c>
      <c r="P94" s="78" t="s">
        <v>3620</v>
      </c>
      <c r="Q94" s="6">
        <v>10167</v>
      </c>
      <c r="R94" s="6">
        <v>27167</v>
      </c>
      <c r="S94" s="5" t="str">
        <f>VLOOKUP(T94,'[1]Kode Posisi'!$A$3:$B$45,2,)</f>
        <v>Outsourcing Keamanan</v>
      </c>
      <c r="T94" s="36" t="s">
        <v>37</v>
      </c>
      <c r="U94" s="44" t="s">
        <v>2122</v>
      </c>
      <c r="V94" s="44" t="s">
        <v>3619</v>
      </c>
      <c r="W94" s="36" t="s">
        <v>2120</v>
      </c>
      <c r="X94" s="36" t="s">
        <v>2119</v>
      </c>
      <c r="Y94" s="36" t="s">
        <v>1294</v>
      </c>
      <c r="Z94" s="79" t="s">
        <v>3618</v>
      </c>
      <c r="AA94" s="36" t="s">
        <v>3617</v>
      </c>
      <c r="AB94" s="47">
        <v>2475000</v>
      </c>
      <c r="AC94" s="41">
        <v>2475000</v>
      </c>
      <c r="AD94" s="47">
        <v>2339000</v>
      </c>
      <c r="AE94" s="16">
        <f t="shared" si="31"/>
        <v>136000</v>
      </c>
      <c r="AF94" s="16">
        <v>0</v>
      </c>
      <c r="AG94" s="16">
        <v>0</v>
      </c>
      <c r="AH94" s="16"/>
      <c r="AI94" s="16">
        <v>0</v>
      </c>
      <c r="AJ94" s="16"/>
      <c r="AK94" s="16">
        <v>0</v>
      </c>
      <c r="AL94" s="11">
        <f t="shared" si="32"/>
        <v>2475000</v>
      </c>
      <c r="AM94" s="16">
        <f t="shared" si="33"/>
        <v>253440</v>
      </c>
      <c r="AN94" s="16">
        <f t="shared" si="34"/>
        <v>99000</v>
      </c>
      <c r="AO94" s="16">
        <f t="shared" si="51"/>
        <v>154440</v>
      </c>
      <c r="AP94" s="16">
        <f t="shared" si="35"/>
        <v>91575</v>
      </c>
      <c r="AQ94" s="16">
        <f t="shared" si="36"/>
        <v>2728440</v>
      </c>
      <c r="AR94" s="16">
        <f t="shared" si="26"/>
        <v>163706.4</v>
      </c>
      <c r="AS94" s="16">
        <f t="shared" si="37"/>
        <v>18007.703999999998</v>
      </c>
      <c r="AT94" s="16">
        <f t="shared" si="38"/>
        <v>-3274.1280000000002</v>
      </c>
      <c r="AU94" s="16">
        <f t="shared" si="39"/>
        <v>2888872.2719999999</v>
      </c>
      <c r="AV94" s="16">
        <f t="shared" si="40"/>
        <v>2892146.4</v>
      </c>
      <c r="AW94" s="16">
        <f t="shared" si="41"/>
        <v>99000</v>
      </c>
      <c r="AX94" s="16" t="s">
        <v>319</v>
      </c>
      <c r="AY94" s="17"/>
      <c r="AZ94" s="17">
        <f t="shared" si="42"/>
        <v>2900</v>
      </c>
      <c r="BA94" s="16">
        <f t="shared" si="43"/>
        <v>2376000</v>
      </c>
      <c r="BB94" s="16">
        <f t="shared" si="44"/>
        <v>2373100</v>
      </c>
      <c r="BC94" s="15">
        <v>0.03</v>
      </c>
      <c r="BD94" s="15">
        <v>0.01</v>
      </c>
      <c r="BE94" s="37">
        <f t="shared" si="45"/>
        <v>228690</v>
      </c>
      <c r="BF94" s="38">
        <f t="shared" si="46"/>
        <v>141075</v>
      </c>
      <c r="BG94" s="37">
        <f t="shared" si="50"/>
        <v>116950</v>
      </c>
      <c r="BH94" s="37">
        <f t="shared" si="47"/>
        <v>123750</v>
      </c>
      <c r="BI94">
        <v>116950</v>
      </c>
      <c r="BL94" s="8">
        <f t="shared" si="48"/>
        <v>0</v>
      </c>
      <c r="BM94" s="7" t="str">
        <f t="shared" si="55"/>
        <v>Terdaftar BPJS Kes &amp; Naker</v>
      </c>
      <c r="BN94" s="11">
        <f t="shared" si="56"/>
        <v>141075</v>
      </c>
      <c r="BO94" s="11">
        <f t="shared" si="57"/>
        <v>112365</v>
      </c>
      <c r="BP94" s="9">
        <f t="shared" si="49"/>
        <v>0</v>
      </c>
      <c r="BQ94" t="str">
        <f>_xlfn.XLOOKUP(X94,'[2]NON TETAP'!$H:$H,'[2]NON TETAP'!$I:$I)</f>
        <v>GRAMEDIA ASRI MEDIA</v>
      </c>
    </row>
    <row r="95" spans="1:69" x14ac:dyDescent="0.3">
      <c r="A95" s="2">
        <v>94</v>
      </c>
      <c r="B95" s="5" t="s">
        <v>3610</v>
      </c>
      <c r="C95" s="6" t="s">
        <v>241</v>
      </c>
      <c r="D95" s="6"/>
      <c r="E95" s="6" t="s">
        <v>73</v>
      </c>
      <c r="F95" s="6" t="s">
        <v>73</v>
      </c>
      <c r="G95" s="6"/>
      <c r="H95" s="6"/>
      <c r="I95" s="6"/>
      <c r="J95" s="6"/>
      <c r="K95" s="6">
        <v>800127</v>
      </c>
      <c r="L95" s="6"/>
      <c r="M95" s="6">
        <v>25023141010</v>
      </c>
      <c r="N95" s="46" t="s">
        <v>3616</v>
      </c>
      <c r="O95" s="6">
        <v>2647133379</v>
      </c>
      <c r="P95" s="78" t="s">
        <v>3615</v>
      </c>
      <c r="Q95" s="6">
        <v>10127</v>
      </c>
      <c r="R95" s="6">
        <v>27127</v>
      </c>
      <c r="S95" s="5" t="str">
        <f>VLOOKUP(T95,'[1]Kode Posisi'!$A$3:$B$45,2,)</f>
        <v>Outsourcing Keamanan</v>
      </c>
      <c r="T95" s="36" t="s">
        <v>37</v>
      </c>
      <c r="U95" s="44" t="s">
        <v>2675</v>
      </c>
      <c r="V95" s="44" t="s">
        <v>3614</v>
      </c>
      <c r="W95" s="36" t="s">
        <v>3613</v>
      </c>
      <c r="X95" s="36" t="s">
        <v>3612</v>
      </c>
      <c r="Y95" s="36" t="s">
        <v>1294</v>
      </c>
      <c r="Z95" s="79" t="s">
        <v>3611</v>
      </c>
      <c r="AA95" s="36" t="s">
        <v>3610</v>
      </c>
      <c r="AB95" s="47">
        <v>2828000</v>
      </c>
      <c r="AC95" s="41">
        <v>2828000</v>
      </c>
      <c r="AD95" s="47">
        <v>2656000</v>
      </c>
      <c r="AE95" s="16">
        <f t="shared" si="31"/>
        <v>172000</v>
      </c>
      <c r="AF95" s="16">
        <v>0</v>
      </c>
      <c r="AG95" s="16">
        <v>0</v>
      </c>
      <c r="AH95" s="16"/>
      <c r="AI95" s="16">
        <v>0</v>
      </c>
      <c r="AJ95" s="16"/>
      <c r="AK95" s="16">
        <v>0</v>
      </c>
      <c r="AL95" s="11">
        <f t="shared" si="32"/>
        <v>2828000</v>
      </c>
      <c r="AM95" s="16">
        <f t="shared" si="33"/>
        <v>289587.19999999995</v>
      </c>
      <c r="AN95" s="16">
        <f t="shared" si="34"/>
        <v>113120</v>
      </c>
      <c r="AO95" s="16">
        <f t="shared" si="51"/>
        <v>176467.19999999998</v>
      </c>
      <c r="AP95" s="16">
        <f t="shared" si="35"/>
        <v>104636</v>
      </c>
      <c r="AQ95" s="16">
        <f t="shared" si="36"/>
        <v>3117587.2</v>
      </c>
      <c r="AR95" s="16">
        <f t="shared" si="26"/>
        <v>187055.23200000002</v>
      </c>
      <c r="AS95" s="16">
        <f t="shared" si="37"/>
        <v>20576.075520000002</v>
      </c>
      <c r="AT95" s="16">
        <f t="shared" si="38"/>
        <v>-3741.1046400000005</v>
      </c>
      <c r="AU95" s="16">
        <f t="shared" si="39"/>
        <v>3300901.32736</v>
      </c>
      <c r="AV95" s="16">
        <f t="shared" si="40"/>
        <v>3304642.432</v>
      </c>
      <c r="AW95" s="16">
        <f t="shared" si="41"/>
        <v>113120</v>
      </c>
      <c r="AX95" s="16" t="s">
        <v>319</v>
      </c>
      <c r="AY95" s="17"/>
      <c r="AZ95" s="17">
        <f t="shared" si="42"/>
        <v>2900</v>
      </c>
      <c r="BA95" s="16">
        <f t="shared" si="43"/>
        <v>2714880</v>
      </c>
      <c r="BB95" s="16">
        <f t="shared" si="44"/>
        <v>2711980</v>
      </c>
      <c r="BC95" s="15">
        <v>0.03</v>
      </c>
      <c r="BD95" s="15">
        <v>0.01</v>
      </c>
      <c r="BE95" s="37">
        <f t="shared" si="45"/>
        <v>261307.19999999998</v>
      </c>
      <c r="BF95" s="38">
        <f t="shared" si="46"/>
        <v>161196</v>
      </c>
      <c r="BG95" s="37">
        <f t="shared" si="50"/>
        <v>132800</v>
      </c>
      <c r="BH95" s="37">
        <f t="shared" si="47"/>
        <v>141400</v>
      </c>
      <c r="BI95">
        <v>132800</v>
      </c>
      <c r="BL95" s="8">
        <f t="shared" si="48"/>
        <v>0</v>
      </c>
      <c r="BM95" s="7" t="str">
        <f t="shared" si="55"/>
        <v>Terdaftar BPJS Kes &amp; Naker</v>
      </c>
      <c r="BN95" s="11">
        <f t="shared" si="56"/>
        <v>161196</v>
      </c>
      <c r="BO95" s="11">
        <f t="shared" si="57"/>
        <v>128391.20000000001</v>
      </c>
      <c r="BP95" s="9">
        <f t="shared" si="49"/>
        <v>0</v>
      </c>
      <c r="BQ95" t="str">
        <f>_xlfn.XLOOKUP(X95,'[2]NON TETAP'!$H:$H,'[2]NON TETAP'!$I:$I)</f>
        <v>GRAMEDIA ASRI MEDIA</v>
      </c>
    </row>
    <row r="96" spans="1:69" x14ac:dyDescent="0.3">
      <c r="A96" s="2">
        <v>95</v>
      </c>
      <c r="B96" s="4" t="s">
        <v>3609</v>
      </c>
      <c r="C96" s="6" t="s">
        <v>241</v>
      </c>
      <c r="D96" s="6"/>
      <c r="E96" s="6" t="s">
        <v>73</v>
      </c>
      <c r="F96" s="6" t="s">
        <v>73</v>
      </c>
      <c r="G96" s="6"/>
      <c r="H96" s="6"/>
      <c r="K96" s="6">
        <v>800128</v>
      </c>
      <c r="L96" s="6"/>
      <c r="M96" s="6">
        <v>25023141168</v>
      </c>
      <c r="N96" s="46" t="s">
        <v>3608</v>
      </c>
      <c r="O96" s="6">
        <v>1254800608</v>
      </c>
      <c r="P96" s="78" t="s">
        <v>3607</v>
      </c>
      <c r="Q96" s="6">
        <v>10165</v>
      </c>
      <c r="R96" s="6">
        <v>27165</v>
      </c>
      <c r="S96" s="5" t="str">
        <f>VLOOKUP(T96,'[1]Kode Posisi'!$A$3:$B$45,2,)</f>
        <v>Outsourcing Keamanan</v>
      </c>
      <c r="T96" s="36" t="s">
        <v>37</v>
      </c>
      <c r="U96" s="44" t="s">
        <v>3595</v>
      </c>
      <c r="V96" s="44" t="s">
        <v>3606</v>
      </c>
      <c r="W96" s="36" t="s">
        <v>3593</v>
      </c>
      <c r="X96" s="36" t="s">
        <v>3592</v>
      </c>
      <c r="Y96" s="36" t="s">
        <v>52</v>
      </c>
      <c r="Z96" s="79" t="s">
        <v>3605</v>
      </c>
      <c r="AA96" s="36" t="s">
        <v>3604</v>
      </c>
      <c r="AB96" s="47">
        <v>5358000</v>
      </c>
      <c r="AC96" s="41">
        <v>5358000</v>
      </c>
      <c r="AD96" s="47">
        <v>4990000</v>
      </c>
      <c r="AE96" s="16">
        <f t="shared" si="31"/>
        <v>368000</v>
      </c>
      <c r="AF96" s="16">
        <v>0</v>
      </c>
      <c r="AG96" s="16">
        <v>0</v>
      </c>
      <c r="AH96" s="16"/>
      <c r="AI96" s="16">
        <v>0</v>
      </c>
      <c r="AJ96" s="16"/>
      <c r="AK96" s="16">
        <v>0</v>
      </c>
      <c r="AL96" s="11">
        <f t="shared" si="32"/>
        <v>5358000</v>
      </c>
      <c r="AM96" s="16">
        <f t="shared" si="33"/>
        <v>548659.19999999995</v>
      </c>
      <c r="AN96" s="16">
        <f t="shared" si="34"/>
        <v>214320</v>
      </c>
      <c r="AO96" s="16">
        <f t="shared" si="51"/>
        <v>334339.20000000001</v>
      </c>
      <c r="AP96" s="16">
        <f t="shared" si="35"/>
        <v>198246</v>
      </c>
      <c r="AQ96" s="16">
        <f t="shared" si="36"/>
        <v>5906659.2000000002</v>
      </c>
      <c r="AR96" s="16">
        <f t="shared" si="26"/>
        <v>354399.55200000003</v>
      </c>
      <c r="AS96" s="16">
        <f t="shared" si="37"/>
        <v>38983.950720000001</v>
      </c>
      <c r="AT96" s="16">
        <f t="shared" si="38"/>
        <v>-7087.9910400000008</v>
      </c>
      <c r="AU96" s="16">
        <f t="shared" si="39"/>
        <v>6253970.7609600006</v>
      </c>
      <c r="AV96" s="16">
        <f t="shared" si="40"/>
        <v>6261058.7520000003</v>
      </c>
      <c r="AW96" s="16">
        <f t="shared" si="41"/>
        <v>214320</v>
      </c>
      <c r="AX96" s="16" t="s">
        <v>235</v>
      </c>
      <c r="AY96" s="17"/>
      <c r="AZ96" s="17">
        <f t="shared" si="42"/>
        <v>0</v>
      </c>
      <c r="BA96" s="16">
        <f t="shared" si="43"/>
        <v>5143680</v>
      </c>
      <c r="BB96" s="16">
        <f t="shared" si="44"/>
        <v>5143680</v>
      </c>
      <c r="BC96" s="15">
        <v>0.03</v>
      </c>
      <c r="BD96" s="15">
        <v>0.01</v>
      </c>
      <c r="BE96" s="37">
        <f t="shared" si="45"/>
        <v>495079.19999999995</v>
      </c>
      <c r="BF96" s="38">
        <f t="shared" si="46"/>
        <v>305406</v>
      </c>
      <c r="BG96" s="37">
        <f t="shared" si="50"/>
        <v>249500</v>
      </c>
      <c r="BH96" s="37">
        <f t="shared" si="47"/>
        <v>267900</v>
      </c>
      <c r="BI96">
        <v>249500</v>
      </c>
      <c r="BL96" s="8">
        <f t="shared" si="48"/>
        <v>0</v>
      </c>
      <c r="BM96" s="7" t="str">
        <f t="shared" si="55"/>
        <v>Terdaftar BPJS Kes &amp; Naker</v>
      </c>
      <c r="BN96" s="11">
        <f t="shared" si="56"/>
        <v>305406</v>
      </c>
      <c r="BO96" s="11">
        <f t="shared" si="57"/>
        <v>243253.2</v>
      </c>
      <c r="BP96" s="9">
        <f t="shared" si="49"/>
        <v>0</v>
      </c>
      <c r="BQ96" t="str">
        <f>_xlfn.XLOOKUP(X96,'[2]NON TETAP'!$H:$H,'[2]NON TETAP'!$I:$I)</f>
        <v>GRAMEDIA ASRI MEDIA</v>
      </c>
    </row>
    <row r="97" spans="1:69" x14ac:dyDescent="0.3">
      <c r="A97" s="2">
        <v>96</v>
      </c>
      <c r="B97" s="5" t="s">
        <v>3603</v>
      </c>
      <c r="C97" s="6" t="s">
        <v>241</v>
      </c>
      <c r="D97" s="6"/>
      <c r="E97" s="6" t="s">
        <v>73</v>
      </c>
      <c r="F97" s="6" t="s">
        <v>73</v>
      </c>
      <c r="G97" s="6"/>
      <c r="H97" s="6"/>
      <c r="I97" s="6"/>
      <c r="J97" s="6"/>
      <c r="K97" s="6">
        <v>800129</v>
      </c>
      <c r="L97" s="6"/>
      <c r="M97" s="6">
        <v>25023141176</v>
      </c>
      <c r="N97" s="46" t="s">
        <v>3602</v>
      </c>
      <c r="O97" s="6">
        <v>1315165296</v>
      </c>
      <c r="P97" s="78" t="s">
        <v>3601</v>
      </c>
      <c r="Q97" s="6">
        <v>10165</v>
      </c>
      <c r="R97" s="6">
        <v>27165</v>
      </c>
      <c r="S97" s="5" t="str">
        <f>VLOOKUP(T97,'[1]Kode Posisi'!$A$3:$B$45,2,)</f>
        <v>Outsourcing Keamanan</v>
      </c>
      <c r="T97" s="36" t="s">
        <v>37</v>
      </c>
      <c r="U97" s="44" t="s">
        <v>3595</v>
      </c>
      <c r="V97" s="44" t="s">
        <v>3600</v>
      </c>
      <c r="W97" s="36" t="s">
        <v>3593</v>
      </c>
      <c r="X97" s="36" t="s">
        <v>3592</v>
      </c>
      <c r="Y97" s="36" t="s">
        <v>1294</v>
      </c>
      <c r="Z97" s="79" t="s">
        <v>3599</v>
      </c>
      <c r="AA97" s="36" t="s">
        <v>3598</v>
      </c>
      <c r="AB97" s="47">
        <v>5358000</v>
      </c>
      <c r="AC97" s="41">
        <v>5358000</v>
      </c>
      <c r="AD97" s="47">
        <v>4990000</v>
      </c>
      <c r="AE97" s="16">
        <f t="shared" si="31"/>
        <v>368000</v>
      </c>
      <c r="AF97" s="16">
        <v>0</v>
      </c>
      <c r="AG97" s="16">
        <v>0</v>
      </c>
      <c r="AH97" s="16"/>
      <c r="AI97" s="16">
        <v>0</v>
      </c>
      <c r="AJ97" s="16"/>
      <c r="AK97" s="16">
        <v>0</v>
      </c>
      <c r="AL97" s="11">
        <f t="shared" si="32"/>
        <v>5358000</v>
      </c>
      <c r="AM97" s="16">
        <f t="shared" si="33"/>
        <v>548659.19999999995</v>
      </c>
      <c r="AN97" s="16">
        <f t="shared" si="34"/>
        <v>214320</v>
      </c>
      <c r="AO97" s="16">
        <f t="shared" si="51"/>
        <v>334339.20000000001</v>
      </c>
      <c r="AP97" s="16">
        <f t="shared" si="35"/>
        <v>198246</v>
      </c>
      <c r="AQ97" s="16">
        <f t="shared" si="36"/>
        <v>5906659.2000000002</v>
      </c>
      <c r="AR97" s="16">
        <f t="shared" si="26"/>
        <v>354399.55200000003</v>
      </c>
      <c r="AS97" s="16">
        <f t="shared" si="37"/>
        <v>38983.950720000001</v>
      </c>
      <c r="AT97" s="16">
        <f t="shared" si="38"/>
        <v>-7087.9910400000008</v>
      </c>
      <c r="AU97" s="16">
        <f t="shared" si="39"/>
        <v>6253970.7609600006</v>
      </c>
      <c r="AV97" s="16">
        <f t="shared" si="40"/>
        <v>6261058.7520000003</v>
      </c>
      <c r="AW97" s="16">
        <f t="shared" si="41"/>
        <v>214320</v>
      </c>
      <c r="AX97" s="16" t="s">
        <v>243</v>
      </c>
      <c r="AY97" s="17"/>
      <c r="AZ97" s="17">
        <f t="shared" si="42"/>
        <v>2900</v>
      </c>
      <c r="BA97" s="16">
        <f t="shared" si="43"/>
        <v>5143680</v>
      </c>
      <c r="BB97" s="16">
        <f t="shared" si="44"/>
        <v>5140780</v>
      </c>
      <c r="BC97" s="15">
        <v>0.03</v>
      </c>
      <c r="BD97" s="15">
        <v>0.01</v>
      </c>
      <c r="BE97" s="37">
        <f t="shared" si="45"/>
        <v>495079.19999999995</v>
      </c>
      <c r="BF97" s="38">
        <f t="shared" si="46"/>
        <v>305406</v>
      </c>
      <c r="BG97" s="37">
        <f t="shared" si="50"/>
        <v>249500</v>
      </c>
      <c r="BH97" s="37">
        <f t="shared" si="47"/>
        <v>267900</v>
      </c>
      <c r="BI97">
        <v>249500</v>
      </c>
      <c r="BL97" s="8">
        <f t="shared" si="48"/>
        <v>0</v>
      </c>
      <c r="BM97" s="7" t="str">
        <f t="shared" si="55"/>
        <v>Terdaftar BPJS Kes &amp; Naker</v>
      </c>
      <c r="BN97" s="11">
        <f t="shared" si="56"/>
        <v>305406</v>
      </c>
      <c r="BO97" s="11">
        <f t="shared" si="57"/>
        <v>243253.2</v>
      </c>
      <c r="BP97" s="9">
        <f t="shared" si="49"/>
        <v>0</v>
      </c>
      <c r="BQ97" t="str">
        <f>_xlfn.XLOOKUP(X97,'[2]NON TETAP'!$H:$H,'[2]NON TETAP'!$I:$I)</f>
        <v>GRAMEDIA ASRI MEDIA</v>
      </c>
    </row>
    <row r="98" spans="1:69" x14ac:dyDescent="0.3">
      <c r="A98" s="2">
        <v>97</v>
      </c>
      <c r="B98" s="4" t="s">
        <v>3590</v>
      </c>
      <c r="C98" s="6" t="s">
        <v>241</v>
      </c>
      <c r="D98" s="6"/>
      <c r="E98" s="6" t="s">
        <v>73</v>
      </c>
      <c r="F98" s="6" t="s">
        <v>73</v>
      </c>
      <c r="G98" s="6"/>
      <c r="H98" s="6"/>
      <c r="I98" s="2"/>
      <c r="J98" s="2"/>
      <c r="K98" s="6">
        <v>800130</v>
      </c>
      <c r="L98" s="6"/>
      <c r="M98" s="6">
        <v>25077450473</v>
      </c>
      <c r="N98" s="46" t="s">
        <v>3597</v>
      </c>
      <c r="O98" s="6">
        <v>3139178117</v>
      </c>
      <c r="P98" s="78" t="s">
        <v>3596</v>
      </c>
      <c r="Q98" s="6">
        <v>10165</v>
      </c>
      <c r="R98" s="6">
        <v>27165</v>
      </c>
      <c r="S98" s="5" t="str">
        <f>VLOOKUP(T98,'[1]Kode Posisi'!$A$3:$B$45,2,)</f>
        <v>Outsourcing Keamanan</v>
      </c>
      <c r="T98" s="36" t="s">
        <v>37</v>
      </c>
      <c r="U98" s="44" t="s">
        <v>3595</v>
      </c>
      <c r="V98" s="44" t="s">
        <v>3594</v>
      </c>
      <c r="W98" s="36" t="s">
        <v>3593</v>
      </c>
      <c r="X98" s="36" t="s">
        <v>3592</v>
      </c>
      <c r="Y98" s="36" t="s">
        <v>1294</v>
      </c>
      <c r="Z98" s="79" t="s">
        <v>3591</v>
      </c>
      <c r="AA98" s="36" t="s">
        <v>3590</v>
      </c>
      <c r="AB98" s="47">
        <v>5358000</v>
      </c>
      <c r="AC98" s="41">
        <v>5358000</v>
      </c>
      <c r="AD98" s="47">
        <v>4990000</v>
      </c>
      <c r="AE98" s="16">
        <f t="shared" ref="AE98:AE129" si="58">AB98-AD98</f>
        <v>368000</v>
      </c>
      <c r="AF98" s="16">
        <v>0</v>
      </c>
      <c r="AG98" s="16">
        <v>0</v>
      </c>
      <c r="AH98" s="16"/>
      <c r="AI98" s="16">
        <v>0</v>
      </c>
      <c r="AJ98" s="16"/>
      <c r="AK98" s="16">
        <v>0</v>
      </c>
      <c r="AL98" s="11">
        <f t="shared" si="32"/>
        <v>5358000</v>
      </c>
      <c r="AM98" s="16">
        <f t="shared" si="33"/>
        <v>548659.19999999995</v>
      </c>
      <c r="AN98" s="16">
        <f t="shared" si="34"/>
        <v>214320</v>
      </c>
      <c r="AO98" s="16">
        <f t="shared" si="51"/>
        <v>334339.20000000001</v>
      </c>
      <c r="AP98" s="16">
        <f t="shared" si="35"/>
        <v>198246</v>
      </c>
      <c r="AQ98" s="16">
        <f t="shared" si="36"/>
        <v>5906659.2000000002</v>
      </c>
      <c r="AR98" s="16">
        <f t="shared" si="26"/>
        <v>354399.55200000003</v>
      </c>
      <c r="AS98" s="16">
        <f t="shared" si="37"/>
        <v>38983.950720000001</v>
      </c>
      <c r="AT98" s="16">
        <f t="shared" si="38"/>
        <v>-7087.9910400000008</v>
      </c>
      <c r="AU98" s="16">
        <f t="shared" si="39"/>
        <v>6253970.7609600006</v>
      </c>
      <c r="AV98" s="16">
        <f t="shared" si="40"/>
        <v>6261058.7520000003</v>
      </c>
      <c r="AW98" s="16">
        <f t="shared" si="41"/>
        <v>214320</v>
      </c>
      <c r="AX98" s="16" t="s">
        <v>235</v>
      </c>
      <c r="AY98" s="17"/>
      <c r="AZ98" s="17">
        <f t="shared" si="42"/>
        <v>2900</v>
      </c>
      <c r="BA98" s="16">
        <f t="shared" si="43"/>
        <v>5143680</v>
      </c>
      <c r="BB98" s="16">
        <f t="shared" si="44"/>
        <v>5140780</v>
      </c>
      <c r="BC98" s="15">
        <v>0.03</v>
      </c>
      <c r="BD98" s="15">
        <v>0.01</v>
      </c>
      <c r="BE98" s="37">
        <f t="shared" si="45"/>
        <v>495079.19999999995</v>
      </c>
      <c r="BF98" s="38">
        <f t="shared" si="46"/>
        <v>305406</v>
      </c>
      <c r="BG98" s="37">
        <f t="shared" si="50"/>
        <v>249500</v>
      </c>
      <c r="BH98" s="37">
        <f t="shared" si="47"/>
        <v>267900</v>
      </c>
      <c r="BI98">
        <v>249500</v>
      </c>
      <c r="BL98" s="8">
        <f t="shared" si="48"/>
        <v>0</v>
      </c>
      <c r="BM98" s="7" t="str">
        <f t="shared" si="55"/>
        <v>Terdaftar BPJS Kes &amp; Naker</v>
      </c>
      <c r="BN98" s="11">
        <f t="shared" si="56"/>
        <v>305406</v>
      </c>
      <c r="BO98" s="11">
        <f t="shared" si="57"/>
        <v>243253.2</v>
      </c>
      <c r="BP98" s="9">
        <f t="shared" si="49"/>
        <v>0</v>
      </c>
      <c r="BQ98" t="str">
        <f>_xlfn.XLOOKUP(X98,'[2]NON TETAP'!$H:$H,'[2]NON TETAP'!$I:$I)</f>
        <v>GRAMEDIA ASRI MEDIA</v>
      </c>
    </row>
    <row r="99" spans="1:69" x14ac:dyDescent="0.3">
      <c r="A99" s="2">
        <v>98</v>
      </c>
      <c r="B99" s="5" t="s">
        <v>3589</v>
      </c>
      <c r="C99" s="6" t="s">
        <v>241</v>
      </c>
      <c r="D99" s="6"/>
      <c r="E99" s="6" t="s">
        <v>73</v>
      </c>
      <c r="F99" s="6" t="s">
        <v>73</v>
      </c>
      <c r="G99" s="6" t="s">
        <v>73</v>
      </c>
      <c r="H99" s="6"/>
      <c r="I99" s="6">
        <v>186000</v>
      </c>
      <c r="J99" s="6"/>
      <c r="K99" s="6">
        <v>800131</v>
      </c>
      <c r="L99" s="6"/>
      <c r="M99" s="6">
        <v>24099657629</v>
      </c>
      <c r="N99" s="46" t="s">
        <v>3588</v>
      </c>
      <c r="O99" s="6">
        <v>1594335194</v>
      </c>
      <c r="P99" s="78" t="s">
        <v>3587</v>
      </c>
      <c r="Q99" s="6">
        <v>10469</v>
      </c>
      <c r="R99" s="6">
        <v>27469</v>
      </c>
      <c r="S99" s="5" t="str">
        <f>VLOOKUP(T99,'[1]Kode Posisi'!$A$3:$B$45,2,)</f>
        <v>Outsourcing Keamanan</v>
      </c>
      <c r="T99" s="36" t="s">
        <v>37</v>
      </c>
      <c r="U99" s="44" t="s">
        <v>3581</v>
      </c>
      <c r="V99" s="44" t="s">
        <v>3586</v>
      </c>
      <c r="W99" s="36" t="s">
        <v>3579</v>
      </c>
      <c r="X99" s="36" t="s">
        <v>3578</v>
      </c>
      <c r="Y99" s="36" t="s">
        <v>1294</v>
      </c>
      <c r="Z99" s="79" t="s">
        <v>3585</v>
      </c>
      <c r="AA99" s="36" t="s">
        <v>3584</v>
      </c>
      <c r="AB99" s="47">
        <v>3306000</v>
      </c>
      <c r="AC99" s="47">
        <v>3492000</v>
      </c>
      <c r="AD99" s="47">
        <v>3306000</v>
      </c>
      <c r="AE99" s="16">
        <f t="shared" si="58"/>
        <v>0</v>
      </c>
      <c r="AF99" s="16">
        <v>0</v>
      </c>
      <c r="AG99" s="16">
        <v>0</v>
      </c>
      <c r="AH99" s="16"/>
      <c r="AI99" s="16">
        <v>0</v>
      </c>
      <c r="AJ99" s="16"/>
      <c r="AK99" s="16">
        <v>0</v>
      </c>
      <c r="AL99" s="11">
        <f t="shared" si="32"/>
        <v>3306000</v>
      </c>
      <c r="AM99" s="16">
        <f t="shared" si="33"/>
        <v>357580.79999999999</v>
      </c>
      <c r="AN99" s="16">
        <f t="shared" si="34"/>
        <v>139680</v>
      </c>
      <c r="AO99" s="16">
        <f t="shared" si="51"/>
        <v>217900.79999999999</v>
      </c>
      <c r="AP99" s="16">
        <f t="shared" si="35"/>
        <v>122322</v>
      </c>
      <c r="AQ99" s="16">
        <f t="shared" si="36"/>
        <v>3663580.8</v>
      </c>
      <c r="AR99" s="16">
        <f t="shared" si="26"/>
        <v>219814.84799999997</v>
      </c>
      <c r="AS99" s="16">
        <f t="shared" si="37"/>
        <v>24179.633279999998</v>
      </c>
      <c r="AT99" s="16">
        <f t="shared" si="38"/>
        <v>-4396.2969599999997</v>
      </c>
      <c r="AU99" s="16">
        <f t="shared" si="39"/>
        <v>3878999.3510399996</v>
      </c>
      <c r="AV99" s="16">
        <f t="shared" si="40"/>
        <v>3883395.6479999996</v>
      </c>
      <c r="AW99" s="16">
        <f t="shared" si="41"/>
        <v>139680</v>
      </c>
      <c r="AX99" s="16" t="s">
        <v>235</v>
      </c>
      <c r="AY99" s="17"/>
      <c r="AZ99" s="17">
        <f t="shared" si="42"/>
        <v>2900</v>
      </c>
      <c r="BA99" s="16">
        <f t="shared" si="43"/>
        <v>3166320</v>
      </c>
      <c r="BB99" s="16">
        <f t="shared" si="44"/>
        <v>3163420</v>
      </c>
      <c r="BC99" s="15">
        <v>0.03</v>
      </c>
      <c r="BD99" s="15">
        <v>0.01</v>
      </c>
      <c r="BE99" s="37">
        <f t="shared" si="45"/>
        <v>322660.8</v>
      </c>
      <c r="BF99" s="38">
        <f t="shared" si="46"/>
        <v>199044</v>
      </c>
      <c r="BG99" s="37">
        <f t="shared" si="50"/>
        <v>165300</v>
      </c>
      <c r="BH99" s="37">
        <f t="shared" si="47"/>
        <v>174600</v>
      </c>
      <c r="BI99">
        <v>165300</v>
      </c>
      <c r="BL99" s="8">
        <f t="shared" si="48"/>
        <v>0</v>
      </c>
      <c r="BM99" s="7" t="str">
        <f t="shared" si="55"/>
        <v>Terdaftar BPJS Kes &amp; Naker</v>
      </c>
      <c r="BN99" s="11">
        <f t="shared" si="56"/>
        <v>199044</v>
      </c>
      <c r="BO99" s="11">
        <f t="shared" si="57"/>
        <v>158536.80000000002</v>
      </c>
      <c r="BP99" s="9">
        <f t="shared" si="49"/>
        <v>0</v>
      </c>
      <c r="BQ99" t="str">
        <f>_xlfn.XLOOKUP(X99,'[2]NON TETAP'!$H:$H,'[2]NON TETAP'!$I:$I)</f>
        <v>GRAMEDIA ASRI MEDIA</v>
      </c>
    </row>
    <row r="100" spans="1:69" x14ac:dyDescent="0.3">
      <c r="A100" s="2">
        <v>99</v>
      </c>
      <c r="B100" s="5" t="s">
        <v>3576</v>
      </c>
      <c r="C100" s="6" t="s">
        <v>241</v>
      </c>
      <c r="D100" s="6"/>
      <c r="E100" s="6" t="s">
        <v>73</v>
      </c>
      <c r="F100" s="6" t="s">
        <v>73</v>
      </c>
      <c r="G100" s="6" t="s">
        <v>73</v>
      </c>
      <c r="H100" s="6"/>
      <c r="I100" s="6">
        <v>186000</v>
      </c>
      <c r="J100" s="6"/>
      <c r="K100" s="6">
        <v>800132</v>
      </c>
      <c r="L100" s="6"/>
      <c r="M100" s="6">
        <v>24099657553</v>
      </c>
      <c r="N100" s="46" t="s">
        <v>3583</v>
      </c>
      <c r="O100" s="6">
        <v>2887894394</v>
      </c>
      <c r="P100" s="78" t="s">
        <v>3582</v>
      </c>
      <c r="Q100" s="6">
        <v>10469</v>
      </c>
      <c r="R100" s="6">
        <v>27469</v>
      </c>
      <c r="S100" s="5" t="str">
        <f>VLOOKUP(T100,'[1]Kode Posisi'!$A$3:$B$45,2,)</f>
        <v>Outsourcing Keamanan</v>
      </c>
      <c r="T100" s="36" t="s">
        <v>37</v>
      </c>
      <c r="U100" s="44" t="s">
        <v>3581</v>
      </c>
      <c r="V100" s="44" t="s">
        <v>3580</v>
      </c>
      <c r="W100" s="36" t="s">
        <v>3579</v>
      </c>
      <c r="X100" s="36" t="s">
        <v>3578</v>
      </c>
      <c r="Y100" s="36" t="s">
        <v>1294</v>
      </c>
      <c r="Z100" s="79" t="s">
        <v>3577</v>
      </c>
      <c r="AA100" s="36" t="s">
        <v>3576</v>
      </c>
      <c r="AB100" s="47">
        <v>3306000</v>
      </c>
      <c r="AC100" s="47">
        <v>3492000</v>
      </c>
      <c r="AD100" s="47">
        <v>3306000</v>
      </c>
      <c r="AE100" s="16">
        <f t="shared" si="58"/>
        <v>0</v>
      </c>
      <c r="AF100" s="16">
        <v>0</v>
      </c>
      <c r="AG100" s="16">
        <v>0</v>
      </c>
      <c r="AH100" s="16"/>
      <c r="AI100" s="16">
        <v>0</v>
      </c>
      <c r="AJ100" s="16"/>
      <c r="AK100" s="16">
        <v>0</v>
      </c>
      <c r="AL100" s="11">
        <f t="shared" si="32"/>
        <v>3306000</v>
      </c>
      <c r="AM100" s="16">
        <f t="shared" si="33"/>
        <v>357580.79999999999</v>
      </c>
      <c r="AN100" s="16">
        <f t="shared" si="34"/>
        <v>139680</v>
      </c>
      <c r="AO100" s="16">
        <f t="shared" si="51"/>
        <v>217900.79999999999</v>
      </c>
      <c r="AP100" s="16">
        <f t="shared" si="35"/>
        <v>122322</v>
      </c>
      <c r="AQ100" s="16">
        <f t="shared" si="36"/>
        <v>3663580.8</v>
      </c>
      <c r="AR100" s="16">
        <f t="shared" ref="AR100:AR163" si="59">SUM(AQ100*0.06)</f>
        <v>219814.84799999997</v>
      </c>
      <c r="AS100" s="16">
        <f t="shared" si="37"/>
        <v>24179.633279999998</v>
      </c>
      <c r="AT100" s="16">
        <f t="shared" si="38"/>
        <v>-4396.2969599999997</v>
      </c>
      <c r="AU100" s="16">
        <f t="shared" si="39"/>
        <v>3878999.3510399996</v>
      </c>
      <c r="AV100" s="16">
        <f t="shared" si="40"/>
        <v>3883395.6479999996</v>
      </c>
      <c r="AW100" s="16">
        <f t="shared" si="41"/>
        <v>139680</v>
      </c>
      <c r="AX100" s="16" t="s">
        <v>477</v>
      </c>
      <c r="AY100" s="17"/>
      <c r="AZ100" s="17">
        <f t="shared" si="42"/>
        <v>2900</v>
      </c>
      <c r="BA100" s="16">
        <f t="shared" si="43"/>
        <v>3166320</v>
      </c>
      <c r="BB100" s="16">
        <f t="shared" si="44"/>
        <v>3163420</v>
      </c>
      <c r="BC100" s="15">
        <v>0.03</v>
      </c>
      <c r="BD100" s="15">
        <v>0.01</v>
      </c>
      <c r="BE100" s="37">
        <f t="shared" si="45"/>
        <v>322660.8</v>
      </c>
      <c r="BF100" s="38">
        <f t="shared" si="46"/>
        <v>199044</v>
      </c>
      <c r="BG100" s="37">
        <f t="shared" si="50"/>
        <v>165300</v>
      </c>
      <c r="BH100" s="37">
        <f t="shared" si="47"/>
        <v>174600</v>
      </c>
      <c r="BI100">
        <v>165300</v>
      </c>
      <c r="BL100" s="8">
        <f t="shared" si="48"/>
        <v>0</v>
      </c>
      <c r="BM100" s="7" t="str">
        <f t="shared" si="55"/>
        <v>Terdaftar BPJS Kes &amp; Naker</v>
      </c>
      <c r="BN100" s="11">
        <f t="shared" si="56"/>
        <v>199044</v>
      </c>
      <c r="BO100" s="11">
        <f t="shared" si="57"/>
        <v>158536.80000000002</v>
      </c>
      <c r="BP100" s="9">
        <f t="shared" si="49"/>
        <v>0</v>
      </c>
      <c r="BQ100" t="str">
        <f>_xlfn.XLOOKUP(X100,'[2]NON TETAP'!$H:$H,'[2]NON TETAP'!$I:$I)</f>
        <v>GRAMEDIA ASRI MEDIA</v>
      </c>
    </row>
    <row r="101" spans="1:69" x14ac:dyDescent="0.3">
      <c r="A101" s="2">
        <v>100</v>
      </c>
      <c r="B101" s="5" t="s">
        <v>3575</v>
      </c>
      <c r="C101" s="6" t="s">
        <v>241</v>
      </c>
      <c r="D101" s="6"/>
      <c r="E101" s="6" t="s">
        <v>73</v>
      </c>
      <c r="F101" s="6" t="s">
        <v>73</v>
      </c>
      <c r="G101" s="6"/>
      <c r="H101" s="6"/>
      <c r="I101" s="6">
        <v>186000</v>
      </c>
      <c r="J101" s="6"/>
      <c r="K101" s="6">
        <v>800133</v>
      </c>
      <c r="L101" s="6"/>
      <c r="M101" s="6">
        <v>24145686960</v>
      </c>
      <c r="N101" s="46" t="s">
        <v>3574</v>
      </c>
      <c r="O101" s="6">
        <v>1597277057</v>
      </c>
      <c r="P101" s="78" t="s">
        <v>3573</v>
      </c>
      <c r="Q101" s="6">
        <v>10125</v>
      </c>
      <c r="R101" s="6">
        <v>27125</v>
      </c>
      <c r="S101" s="5" t="str">
        <f>VLOOKUP(T101,'[1]Kode Posisi'!$A$3:$B$45,2,)</f>
        <v>Outsourcing Keamanan</v>
      </c>
      <c r="T101" s="36" t="s">
        <v>37</v>
      </c>
      <c r="U101" s="44" t="s">
        <v>3561</v>
      </c>
      <c r="V101" s="44" t="s">
        <v>3572</v>
      </c>
      <c r="W101" s="36" t="s">
        <v>144</v>
      </c>
      <c r="X101" s="36" t="s">
        <v>143</v>
      </c>
      <c r="Y101" s="36" t="s">
        <v>1294</v>
      </c>
      <c r="Z101" s="79" t="s">
        <v>3571</v>
      </c>
      <c r="AA101" s="36" t="s">
        <v>3570</v>
      </c>
      <c r="AB101" s="47">
        <v>3306000</v>
      </c>
      <c r="AC101" s="47">
        <v>3492000</v>
      </c>
      <c r="AD101" s="47">
        <v>3306000</v>
      </c>
      <c r="AE101" s="16">
        <f t="shared" si="58"/>
        <v>0</v>
      </c>
      <c r="AF101" s="16">
        <v>0</v>
      </c>
      <c r="AG101" s="16">
        <v>0</v>
      </c>
      <c r="AH101" s="16"/>
      <c r="AI101" s="16">
        <v>0</v>
      </c>
      <c r="AJ101" s="16"/>
      <c r="AK101" s="16">
        <v>0</v>
      </c>
      <c r="AL101" s="11">
        <f t="shared" si="32"/>
        <v>3306000</v>
      </c>
      <c r="AM101" s="16">
        <f t="shared" si="33"/>
        <v>357580.79999999999</v>
      </c>
      <c r="AN101" s="16">
        <f t="shared" si="34"/>
        <v>139680</v>
      </c>
      <c r="AO101" s="16">
        <f t="shared" si="51"/>
        <v>217900.79999999999</v>
      </c>
      <c r="AP101" s="16">
        <f t="shared" si="35"/>
        <v>122322</v>
      </c>
      <c r="AQ101" s="16">
        <f t="shared" si="36"/>
        <v>3663580.8</v>
      </c>
      <c r="AR101" s="16">
        <f t="shared" si="59"/>
        <v>219814.84799999997</v>
      </c>
      <c r="AS101" s="16">
        <f t="shared" si="37"/>
        <v>24179.633279999998</v>
      </c>
      <c r="AT101" s="16">
        <f t="shared" si="38"/>
        <v>-4396.2969599999997</v>
      </c>
      <c r="AU101" s="16">
        <f t="shared" si="39"/>
        <v>3878999.3510399996</v>
      </c>
      <c r="AV101" s="16">
        <f t="shared" si="40"/>
        <v>3883395.6479999996</v>
      </c>
      <c r="AW101" s="16">
        <f t="shared" si="41"/>
        <v>139680</v>
      </c>
      <c r="AX101" s="16" t="s">
        <v>319</v>
      </c>
      <c r="AY101" s="17"/>
      <c r="AZ101" s="17">
        <f t="shared" si="42"/>
        <v>2900</v>
      </c>
      <c r="BA101" s="16">
        <f t="shared" si="43"/>
        <v>3166320</v>
      </c>
      <c r="BB101" s="16">
        <f t="shared" si="44"/>
        <v>3163420</v>
      </c>
      <c r="BC101" s="15">
        <v>0.03</v>
      </c>
      <c r="BD101" s="15">
        <v>0.01</v>
      </c>
      <c r="BE101" s="37">
        <f t="shared" si="45"/>
        <v>322660.8</v>
      </c>
      <c r="BF101" s="38">
        <f t="shared" si="46"/>
        <v>199044</v>
      </c>
      <c r="BG101" s="37">
        <f t="shared" si="50"/>
        <v>165300</v>
      </c>
      <c r="BH101" s="37">
        <f t="shared" si="47"/>
        <v>174600</v>
      </c>
      <c r="BI101">
        <v>165300</v>
      </c>
      <c r="BL101" s="8">
        <f t="shared" si="48"/>
        <v>0</v>
      </c>
      <c r="BM101" s="7" t="str">
        <f t="shared" si="55"/>
        <v>Terdaftar BPJS Kes &amp; Naker</v>
      </c>
      <c r="BN101" s="11">
        <f t="shared" si="56"/>
        <v>199044</v>
      </c>
      <c r="BO101" s="11">
        <f t="shared" si="57"/>
        <v>158536.80000000002</v>
      </c>
      <c r="BP101" s="9">
        <f t="shared" si="49"/>
        <v>0</v>
      </c>
      <c r="BQ101" t="str">
        <f>_xlfn.XLOOKUP(X101,'[2]NON TETAP'!$H:$H,'[2]NON TETAP'!$I:$I)</f>
        <v>GRAMEDIA ASRI MEDIA</v>
      </c>
    </row>
    <row r="102" spans="1:69" x14ac:dyDescent="0.3">
      <c r="A102" s="2">
        <v>101</v>
      </c>
      <c r="B102" s="5" t="s">
        <v>3569</v>
      </c>
      <c r="C102" s="6" t="s">
        <v>241</v>
      </c>
      <c r="D102" s="6"/>
      <c r="E102" s="6" t="s">
        <v>73</v>
      </c>
      <c r="F102" s="6" t="s">
        <v>73</v>
      </c>
      <c r="G102" s="6"/>
      <c r="H102" s="6"/>
      <c r="I102" s="6">
        <v>186000</v>
      </c>
      <c r="J102" s="6"/>
      <c r="K102" s="6">
        <v>800134</v>
      </c>
      <c r="L102" s="6"/>
      <c r="M102" s="6">
        <v>25023141184</v>
      </c>
      <c r="N102" s="46" t="s">
        <v>3568</v>
      </c>
      <c r="O102" s="6">
        <v>355223417</v>
      </c>
      <c r="P102" s="78" t="s">
        <v>3567</v>
      </c>
      <c r="Q102" s="6">
        <v>10125</v>
      </c>
      <c r="R102" s="6">
        <v>27125</v>
      </c>
      <c r="S102" s="5" t="str">
        <f>VLOOKUP(T102,'[1]Kode Posisi'!$A$3:$B$45,2,)</f>
        <v>Outsourcing Keamanan</v>
      </c>
      <c r="T102" s="36" t="s">
        <v>37</v>
      </c>
      <c r="U102" s="44" t="s">
        <v>3561</v>
      </c>
      <c r="V102" s="44" t="s">
        <v>3566</v>
      </c>
      <c r="W102" s="36" t="s">
        <v>144</v>
      </c>
      <c r="X102" s="36" t="s">
        <v>143</v>
      </c>
      <c r="Y102" s="36" t="s">
        <v>1294</v>
      </c>
      <c r="Z102" s="79" t="s">
        <v>3565</v>
      </c>
      <c r="AA102" s="36" t="s">
        <v>3564</v>
      </c>
      <c r="AB102" s="47">
        <v>3306000</v>
      </c>
      <c r="AC102" s="47">
        <v>3492000</v>
      </c>
      <c r="AD102" s="47">
        <v>3306000</v>
      </c>
      <c r="AE102" s="16">
        <f t="shared" si="58"/>
        <v>0</v>
      </c>
      <c r="AF102" s="16">
        <v>0</v>
      </c>
      <c r="AG102" s="16">
        <v>0</v>
      </c>
      <c r="AH102" s="16"/>
      <c r="AI102" s="16">
        <v>0</v>
      </c>
      <c r="AJ102" s="16"/>
      <c r="AK102" s="16">
        <v>0</v>
      </c>
      <c r="AL102" s="11">
        <f t="shared" si="32"/>
        <v>3306000</v>
      </c>
      <c r="AM102" s="16">
        <f t="shared" si="33"/>
        <v>357580.79999999999</v>
      </c>
      <c r="AN102" s="16">
        <f t="shared" si="34"/>
        <v>139680</v>
      </c>
      <c r="AO102" s="16">
        <f t="shared" ref="AO102:AO133" si="60">IF(BC102=0.03,AC102*0.0624,0)</f>
        <v>217900.79999999999</v>
      </c>
      <c r="AP102" s="16">
        <f t="shared" si="35"/>
        <v>122322</v>
      </c>
      <c r="AQ102" s="16">
        <f t="shared" si="36"/>
        <v>3663580.8</v>
      </c>
      <c r="AR102" s="16">
        <f t="shared" si="59"/>
        <v>219814.84799999997</v>
      </c>
      <c r="AS102" s="16">
        <f t="shared" si="37"/>
        <v>24179.633279999998</v>
      </c>
      <c r="AT102" s="16">
        <f t="shared" si="38"/>
        <v>-4396.2969599999997</v>
      </c>
      <c r="AU102" s="16">
        <f t="shared" si="39"/>
        <v>3878999.3510399996</v>
      </c>
      <c r="AV102" s="16">
        <f t="shared" si="40"/>
        <v>3883395.6479999996</v>
      </c>
      <c r="AW102" s="16">
        <f t="shared" si="41"/>
        <v>139680</v>
      </c>
      <c r="AX102" s="16" t="s">
        <v>235</v>
      </c>
      <c r="AY102" s="17"/>
      <c r="AZ102" s="17">
        <f t="shared" si="42"/>
        <v>2900</v>
      </c>
      <c r="BA102" s="16">
        <f t="shared" si="43"/>
        <v>3166320</v>
      </c>
      <c r="BB102" s="16">
        <f t="shared" si="44"/>
        <v>3163420</v>
      </c>
      <c r="BC102" s="15">
        <v>0.03</v>
      </c>
      <c r="BD102" s="15">
        <v>0.01</v>
      </c>
      <c r="BE102" s="37">
        <f t="shared" si="45"/>
        <v>322660.8</v>
      </c>
      <c r="BF102" s="38">
        <f t="shared" si="46"/>
        <v>199044</v>
      </c>
      <c r="BG102" s="37">
        <f t="shared" si="50"/>
        <v>165300</v>
      </c>
      <c r="BH102" s="37">
        <f t="shared" si="47"/>
        <v>174600</v>
      </c>
      <c r="BI102">
        <v>165300</v>
      </c>
      <c r="BL102" s="8">
        <f t="shared" si="48"/>
        <v>0</v>
      </c>
      <c r="BM102" s="7" t="str">
        <f t="shared" si="55"/>
        <v>Terdaftar BPJS Kes &amp; Naker</v>
      </c>
      <c r="BN102" s="11">
        <f t="shared" si="56"/>
        <v>199044</v>
      </c>
      <c r="BO102" s="11">
        <f t="shared" si="57"/>
        <v>158536.80000000002</v>
      </c>
      <c r="BP102" s="9">
        <f t="shared" si="49"/>
        <v>0</v>
      </c>
      <c r="BQ102" t="str">
        <f>_xlfn.XLOOKUP(X102,'[2]NON TETAP'!$H:$H,'[2]NON TETAP'!$I:$I)</f>
        <v>GRAMEDIA ASRI MEDIA</v>
      </c>
    </row>
    <row r="103" spans="1:69" x14ac:dyDescent="0.3">
      <c r="A103" s="2">
        <v>102</v>
      </c>
      <c r="B103" s="5" t="s">
        <v>3558</v>
      </c>
      <c r="C103" s="6" t="s">
        <v>241</v>
      </c>
      <c r="D103" s="6"/>
      <c r="E103" s="6" t="s">
        <v>73</v>
      </c>
      <c r="F103" s="6" t="s">
        <v>73</v>
      </c>
      <c r="G103" s="6"/>
      <c r="H103" s="6"/>
      <c r="I103" s="6">
        <v>186000</v>
      </c>
      <c r="J103" s="6"/>
      <c r="K103" s="6">
        <v>800136</v>
      </c>
      <c r="L103" s="6"/>
      <c r="M103" s="6">
        <v>25023140582</v>
      </c>
      <c r="N103" s="46" t="s">
        <v>3563</v>
      </c>
      <c r="O103" s="6">
        <v>996902594</v>
      </c>
      <c r="P103" s="78" t="s">
        <v>3562</v>
      </c>
      <c r="Q103" s="6">
        <v>10125</v>
      </c>
      <c r="R103" s="6">
        <v>27125</v>
      </c>
      <c r="S103" s="5" t="str">
        <f>VLOOKUP(T103,'[1]Kode Posisi'!$A$3:$B$45,2,)</f>
        <v>Outsourcing Keamanan</v>
      </c>
      <c r="T103" s="36" t="s">
        <v>37</v>
      </c>
      <c r="U103" s="44" t="s">
        <v>3561</v>
      </c>
      <c r="V103" s="44" t="s">
        <v>3560</v>
      </c>
      <c r="W103" s="36" t="s">
        <v>144</v>
      </c>
      <c r="X103" s="36" t="s">
        <v>143</v>
      </c>
      <c r="Y103" s="36" t="s">
        <v>1294</v>
      </c>
      <c r="Z103" s="79" t="s">
        <v>3559</v>
      </c>
      <c r="AA103" s="36" t="s">
        <v>3558</v>
      </c>
      <c r="AB103" s="47">
        <v>3306000</v>
      </c>
      <c r="AC103" s="47">
        <v>3492000</v>
      </c>
      <c r="AD103" s="47">
        <v>3306000</v>
      </c>
      <c r="AE103" s="16">
        <f t="shared" si="58"/>
        <v>0</v>
      </c>
      <c r="AF103" s="16">
        <v>0</v>
      </c>
      <c r="AG103" s="16">
        <v>0</v>
      </c>
      <c r="AH103" s="16"/>
      <c r="AI103" s="16">
        <v>0</v>
      </c>
      <c r="AJ103" s="16"/>
      <c r="AK103" s="16">
        <v>0</v>
      </c>
      <c r="AL103" s="11">
        <f t="shared" si="32"/>
        <v>3306000</v>
      </c>
      <c r="AM103" s="16">
        <f t="shared" si="33"/>
        <v>357580.79999999999</v>
      </c>
      <c r="AN103" s="16">
        <f t="shared" si="34"/>
        <v>139680</v>
      </c>
      <c r="AO103" s="16">
        <f t="shared" si="60"/>
        <v>217900.79999999999</v>
      </c>
      <c r="AP103" s="16">
        <f t="shared" si="35"/>
        <v>122322</v>
      </c>
      <c r="AQ103" s="16">
        <f t="shared" si="36"/>
        <v>3663580.8</v>
      </c>
      <c r="AR103" s="16">
        <f t="shared" si="59"/>
        <v>219814.84799999997</v>
      </c>
      <c r="AS103" s="16">
        <f t="shared" si="37"/>
        <v>24179.633279999998</v>
      </c>
      <c r="AT103" s="16">
        <f t="shared" si="38"/>
        <v>-4396.2969599999997</v>
      </c>
      <c r="AU103" s="16">
        <f t="shared" si="39"/>
        <v>3878999.3510399996</v>
      </c>
      <c r="AV103" s="16">
        <f t="shared" si="40"/>
        <v>3883395.6479999996</v>
      </c>
      <c r="AW103" s="16">
        <f t="shared" si="41"/>
        <v>139680</v>
      </c>
      <c r="AX103" s="16" t="s">
        <v>235</v>
      </c>
      <c r="AY103" s="17"/>
      <c r="AZ103" s="17">
        <f t="shared" si="42"/>
        <v>2900</v>
      </c>
      <c r="BA103" s="16">
        <f t="shared" si="43"/>
        <v>3166320</v>
      </c>
      <c r="BB103" s="16">
        <f t="shared" si="44"/>
        <v>3163420</v>
      </c>
      <c r="BC103" s="15">
        <v>0.03</v>
      </c>
      <c r="BD103" s="15">
        <v>0.01</v>
      </c>
      <c r="BE103" s="37">
        <f t="shared" si="45"/>
        <v>322660.8</v>
      </c>
      <c r="BF103" s="38">
        <f t="shared" si="46"/>
        <v>199044</v>
      </c>
      <c r="BG103" s="37">
        <f t="shared" si="50"/>
        <v>165300</v>
      </c>
      <c r="BH103" s="37">
        <f t="shared" si="47"/>
        <v>174600</v>
      </c>
      <c r="BI103">
        <v>165300</v>
      </c>
      <c r="BL103" s="8">
        <f t="shared" si="48"/>
        <v>0</v>
      </c>
      <c r="BM103" s="7" t="str">
        <f t="shared" si="55"/>
        <v>Terdaftar BPJS Kes &amp; Naker</v>
      </c>
      <c r="BN103" s="11">
        <f t="shared" si="56"/>
        <v>199044</v>
      </c>
      <c r="BO103" s="11">
        <f t="shared" si="57"/>
        <v>158536.80000000002</v>
      </c>
      <c r="BP103" s="9">
        <f t="shared" si="49"/>
        <v>0</v>
      </c>
      <c r="BQ103" t="str">
        <f>_xlfn.XLOOKUP(X103,'[2]NON TETAP'!$H:$H,'[2]NON TETAP'!$I:$I)</f>
        <v>GRAMEDIA ASRI MEDIA</v>
      </c>
    </row>
    <row r="104" spans="1:69" x14ac:dyDescent="0.3">
      <c r="A104" s="2">
        <v>103</v>
      </c>
      <c r="B104" s="5" t="s">
        <v>3553</v>
      </c>
      <c r="C104" s="6" t="s">
        <v>241</v>
      </c>
      <c r="D104" s="6"/>
      <c r="E104" s="6" t="s">
        <v>73</v>
      </c>
      <c r="F104" s="6" t="s">
        <v>73</v>
      </c>
      <c r="G104" s="6" t="s">
        <v>73</v>
      </c>
      <c r="H104" s="6"/>
      <c r="I104" s="6"/>
      <c r="J104" s="6"/>
      <c r="K104" s="6">
        <v>800138</v>
      </c>
      <c r="L104" s="6"/>
      <c r="M104" s="6">
        <v>25023139683</v>
      </c>
      <c r="N104" s="46" t="s">
        <v>3557</v>
      </c>
      <c r="O104" s="6">
        <v>280287279</v>
      </c>
      <c r="P104" s="78" t="s">
        <v>3556</v>
      </c>
      <c r="Q104" s="6">
        <v>10114</v>
      </c>
      <c r="R104" s="6">
        <v>27114</v>
      </c>
      <c r="S104" s="5" t="str">
        <f>VLOOKUP(T104,'[1]Kode Posisi'!$A$3:$B$45,2,)</f>
        <v>Outsourcing Keamanan</v>
      </c>
      <c r="T104" s="36" t="s">
        <v>2850</v>
      </c>
      <c r="U104" s="44" t="s">
        <v>1100</v>
      </c>
      <c r="V104" s="44" t="s">
        <v>3555</v>
      </c>
      <c r="W104" s="36" t="s">
        <v>1098</v>
      </c>
      <c r="X104" s="36" t="s">
        <v>486</v>
      </c>
      <c r="Y104" s="36" t="s">
        <v>1294</v>
      </c>
      <c r="Z104" s="79" t="s">
        <v>3554</v>
      </c>
      <c r="AA104" s="36" t="s">
        <v>3553</v>
      </c>
      <c r="AB104" s="47">
        <v>3183000</v>
      </c>
      <c r="AC104" s="41">
        <v>3183000</v>
      </c>
      <c r="AD104" s="47">
        <v>2995000</v>
      </c>
      <c r="AE104" s="16">
        <f t="shared" si="58"/>
        <v>188000</v>
      </c>
      <c r="AF104" s="16"/>
      <c r="AG104" s="16">
        <v>250000</v>
      </c>
      <c r="AH104" s="16"/>
      <c r="AI104" s="16">
        <v>0</v>
      </c>
      <c r="AJ104" s="16"/>
      <c r="AK104" s="16">
        <v>0</v>
      </c>
      <c r="AL104" s="11">
        <f t="shared" si="32"/>
        <v>3433000</v>
      </c>
      <c r="AM104" s="16">
        <f t="shared" si="33"/>
        <v>325939.19999999995</v>
      </c>
      <c r="AN104" s="16">
        <f t="shared" si="34"/>
        <v>127320</v>
      </c>
      <c r="AO104" s="16">
        <f t="shared" si="60"/>
        <v>198619.19999999998</v>
      </c>
      <c r="AP104" s="16">
        <f t="shared" si="35"/>
        <v>117771</v>
      </c>
      <c r="AQ104" s="16">
        <f t="shared" si="36"/>
        <v>3758939.2</v>
      </c>
      <c r="AR104" s="16">
        <f t="shared" si="59"/>
        <v>225536.35200000001</v>
      </c>
      <c r="AS104" s="16">
        <f t="shared" si="37"/>
        <v>24808.998720000003</v>
      </c>
      <c r="AT104" s="16">
        <f t="shared" si="38"/>
        <v>-4510.7270400000007</v>
      </c>
      <c r="AU104" s="16">
        <f t="shared" si="39"/>
        <v>3979964.8249600003</v>
      </c>
      <c r="AV104" s="16">
        <f t="shared" si="40"/>
        <v>3984475.5520000001</v>
      </c>
      <c r="AW104" s="16">
        <f t="shared" si="41"/>
        <v>127320</v>
      </c>
      <c r="AX104" s="16" t="s">
        <v>91</v>
      </c>
      <c r="AY104" s="17"/>
      <c r="AZ104" s="17">
        <f t="shared" si="42"/>
        <v>2900</v>
      </c>
      <c r="BA104" s="16">
        <f t="shared" si="43"/>
        <v>3305680</v>
      </c>
      <c r="BB104" s="16">
        <f t="shared" si="44"/>
        <v>3302780</v>
      </c>
      <c r="BC104" s="15">
        <v>0.03</v>
      </c>
      <c r="BD104" s="15">
        <v>0.01</v>
      </c>
      <c r="BE104" s="37">
        <f t="shared" si="45"/>
        <v>294109.2</v>
      </c>
      <c r="BF104" s="38">
        <f t="shared" si="46"/>
        <v>181431.00000000003</v>
      </c>
      <c r="BG104" s="37">
        <f t="shared" si="50"/>
        <v>149750</v>
      </c>
      <c r="BH104" s="37">
        <f t="shared" si="47"/>
        <v>159150</v>
      </c>
      <c r="BI104">
        <v>149750</v>
      </c>
      <c r="BL104" s="8">
        <f t="shared" si="48"/>
        <v>250000</v>
      </c>
      <c r="BM104" s="7" t="str">
        <f t="shared" si="55"/>
        <v>Terdaftar BPJS Kes &amp; Naker</v>
      </c>
      <c r="BN104" s="11">
        <f t="shared" si="56"/>
        <v>181431</v>
      </c>
      <c r="BO104" s="11">
        <f t="shared" si="57"/>
        <v>144508.20000000001</v>
      </c>
      <c r="BP104" s="9">
        <f t="shared" si="49"/>
        <v>0</v>
      </c>
      <c r="BQ104" t="str">
        <f>_xlfn.XLOOKUP(X104,'[2]NON TETAP'!$H:$H,'[2]NON TETAP'!$I:$I)</f>
        <v>GRAMEDIA ASRI MEDIA</v>
      </c>
    </row>
    <row r="105" spans="1:69" x14ac:dyDescent="0.3">
      <c r="A105" s="2">
        <v>104</v>
      </c>
      <c r="B105" s="5" t="s">
        <v>3552</v>
      </c>
      <c r="C105" s="6" t="s">
        <v>241</v>
      </c>
      <c r="D105" s="6"/>
      <c r="E105" s="6" t="s">
        <v>73</v>
      </c>
      <c r="F105" s="6" t="s">
        <v>73</v>
      </c>
      <c r="G105" s="6" t="s">
        <v>73</v>
      </c>
      <c r="H105" s="6"/>
      <c r="I105" s="6"/>
      <c r="J105" s="6"/>
      <c r="K105" s="6">
        <v>800139</v>
      </c>
      <c r="L105" s="6"/>
      <c r="M105" s="6">
        <v>25023140590</v>
      </c>
      <c r="N105" s="46" t="s">
        <v>3551</v>
      </c>
      <c r="O105" s="6">
        <v>2302411239</v>
      </c>
      <c r="P105" s="78" t="s">
        <v>3550</v>
      </c>
      <c r="Q105" s="6">
        <v>10114</v>
      </c>
      <c r="R105" s="6">
        <v>27114</v>
      </c>
      <c r="S105" s="5" t="str">
        <f>VLOOKUP(T105,'[1]Kode Posisi'!$A$3:$B$45,2,)</f>
        <v>Outsourcing Keamanan</v>
      </c>
      <c r="T105" s="36" t="s">
        <v>37</v>
      </c>
      <c r="U105" s="44" t="s">
        <v>1100</v>
      </c>
      <c r="V105" s="44" t="s">
        <v>3549</v>
      </c>
      <c r="W105" s="36" t="s">
        <v>1098</v>
      </c>
      <c r="X105" s="36" t="s">
        <v>486</v>
      </c>
      <c r="Y105" s="36" t="s">
        <v>473</v>
      </c>
      <c r="Z105" s="79" t="s">
        <v>3548</v>
      </c>
      <c r="AA105" s="36" t="s">
        <v>3547</v>
      </c>
      <c r="AB105" s="47">
        <v>3183000</v>
      </c>
      <c r="AC105" s="41">
        <v>3183000</v>
      </c>
      <c r="AD105" s="47">
        <v>2995000</v>
      </c>
      <c r="AE105" s="16">
        <f t="shared" si="58"/>
        <v>188000</v>
      </c>
      <c r="AF105" s="16">
        <v>0</v>
      </c>
      <c r="AG105" s="16">
        <v>0</v>
      </c>
      <c r="AH105" s="16"/>
      <c r="AI105" s="16">
        <v>0</v>
      </c>
      <c r="AJ105" s="16"/>
      <c r="AK105" s="16">
        <v>0</v>
      </c>
      <c r="AL105" s="11">
        <f t="shared" si="32"/>
        <v>3183000</v>
      </c>
      <c r="AM105" s="16">
        <f t="shared" si="33"/>
        <v>325939.19999999995</v>
      </c>
      <c r="AN105" s="16">
        <f t="shared" si="34"/>
        <v>127320</v>
      </c>
      <c r="AO105" s="16">
        <f t="shared" si="60"/>
        <v>198619.19999999998</v>
      </c>
      <c r="AP105" s="16">
        <f t="shared" si="35"/>
        <v>117771</v>
      </c>
      <c r="AQ105" s="16">
        <f t="shared" si="36"/>
        <v>3508939.2</v>
      </c>
      <c r="AR105" s="16">
        <f t="shared" si="59"/>
        <v>210536.35200000001</v>
      </c>
      <c r="AS105" s="16">
        <f t="shared" si="37"/>
        <v>23158.998720000003</v>
      </c>
      <c r="AT105" s="16">
        <f t="shared" si="38"/>
        <v>-4210.7270400000007</v>
      </c>
      <c r="AU105" s="16">
        <f t="shared" si="39"/>
        <v>3715264.8249600003</v>
      </c>
      <c r="AV105" s="16">
        <f t="shared" si="40"/>
        <v>3719475.5520000001</v>
      </c>
      <c r="AW105" s="16">
        <f t="shared" si="41"/>
        <v>127320</v>
      </c>
      <c r="AX105" s="16" t="s">
        <v>235</v>
      </c>
      <c r="AY105" s="17"/>
      <c r="AZ105" s="17">
        <f t="shared" si="42"/>
        <v>2900</v>
      </c>
      <c r="BA105" s="16">
        <f t="shared" si="43"/>
        <v>3055680</v>
      </c>
      <c r="BB105" s="16">
        <f t="shared" si="44"/>
        <v>3052780</v>
      </c>
      <c r="BC105" s="15">
        <v>0.03</v>
      </c>
      <c r="BD105" s="15">
        <v>0.01</v>
      </c>
      <c r="BE105" s="37">
        <f t="shared" si="45"/>
        <v>294109.2</v>
      </c>
      <c r="BF105" s="38">
        <f t="shared" si="46"/>
        <v>181431.00000000003</v>
      </c>
      <c r="BG105" s="37">
        <f t="shared" si="50"/>
        <v>149750</v>
      </c>
      <c r="BH105" s="37">
        <f t="shared" si="47"/>
        <v>159150</v>
      </c>
      <c r="BI105">
        <v>149750</v>
      </c>
      <c r="BJ105" s="2">
        <v>149750</v>
      </c>
      <c r="BL105" s="8">
        <f t="shared" si="48"/>
        <v>0</v>
      </c>
      <c r="BM105" s="7" t="str">
        <f t="shared" si="55"/>
        <v>Terdaftar BPJS Kes &amp; Naker</v>
      </c>
      <c r="BN105" s="11">
        <f t="shared" si="56"/>
        <v>181431</v>
      </c>
      <c r="BO105" s="11">
        <f t="shared" si="57"/>
        <v>144508.20000000001</v>
      </c>
      <c r="BP105" s="9">
        <f t="shared" si="49"/>
        <v>0</v>
      </c>
      <c r="BQ105" t="str">
        <f>_xlfn.XLOOKUP(X105,'[2]NON TETAP'!$H:$H,'[2]NON TETAP'!$I:$I)</f>
        <v>GRAMEDIA ASRI MEDIA</v>
      </c>
    </row>
    <row r="106" spans="1:69" x14ac:dyDescent="0.3">
      <c r="A106" s="2">
        <v>105</v>
      </c>
      <c r="B106" s="5" t="s">
        <v>3542</v>
      </c>
      <c r="C106" s="6" t="s">
        <v>241</v>
      </c>
      <c r="D106" s="6"/>
      <c r="E106" s="6" t="s">
        <v>73</v>
      </c>
      <c r="F106" s="6" t="s">
        <v>73</v>
      </c>
      <c r="G106" s="6" t="s">
        <v>73</v>
      </c>
      <c r="H106" s="6"/>
      <c r="I106" s="6"/>
      <c r="J106" s="6"/>
      <c r="K106" s="6">
        <v>800140</v>
      </c>
      <c r="L106" s="6"/>
      <c r="M106" s="6">
        <v>25023139691</v>
      </c>
      <c r="N106" s="46" t="s">
        <v>3546</v>
      </c>
      <c r="O106" s="6">
        <v>271940894</v>
      </c>
      <c r="P106" s="78" t="s">
        <v>3545</v>
      </c>
      <c r="Q106" s="6">
        <v>10114</v>
      </c>
      <c r="R106" s="6">
        <v>27114</v>
      </c>
      <c r="S106" s="5" t="str">
        <f>VLOOKUP(T106,'[1]Kode Posisi'!$A$3:$B$45,2,)</f>
        <v>Outsourcing Keamanan</v>
      </c>
      <c r="T106" s="36" t="s">
        <v>37</v>
      </c>
      <c r="U106" s="44" t="s">
        <v>1100</v>
      </c>
      <c r="V106" s="44" t="s">
        <v>3544</v>
      </c>
      <c r="W106" s="36" t="s">
        <v>1098</v>
      </c>
      <c r="X106" s="36" t="s">
        <v>486</v>
      </c>
      <c r="Y106" s="36" t="s">
        <v>1294</v>
      </c>
      <c r="Z106" s="79" t="s">
        <v>3543</v>
      </c>
      <c r="AA106" s="36" t="s">
        <v>3542</v>
      </c>
      <c r="AB106" s="47">
        <v>3183000</v>
      </c>
      <c r="AC106" s="41">
        <v>3183000</v>
      </c>
      <c r="AD106" s="47">
        <v>2995000</v>
      </c>
      <c r="AE106" s="16">
        <f t="shared" si="58"/>
        <v>188000</v>
      </c>
      <c r="AF106" s="16">
        <v>0</v>
      </c>
      <c r="AG106" s="16">
        <v>0</v>
      </c>
      <c r="AH106" s="16"/>
      <c r="AI106" s="16">
        <v>0</v>
      </c>
      <c r="AJ106" s="16"/>
      <c r="AK106" s="16">
        <v>119800</v>
      </c>
      <c r="AL106" s="11">
        <f t="shared" si="32"/>
        <v>3063200</v>
      </c>
      <c r="AM106" s="16">
        <f t="shared" si="33"/>
        <v>325939.19999999995</v>
      </c>
      <c r="AN106" s="16">
        <f t="shared" si="34"/>
        <v>127320</v>
      </c>
      <c r="AO106" s="16">
        <f t="shared" si="60"/>
        <v>198619.19999999998</v>
      </c>
      <c r="AP106" s="16">
        <f t="shared" si="35"/>
        <v>117771</v>
      </c>
      <c r="AQ106" s="16">
        <f t="shared" si="36"/>
        <v>3389139.2</v>
      </c>
      <c r="AR106" s="16">
        <f t="shared" si="59"/>
        <v>203348.35200000001</v>
      </c>
      <c r="AS106" s="16">
        <f t="shared" si="37"/>
        <v>22368.318720000003</v>
      </c>
      <c r="AT106" s="16">
        <f t="shared" si="38"/>
        <v>-4066.9670400000005</v>
      </c>
      <c r="AU106" s="16">
        <f t="shared" si="39"/>
        <v>3588420.5849600001</v>
      </c>
      <c r="AV106" s="16">
        <f t="shared" si="40"/>
        <v>3592487.5520000001</v>
      </c>
      <c r="AW106" s="16">
        <f t="shared" si="41"/>
        <v>127320</v>
      </c>
      <c r="AX106" s="16" t="s">
        <v>235</v>
      </c>
      <c r="AY106" s="17"/>
      <c r="AZ106" s="17">
        <f t="shared" si="42"/>
        <v>2900</v>
      </c>
      <c r="BA106" s="16">
        <f t="shared" si="43"/>
        <v>2935880</v>
      </c>
      <c r="BB106" s="16">
        <f t="shared" si="44"/>
        <v>2932980</v>
      </c>
      <c r="BC106" s="15">
        <v>0.03</v>
      </c>
      <c r="BD106" s="15">
        <v>0.01</v>
      </c>
      <c r="BE106" s="37">
        <f t="shared" si="45"/>
        <v>294109.2</v>
      </c>
      <c r="BF106" s="38">
        <f t="shared" si="46"/>
        <v>181431.00000000003</v>
      </c>
      <c r="BG106" s="37">
        <f t="shared" si="50"/>
        <v>149750</v>
      </c>
      <c r="BH106" s="37">
        <f t="shared" si="47"/>
        <v>159150</v>
      </c>
      <c r="BI106">
        <v>149750</v>
      </c>
      <c r="BL106" s="8">
        <f t="shared" si="48"/>
        <v>-119800</v>
      </c>
      <c r="BM106" s="7" t="str">
        <f t="shared" si="55"/>
        <v>Terdaftar BPJS Kes &amp; Naker</v>
      </c>
      <c r="BN106" s="11">
        <f t="shared" si="56"/>
        <v>181431</v>
      </c>
      <c r="BO106" s="11">
        <f t="shared" si="57"/>
        <v>144508.20000000001</v>
      </c>
      <c r="BP106" s="9">
        <f t="shared" si="49"/>
        <v>0</v>
      </c>
      <c r="BQ106" t="str">
        <f>_xlfn.XLOOKUP(X106,'[2]NON TETAP'!$H:$H,'[2]NON TETAP'!$I:$I)</f>
        <v>GRAMEDIA ASRI MEDIA</v>
      </c>
    </row>
    <row r="107" spans="1:69" x14ac:dyDescent="0.3">
      <c r="A107" s="2">
        <v>106</v>
      </c>
      <c r="B107" s="5" t="s">
        <v>3537</v>
      </c>
      <c r="C107" s="6" t="s">
        <v>241</v>
      </c>
      <c r="D107" s="6"/>
      <c r="E107" s="6" t="s">
        <v>73</v>
      </c>
      <c r="F107" s="6" t="s">
        <v>73</v>
      </c>
      <c r="G107" s="6" t="s">
        <v>73</v>
      </c>
      <c r="H107" s="6"/>
      <c r="I107" s="6"/>
      <c r="J107" s="6"/>
      <c r="K107" s="6">
        <v>800142</v>
      </c>
      <c r="L107" s="6"/>
      <c r="M107" s="6">
        <v>25023141069</v>
      </c>
      <c r="N107" s="46" t="s">
        <v>3541</v>
      </c>
      <c r="O107" s="6">
        <v>2071566347</v>
      </c>
      <c r="P107" s="78" t="s">
        <v>3540</v>
      </c>
      <c r="Q107" s="6">
        <v>10114</v>
      </c>
      <c r="R107" s="6">
        <v>27114</v>
      </c>
      <c r="S107" s="5" t="str">
        <f>VLOOKUP(T107,'[1]Kode Posisi'!$A$3:$B$45,2,)</f>
        <v>Outsourcing Keamanan</v>
      </c>
      <c r="T107" s="36" t="s">
        <v>37</v>
      </c>
      <c r="U107" s="44" t="s">
        <v>1100</v>
      </c>
      <c r="V107" s="44" t="s">
        <v>3539</v>
      </c>
      <c r="W107" s="36" t="s">
        <v>1098</v>
      </c>
      <c r="X107" s="36" t="s">
        <v>486</v>
      </c>
      <c r="Y107" s="36" t="s">
        <v>1294</v>
      </c>
      <c r="Z107" s="76" t="s">
        <v>3538</v>
      </c>
      <c r="AA107" s="36" t="s">
        <v>3537</v>
      </c>
      <c r="AB107" s="47">
        <v>3183000</v>
      </c>
      <c r="AC107" s="41">
        <v>3183000</v>
      </c>
      <c r="AD107" s="47">
        <v>2995000</v>
      </c>
      <c r="AE107" s="16">
        <f t="shared" si="58"/>
        <v>188000</v>
      </c>
      <c r="AF107" s="16">
        <v>0</v>
      </c>
      <c r="AG107" s="16">
        <v>0</v>
      </c>
      <c r="AH107" s="16"/>
      <c r="AI107" s="16">
        <v>0</v>
      </c>
      <c r="AJ107" s="16"/>
      <c r="AK107" s="16">
        <v>0</v>
      </c>
      <c r="AL107" s="11">
        <f t="shared" si="32"/>
        <v>3183000</v>
      </c>
      <c r="AM107" s="16">
        <f t="shared" si="33"/>
        <v>325939.19999999995</v>
      </c>
      <c r="AN107" s="16">
        <f t="shared" si="34"/>
        <v>127320</v>
      </c>
      <c r="AO107" s="16">
        <f t="shared" si="60"/>
        <v>198619.19999999998</v>
      </c>
      <c r="AP107" s="16">
        <f t="shared" si="35"/>
        <v>117771</v>
      </c>
      <c r="AQ107" s="16">
        <f t="shared" si="36"/>
        <v>3508939.2</v>
      </c>
      <c r="AR107" s="16">
        <f t="shared" si="59"/>
        <v>210536.35200000001</v>
      </c>
      <c r="AS107" s="16">
        <f t="shared" si="37"/>
        <v>23158.998720000003</v>
      </c>
      <c r="AT107" s="16">
        <f t="shared" si="38"/>
        <v>-4210.7270400000007</v>
      </c>
      <c r="AU107" s="16">
        <f t="shared" si="39"/>
        <v>3715264.8249600003</v>
      </c>
      <c r="AV107" s="16">
        <f t="shared" si="40"/>
        <v>3719475.5520000001</v>
      </c>
      <c r="AW107" s="16">
        <f t="shared" si="41"/>
        <v>127320</v>
      </c>
      <c r="AX107" s="16" t="s">
        <v>235</v>
      </c>
      <c r="AY107" s="17"/>
      <c r="AZ107" s="17">
        <f t="shared" si="42"/>
        <v>2900</v>
      </c>
      <c r="BA107" s="16">
        <f t="shared" si="43"/>
        <v>3055680</v>
      </c>
      <c r="BB107" s="16">
        <f t="shared" si="44"/>
        <v>3052780</v>
      </c>
      <c r="BC107" s="15">
        <v>0.03</v>
      </c>
      <c r="BD107" s="15">
        <v>0.01</v>
      </c>
      <c r="BE107" s="37">
        <f t="shared" si="45"/>
        <v>294109.2</v>
      </c>
      <c r="BF107" s="38">
        <f t="shared" si="46"/>
        <v>181431.00000000003</v>
      </c>
      <c r="BG107" s="37">
        <f t="shared" si="50"/>
        <v>149750</v>
      </c>
      <c r="BH107" s="37">
        <f t="shared" si="47"/>
        <v>159150</v>
      </c>
      <c r="BI107">
        <v>149750</v>
      </c>
      <c r="BL107" s="8">
        <f t="shared" si="48"/>
        <v>0</v>
      </c>
      <c r="BM107" s="7" t="str">
        <f t="shared" si="55"/>
        <v>Terdaftar BPJS Kes &amp; Naker</v>
      </c>
      <c r="BN107" s="11">
        <f t="shared" si="56"/>
        <v>181431</v>
      </c>
      <c r="BO107" s="11">
        <f t="shared" si="57"/>
        <v>144508.20000000001</v>
      </c>
      <c r="BP107" s="9">
        <f t="shared" si="49"/>
        <v>0</v>
      </c>
      <c r="BQ107" t="str">
        <f>_xlfn.XLOOKUP(X107,'[2]NON TETAP'!$H:$H,'[2]NON TETAP'!$I:$I)</f>
        <v>GRAMEDIA ASRI MEDIA</v>
      </c>
    </row>
    <row r="108" spans="1:69" x14ac:dyDescent="0.3">
      <c r="A108" s="2">
        <v>107</v>
      </c>
      <c r="B108" s="5" t="s">
        <v>3536</v>
      </c>
      <c r="C108" s="6" t="s">
        <v>309</v>
      </c>
      <c r="D108" s="6" t="s">
        <v>938</v>
      </c>
      <c r="E108" s="6" t="s">
        <v>73</v>
      </c>
      <c r="F108" s="6" t="s">
        <v>73</v>
      </c>
      <c r="G108" s="6" t="s">
        <v>73</v>
      </c>
      <c r="H108" s="6"/>
      <c r="I108" s="6"/>
      <c r="J108" s="6"/>
      <c r="K108" s="6">
        <v>800145</v>
      </c>
      <c r="L108" s="6"/>
      <c r="M108" s="6">
        <v>24219362688</v>
      </c>
      <c r="N108" s="46" t="s">
        <v>3535</v>
      </c>
      <c r="O108" s="6">
        <v>1823619431</v>
      </c>
      <c r="P108" s="78" t="s">
        <v>3534</v>
      </c>
      <c r="Q108" s="6">
        <v>10126</v>
      </c>
      <c r="R108" s="6">
        <v>27126</v>
      </c>
      <c r="S108" s="5" t="str">
        <f>VLOOKUP(T108,'[1]Kode Posisi'!$A$3:$B$45,2,)</f>
        <v>Outsourcing Keamanan</v>
      </c>
      <c r="T108" s="36" t="s">
        <v>37</v>
      </c>
      <c r="U108" s="44" t="s">
        <v>1952</v>
      </c>
      <c r="V108" s="44" t="s">
        <v>3533</v>
      </c>
      <c r="W108" s="36" t="s">
        <v>65</v>
      </c>
      <c r="X108" s="36" t="s">
        <v>64</v>
      </c>
      <c r="Y108" s="36" t="s">
        <v>1294</v>
      </c>
      <c r="Z108" s="79" t="s">
        <v>3532</v>
      </c>
      <c r="AA108" s="36" t="s">
        <v>3531</v>
      </c>
      <c r="AB108" s="47">
        <v>3999000</v>
      </c>
      <c r="AC108" s="41">
        <v>3999000</v>
      </c>
      <c r="AD108" s="47">
        <v>3676000</v>
      </c>
      <c r="AE108" s="16">
        <f t="shared" si="58"/>
        <v>323000</v>
      </c>
      <c r="AF108" s="16">
        <v>0</v>
      </c>
      <c r="AG108" s="16">
        <v>0</v>
      </c>
      <c r="AH108" s="16"/>
      <c r="AI108" s="16">
        <v>0</v>
      </c>
      <c r="AJ108" s="16"/>
      <c r="AK108" s="16">
        <v>2239440</v>
      </c>
      <c r="AL108" s="11">
        <f t="shared" si="32"/>
        <v>1759560</v>
      </c>
      <c r="AM108" s="16">
        <f t="shared" si="33"/>
        <v>409497.59999999998</v>
      </c>
      <c r="AN108" s="16">
        <f t="shared" si="34"/>
        <v>159960</v>
      </c>
      <c r="AO108" s="16">
        <f t="shared" si="60"/>
        <v>249537.59999999998</v>
      </c>
      <c r="AP108" s="16">
        <f t="shared" si="35"/>
        <v>147963</v>
      </c>
      <c r="AQ108" s="16">
        <f t="shared" si="36"/>
        <v>2169057.6</v>
      </c>
      <c r="AR108" s="16">
        <f t="shared" si="59"/>
        <v>130143.45600000001</v>
      </c>
      <c r="AS108" s="16">
        <f t="shared" si="37"/>
        <v>14315.78016</v>
      </c>
      <c r="AT108" s="16">
        <f t="shared" si="38"/>
        <v>-2602.8691200000003</v>
      </c>
      <c r="AU108" s="16">
        <f t="shared" si="39"/>
        <v>2296598.1868799999</v>
      </c>
      <c r="AV108" s="16">
        <f t="shared" si="40"/>
        <v>2299201.0559999999</v>
      </c>
      <c r="AW108" s="16">
        <f t="shared" si="41"/>
        <v>159960</v>
      </c>
      <c r="AX108" s="16" t="s">
        <v>235</v>
      </c>
      <c r="AY108" s="17"/>
      <c r="AZ108" s="17">
        <f t="shared" si="42"/>
        <v>2900</v>
      </c>
      <c r="BA108" s="16">
        <f t="shared" si="43"/>
        <v>1599600</v>
      </c>
      <c r="BB108" s="16">
        <f t="shared" si="44"/>
        <v>1596700</v>
      </c>
      <c r="BC108" s="15">
        <v>0.03</v>
      </c>
      <c r="BD108" s="15">
        <v>0.01</v>
      </c>
      <c r="BE108" s="37">
        <f t="shared" si="45"/>
        <v>369507.6</v>
      </c>
      <c r="BF108" s="38">
        <f t="shared" si="46"/>
        <v>227943</v>
      </c>
      <c r="BG108" s="37">
        <f t="shared" si="50"/>
        <v>183800</v>
      </c>
      <c r="BH108" s="37">
        <f t="shared" si="47"/>
        <v>199950</v>
      </c>
      <c r="BI108">
        <v>183800</v>
      </c>
      <c r="BL108" s="8">
        <f t="shared" si="48"/>
        <v>-2239440</v>
      </c>
      <c r="BM108" s="7" t="str">
        <f t="shared" si="55"/>
        <v>Terdaftar BPJS Kes &amp; Naker</v>
      </c>
      <c r="BN108" s="11">
        <f t="shared" si="56"/>
        <v>227943</v>
      </c>
      <c r="BO108" s="11">
        <f t="shared" si="57"/>
        <v>181554.6</v>
      </c>
      <c r="BP108" s="9">
        <f t="shared" si="49"/>
        <v>0</v>
      </c>
      <c r="BQ108" t="str">
        <f>_xlfn.XLOOKUP(X108,'[2]NON TETAP'!$H:$H,'[2]NON TETAP'!$I:$I)</f>
        <v>GRAMEDIA ASRI MEDIA</v>
      </c>
    </row>
    <row r="109" spans="1:69" x14ac:dyDescent="0.3">
      <c r="A109" s="2">
        <v>108</v>
      </c>
      <c r="B109" s="5" t="s">
        <v>3525</v>
      </c>
      <c r="C109" s="6" t="s">
        <v>241</v>
      </c>
      <c r="D109" s="6"/>
      <c r="E109" s="6" t="s">
        <v>73</v>
      </c>
      <c r="F109" s="6" t="s">
        <v>73</v>
      </c>
      <c r="G109" s="6" t="s">
        <v>73</v>
      </c>
      <c r="H109" s="6"/>
      <c r="I109" s="6"/>
      <c r="J109" s="6"/>
      <c r="K109" s="6">
        <v>800146</v>
      </c>
      <c r="L109" s="6"/>
      <c r="M109" s="6">
        <v>25023141085</v>
      </c>
      <c r="N109" s="46" t="s">
        <v>3530</v>
      </c>
      <c r="O109" s="6">
        <v>3116806762</v>
      </c>
      <c r="P109" s="78" t="s">
        <v>3529</v>
      </c>
      <c r="Q109" s="6">
        <v>10126</v>
      </c>
      <c r="R109" s="6">
        <v>27126</v>
      </c>
      <c r="S109" s="5" t="str">
        <f>VLOOKUP(T109,'[1]Kode Posisi'!$A$3:$B$45,2,)</f>
        <v>Outsourcing Keamanan</v>
      </c>
      <c r="T109" s="36" t="s">
        <v>37</v>
      </c>
      <c r="U109" s="44" t="s">
        <v>1952</v>
      </c>
      <c r="V109" s="44" t="s">
        <v>3528</v>
      </c>
      <c r="W109" s="36" t="s">
        <v>65</v>
      </c>
      <c r="X109" s="36" t="s">
        <v>64</v>
      </c>
      <c r="Y109" s="36" t="s">
        <v>3527</v>
      </c>
      <c r="Z109" s="79" t="s">
        <v>3526</v>
      </c>
      <c r="AA109" s="36" t="s">
        <v>3525</v>
      </c>
      <c r="AB109" s="47">
        <v>3999000</v>
      </c>
      <c r="AC109" s="41">
        <v>3999000</v>
      </c>
      <c r="AD109" s="47">
        <v>3676000</v>
      </c>
      <c r="AE109" s="16">
        <f t="shared" si="58"/>
        <v>323000</v>
      </c>
      <c r="AF109" s="16">
        <v>0</v>
      </c>
      <c r="AG109" s="16">
        <v>0</v>
      </c>
      <c r="AH109" s="16"/>
      <c r="AI109" s="16">
        <v>0</v>
      </c>
      <c r="AJ109" s="16"/>
      <c r="AK109" s="16">
        <v>0</v>
      </c>
      <c r="AL109" s="11">
        <f t="shared" si="32"/>
        <v>3999000</v>
      </c>
      <c r="AM109" s="16">
        <f t="shared" si="33"/>
        <v>409497.59999999998</v>
      </c>
      <c r="AN109" s="16">
        <f t="shared" si="34"/>
        <v>159960</v>
      </c>
      <c r="AO109" s="16">
        <f t="shared" si="60"/>
        <v>249537.59999999998</v>
      </c>
      <c r="AP109" s="16">
        <f t="shared" si="35"/>
        <v>147963</v>
      </c>
      <c r="AQ109" s="16">
        <f t="shared" si="36"/>
        <v>4408497.5999999996</v>
      </c>
      <c r="AR109" s="16">
        <f t="shared" si="59"/>
        <v>264509.85599999997</v>
      </c>
      <c r="AS109" s="16">
        <f t="shared" si="37"/>
        <v>29096.084159999999</v>
      </c>
      <c r="AT109" s="16">
        <f t="shared" si="38"/>
        <v>-5290.1971199999998</v>
      </c>
      <c r="AU109" s="16">
        <f t="shared" si="39"/>
        <v>4667717.2588799996</v>
      </c>
      <c r="AV109" s="16">
        <f t="shared" si="40"/>
        <v>4673007.4559999993</v>
      </c>
      <c r="AW109" s="16">
        <f t="shared" si="41"/>
        <v>159960</v>
      </c>
      <c r="AX109" s="16" t="s">
        <v>235</v>
      </c>
      <c r="AY109" s="17"/>
      <c r="AZ109" s="17">
        <f t="shared" si="42"/>
        <v>2900</v>
      </c>
      <c r="BA109" s="16">
        <f t="shared" si="43"/>
        <v>3839040</v>
      </c>
      <c r="BB109" s="16">
        <f t="shared" si="44"/>
        <v>3836140</v>
      </c>
      <c r="BC109" s="15">
        <v>0.03</v>
      </c>
      <c r="BD109" s="15">
        <v>0.01</v>
      </c>
      <c r="BE109" s="37">
        <f t="shared" si="45"/>
        <v>369507.6</v>
      </c>
      <c r="BF109" s="38">
        <f t="shared" si="46"/>
        <v>227943</v>
      </c>
      <c r="BG109" s="37">
        <f t="shared" si="50"/>
        <v>183800</v>
      </c>
      <c r="BH109" s="37">
        <f t="shared" si="47"/>
        <v>199950</v>
      </c>
      <c r="BI109">
        <v>183800</v>
      </c>
      <c r="BL109" s="8">
        <f t="shared" si="48"/>
        <v>0</v>
      </c>
      <c r="BM109" s="7" t="str">
        <f t="shared" si="55"/>
        <v>Terdaftar BPJS Kes &amp; Naker</v>
      </c>
      <c r="BN109" s="11">
        <f t="shared" si="56"/>
        <v>227943</v>
      </c>
      <c r="BO109" s="11">
        <f t="shared" si="57"/>
        <v>181554.6</v>
      </c>
      <c r="BP109" s="9">
        <f t="shared" si="49"/>
        <v>0</v>
      </c>
      <c r="BQ109" t="str">
        <f>_xlfn.XLOOKUP(X109,'[2]NON TETAP'!$H:$H,'[2]NON TETAP'!$I:$I)</f>
        <v>GRAMEDIA ASRI MEDIA</v>
      </c>
    </row>
    <row r="110" spans="1:69" x14ac:dyDescent="0.3">
      <c r="A110" s="2">
        <v>109</v>
      </c>
      <c r="B110" s="5" t="s">
        <v>3520</v>
      </c>
      <c r="C110" s="6" t="s">
        <v>241</v>
      </c>
      <c r="D110" s="6"/>
      <c r="E110" s="6" t="s">
        <v>73</v>
      </c>
      <c r="F110" s="6" t="s">
        <v>73</v>
      </c>
      <c r="G110" s="6" t="s">
        <v>73</v>
      </c>
      <c r="H110" s="6"/>
      <c r="I110" s="6"/>
      <c r="J110" s="6"/>
      <c r="K110" s="6">
        <v>800148</v>
      </c>
      <c r="L110" s="6"/>
      <c r="M110" s="6">
        <v>24099947624</v>
      </c>
      <c r="N110" s="46" t="s">
        <v>3524</v>
      </c>
      <c r="O110" s="6">
        <v>2086354653</v>
      </c>
      <c r="P110" s="78" t="s">
        <v>3523</v>
      </c>
      <c r="Q110" s="6">
        <v>10126</v>
      </c>
      <c r="R110" s="6">
        <v>27126</v>
      </c>
      <c r="S110" s="5" t="str">
        <f>VLOOKUP(T110,'[1]Kode Posisi'!$A$3:$B$45,2,)</f>
        <v>Outsourcing Keamanan</v>
      </c>
      <c r="T110" s="36" t="s">
        <v>37</v>
      </c>
      <c r="U110" s="44" t="s">
        <v>1952</v>
      </c>
      <c r="V110" s="44" t="s">
        <v>3522</v>
      </c>
      <c r="W110" s="36" t="s">
        <v>65</v>
      </c>
      <c r="X110" s="36" t="s">
        <v>64</v>
      </c>
      <c r="Y110" s="36" t="s">
        <v>52</v>
      </c>
      <c r="Z110" s="79" t="s">
        <v>3521</v>
      </c>
      <c r="AA110" s="36" t="s">
        <v>3520</v>
      </c>
      <c r="AB110" s="47">
        <v>3999000</v>
      </c>
      <c r="AC110" s="41">
        <v>3999000</v>
      </c>
      <c r="AD110" s="47">
        <v>3676000</v>
      </c>
      <c r="AE110" s="16">
        <f t="shared" si="58"/>
        <v>323000</v>
      </c>
      <c r="AF110" s="16">
        <v>0</v>
      </c>
      <c r="AG110" s="16">
        <v>0</v>
      </c>
      <c r="AH110" s="16"/>
      <c r="AI110" s="16">
        <v>0</v>
      </c>
      <c r="AJ110" s="16"/>
      <c r="AK110" s="16">
        <v>0</v>
      </c>
      <c r="AL110" s="11">
        <f t="shared" si="32"/>
        <v>3999000</v>
      </c>
      <c r="AM110" s="16">
        <f t="shared" si="33"/>
        <v>409497.59999999998</v>
      </c>
      <c r="AN110" s="16">
        <f t="shared" si="34"/>
        <v>159960</v>
      </c>
      <c r="AO110" s="16">
        <f t="shared" si="60"/>
        <v>249537.59999999998</v>
      </c>
      <c r="AP110" s="16">
        <f t="shared" si="35"/>
        <v>147963</v>
      </c>
      <c r="AQ110" s="16">
        <f t="shared" si="36"/>
        <v>4408497.5999999996</v>
      </c>
      <c r="AR110" s="16">
        <f t="shared" si="59"/>
        <v>264509.85599999997</v>
      </c>
      <c r="AS110" s="16">
        <f t="shared" si="37"/>
        <v>29096.084159999999</v>
      </c>
      <c r="AT110" s="16">
        <f t="shared" si="38"/>
        <v>-5290.1971199999998</v>
      </c>
      <c r="AU110" s="16">
        <f t="shared" si="39"/>
        <v>4667717.2588799996</v>
      </c>
      <c r="AV110" s="16">
        <f t="shared" si="40"/>
        <v>4673007.4559999993</v>
      </c>
      <c r="AW110" s="16">
        <f t="shared" si="41"/>
        <v>159960</v>
      </c>
      <c r="AX110" s="16" t="s">
        <v>235</v>
      </c>
      <c r="AY110" s="17"/>
      <c r="AZ110" s="17">
        <f t="shared" si="42"/>
        <v>0</v>
      </c>
      <c r="BA110" s="16">
        <f t="shared" si="43"/>
        <v>3839040</v>
      </c>
      <c r="BB110" s="16">
        <f t="shared" si="44"/>
        <v>3839040</v>
      </c>
      <c r="BC110" s="15">
        <v>0.03</v>
      </c>
      <c r="BD110" s="15">
        <v>0.01</v>
      </c>
      <c r="BE110" s="37">
        <f t="shared" si="45"/>
        <v>369507.6</v>
      </c>
      <c r="BF110" s="38">
        <f t="shared" si="46"/>
        <v>227943</v>
      </c>
      <c r="BG110" s="37">
        <f t="shared" si="50"/>
        <v>183800</v>
      </c>
      <c r="BH110" s="37">
        <f t="shared" si="47"/>
        <v>199950</v>
      </c>
      <c r="BI110">
        <v>183800</v>
      </c>
      <c r="BL110" s="8">
        <f t="shared" si="48"/>
        <v>0</v>
      </c>
      <c r="BM110" s="7" t="str">
        <f t="shared" si="55"/>
        <v>Terdaftar BPJS Kes &amp; Naker</v>
      </c>
      <c r="BN110" s="11">
        <f t="shared" si="56"/>
        <v>227943</v>
      </c>
      <c r="BO110" s="11">
        <f t="shared" si="57"/>
        <v>181554.6</v>
      </c>
      <c r="BP110" s="9">
        <f t="shared" si="49"/>
        <v>0</v>
      </c>
      <c r="BQ110" t="str">
        <f>_xlfn.XLOOKUP(X110,'[2]NON TETAP'!$H:$H,'[2]NON TETAP'!$I:$I)</f>
        <v>GRAMEDIA ASRI MEDIA</v>
      </c>
    </row>
    <row r="111" spans="1:69" x14ac:dyDescent="0.3">
      <c r="A111" s="2">
        <v>110</v>
      </c>
      <c r="B111" s="4" t="s">
        <v>3515</v>
      </c>
      <c r="C111" s="6" t="s">
        <v>241</v>
      </c>
      <c r="D111" s="6"/>
      <c r="E111" s="6" t="s">
        <v>73</v>
      </c>
      <c r="F111" s="6" t="s">
        <v>73</v>
      </c>
      <c r="G111" s="6" t="s">
        <v>73</v>
      </c>
      <c r="H111" s="6"/>
      <c r="I111" s="2"/>
      <c r="J111" s="2"/>
      <c r="K111" s="6">
        <v>800149</v>
      </c>
      <c r="L111" s="6"/>
      <c r="M111" s="6">
        <v>25077450481</v>
      </c>
      <c r="N111" s="46" t="s">
        <v>3519</v>
      </c>
      <c r="O111" s="6">
        <v>1259019652</v>
      </c>
      <c r="P111" s="78" t="s">
        <v>3518</v>
      </c>
      <c r="Q111" s="6">
        <v>10489</v>
      </c>
      <c r="R111" s="6">
        <v>27489</v>
      </c>
      <c r="S111" s="5" t="str">
        <f>VLOOKUP(T111,'[1]Kode Posisi'!$A$3:$B$45,2,)</f>
        <v>Outsourcing Keamanan</v>
      </c>
      <c r="T111" s="36" t="s">
        <v>37</v>
      </c>
      <c r="U111" s="44" t="s">
        <v>1085</v>
      </c>
      <c r="V111" s="44" t="s">
        <v>3517</v>
      </c>
      <c r="W111" s="36" t="s">
        <v>1083</v>
      </c>
      <c r="X111" s="36" t="s">
        <v>1082</v>
      </c>
      <c r="Y111" s="36" t="s">
        <v>52</v>
      </c>
      <c r="Z111" s="79" t="s">
        <v>3516</v>
      </c>
      <c r="AA111" s="36" t="s">
        <v>3515</v>
      </c>
      <c r="AB111" s="47">
        <v>5248000</v>
      </c>
      <c r="AC111" s="41">
        <v>5248000</v>
      </c>
      <c r="AD111" s="47">
        <v>4975000</v>
      </c>
      <c r="AE111" s="16">
        <f t="shared" si="58"/>
        <v>273000</v>
      </c>
      <c r="AF111" s="16">
        <v>0</v>
      </c>
      <c r="AG111" s="16">
        <v>0</v>
      </c>
      <c r="AH111" s="16"/>
      <c r="AI111" s="16">
        <v>0</v>
      </c>
      <c r="AJ111" s="16"/>
      <c r="AK111" s="16">
        <v>0</v>
      </c>
      <c r="AL111" s="11">
        <f t="shared" si="32"/>
        <v>5248000</v>
      </c>
      <c r="AM111" s="16">
        <f t="shared" si="33"/>
        <v>537395.19999999995</v>
      </c>
      <c r="AN111" s="16">
        <f t="shared" si="34"/>
        <v>209920</v>
      </c>
      <c r="AO111" s="16">
        <f t="shared" si="60"/>
        <v>327475.20000000001</v>
      </c>
      <c r="AP111" s="16">
        <f t="shared" si="35"/>
        <v>194176</v>
      </c>
      <c r="AQ111" s="16">
        <f t="shared" si="36"/>
        <v>5785395.2000000002</v>
      </c>
      <c r="AR111" s="16">
        <f t="shared" si="59"/>
        <v>347123.712</v>
      </c>
      <c r="AS111" s="16">
        <f t="shared" si="37"/>
        <v>38183.608319999999</v>
      </c>
      <c r="AT111" s="16">
        <f t="shared" si="38"/>
        <v>-6942.4742400000005</v>
      </c>
      <c r="AU111" s="16">
        <f t="shared" si="39"/>
        <v>6125576.4377600001</v>
      </c>
      <c r="AV111" s="16">
        <f t="shared" si="40"/>
        <v>6132518.9120000005</v>
      </c>
      <c r="AW111" s="16">
        <f t="shared" si="41"/>
        <v>209920</v>
      </c>
      <c r="AX111" s="16" t="s">
        <v>235</v>
      </c>
      <c r="AY111" s="17"/>
      <c r="AZ111" s="17">
        <f t="shared" si="42"/>
        <v>0</v>
      </c>
      <c r="BA111" s="16">
        <f t="shared" si="43"/>
        <v>5038080</v>
      </c>
      <c r="BB111" s="16">
        <f t="shared" si="44"/>
        <v>5038080</v>
      </c>
      <c r="BC111" s="15">
        <v>0.03</v>
      </c>
      <c r="BD111" s="15">
        <v>0.01</v>
      </c>
      <c r="BE111" s="37">
        <f t="shared" si="45"/>
        <v>484915.19999999995</v>
      </c>
      <c r="BF111" s="38">
        <f t="shared" si="46"/>
        <v>299136</v>
      </c>
      <c r="BG111" s="37">
        <f t="shared" si="50"/>
        <v>248750</v>
      </c>
      <c r="BH111" s="37">
        <f t="shared" si="47"/>
        <v>262400</v>
      </c>
      <c r="BI111">
        <v>248750</v>
      </c>
      <c r="BL111" s="8">
        <f t="shared" si="48"/>
        <v>0</v>
      </c>
      <c r="BM111" s="7" t="str">
        <f t="shared" si="55"/>
        <v>Terdaftar BPJS Kes &amp; Naker</v>
      </c>
      <c r="BN111" s="11">
        <f t="shared" si="56"/>
        <v>299136</v>
      </c>
      <c r="BO111" s="11">
        <f t="shared" si="57"/>
        <v>238259.20000000001</v>
      </c>
      <c r="BP111" s="9">
        <f t="shared" si="49"/>
        <v>0</v>
      </c>
      <c r="BQ111" t="str">
        <f>_xlfn.XLOOKUP(X111,'[2]NON TETAP'!$H:$H,'[2]NON TETAP'!$I:$I)</f>
        <v>GRAMEDIA ASRI MEDIA</v>
      </c>
    </row>
    <row r="112" spans="1:69" x14ac:dyDescent="0.3">
      <c r="A112" s="2">
        <v>111</v>
      </c>
      <c r="B112" s="4" t="s">
        <v>3510</v>
      </c>
      <c r="C112" s="6" t="s">
        <v>241</v>
      </c>
      <c r="D112" s="6"/>
      <c r="E112" s="6" t="s">
        <v>73</v>
      </c>
      <c r="F112" s="6" t="s">
        <v>73</v>
      </c>
      <c r="G112" s="6" t="s">
        <v>73</v>
      </c>
      <c r="H112" s="6"/>
      <c r="I112" s="2"/>
      <c r="J112" s="2"/>
      <c r="K112" s="6">
        <v>800150</v>
      </c>
      <c r="L112" s="6"/>
      <c r="M112" s="6">
        <v>25077450499</v>
      </c>
      <c r="N112" s="46" t="s">
        <v>3514</v>
      </c>
      <c r="O112" s="6">
        <v>2135669242</v>
      </c>
      <c r="P112" s="78" t="s">
        <v>3513</v>
      </c>
      <c r="Q112" s="6">
        <v>10489</v>
      </c>
      <c r="R112" s="6">
        <v>27489</v>
      </c>
      <c r="S112" s="5" t="str">
        <f>VLOOKUP(T112,'[1]Kode Posisi'!$A$3:$B$45,2,)</f>
        <v>Outsourcing Keamanan</v>
      </c>
      <c r="T112" s="36" t="s">
        <v>37</v>
      </c>
      <c r="U112" s="44" t="s">
        <v>1085</v>
      </c>
      <c r="V112" s="44" t="s">
        <v>3512</v>
      </c>
      <c r="W112" s="36" t="s">
        <v>1083</v>
      </c>
      <c r="X112" s="36" t="s">
        <v>1082</v>
      </c>
      <c r="Y112" s="36" t="s">
        <v>52</v>
      </c>
      <c r="Z112" s="79" t="s">
        <v>3511</v>
      </c>
      <c r="AA112" s="36" t="s">
        <v>3510</v>
      </c>
      <c r="AB112" s="47">
        <v>5248000</v>
      </c>
      <c r="AC112" s="41">
        <v>5248000</v>
      </c>
      <c r="AD112" s="47">
        <v>4975000</v>
      </c>
      <c r="AE112" s="16">
        <f t="shared" si="58"/>
        <v>273000</v>
      </c>
      <c r="AF112" s="16">
        <v>0</v>
      </c>
      <c r="AG112" s="16">
        <v>0</v>
      </c>
      <c r="AH112" s="16"/>
      <c r="AI112" s="16">
        <v>0</v>
      </c>
      <c r="AJ112" s="16"/>
      <c r="AK112" s="16">
        <v>0</v>
      </c>
      <c r="AL112" s="11">
        <f t="shared" si="32"/>
        <v>5248000</v>
      </c>
      <c r="AM112" s="16">
        <f t="shared" si="33"/>
        <v>537395.19999999995</v>
      </c>
      <c r="AN112" s="16">
        <f t="shared" si="34"/>
        <v>209920</v>
      </c>
      <c r="AO112" s="16">
        <f t="shared" si="60"/>
        <v>327475.20000000001</v>
      </c>
      <c r="AP112" s="16">
        <f t="shared" si="35"/>
        <v>194176</v>
      </c>
      <c r="AQ112" s="16">
        <f t="shared" si="36"/>
        <v>5785395.2000000002</v>
      </c>
      <c r="AR112" s="16">
        <f t="shared" si="59"/>
        <v>347123.712</v>
      </c>
      <c r="AS112" s="16">
        <f t="shared" si="37"/>
        <v>38183.608319999999</v>
      </c>
      <c r="AT112" s="16">
        <f t="shared" si="38"/>
        <v>-6942.4742400000005</v>
      </c>
      <c r="AU112" s="16">
        <f t="shared" si="39"/>
        <v>6125576.4377600001</v>
      </c>
      <c r="AV112" s="16">
        <f t="shared" si="40"/>
        <v>6132518.9120000005</v>
      </c>
      <c r="AW112" s="16">
        <f t="shared" si="41"/>
        <v>209920</v>
      </c>
      <c r="AX112" s="16" t="s">
        <v>319</v>
      </c>
      <c r="AY112" s="17"/>
      <c r="AZ112" s="17">
        <f t="shared" si="42"/>
        <v>0</v>
      </c>
      <c r="BA112" s="16">
        <f t="shared" si="43"/>
        <v>5038080</v>
      </c>
      <c r="BB112" s="16">
        <f t="shared" si="44"/>
        <v>5038080</v>
      </c>
      <c r="BC112" s="15">
        <v>0.03</v>
      </c>
      <c r="BD112" s="15">
        <v>0.01</v>
      </c>
      <c r="BE112" s="37">
        <f t="shared" si="45"/>
        <v>484915.19999999995</v>
      </c>
      <c r="BF112" s="38">
        <f t="shared" si="46"/>
        <v>299136</v>
      </c>
      <c r="BG112" s="37">
        <f t="shared" si="50"/>
        <v>248750</v>
      </c>
      <c r="BH112" s="37">
        <f t="shared" si="47"/>
        <v>262400</v>
      </c>
      <c r="BI112">
        <v>248750</v>
      </c>
      <c r="BL112" s="8">
        <f t="shared" si="48"/>
        <v>0</v>
      </c>
      <c r="BM112" s="7" t="str">
        <f t="shared" si="55"/>
        <v>Terdaftar BPJS Kes &amp; Naker</v>
      </c>
      <c r="BN112" s="11">
        <f t="shared" si="56"/>
        <v>299136</v>
      </c>
      <c r="BO112" s="11">
        <f t="shared" si="57"/>
        <v>238259.20000000001</v>
      </c>
      <c r="BP112" s="9">
        <f t="shared" si="49"/>
        <v>0</v>
      </c>
      <c r="BQ112" t="str">
        <f>_xlfn.XLOOKUP(X112,'[2]NON TETAP'!$H:$H,'[2]NON TETAP'!$I:$I)</f>
        <v>GRAMEDIA ASRI MEDIA</v>
      </c>
    </row>
    <row r="113" spans="1:69" x14ac:dyDescent="0.3">
      <c r="A113" s="2">
        <v>112</v>
      </c>
      <c r="B113" s="5" t="s">
        <v>3509</v>
      </c>
      <c r="C113" s="6" t="s">
        <v>241</v>
      </c>
      <c r="D113" s="6"/>
      <c r="E113" s="6" t="s">
        <v>73</v>
      </c>
      <c r="F113" s="6" t="s">
        <v>73</v>
      </c>
      <c r="G113" s="6" t="s">
        <v>73</v>
      </c>
      <c r="H113" s="6"/>
      <c r="I113" s="6"/>
      <c r="J113" s="6"/>
      <c r="K113" s="6">
        <v>800151</v>
      </c>
      <c r="L113" s="6"/>
      <c r="M113" s="6">
        <v>25077450507</v>
      </c>
      <c r="N113" s="46" t="s">
        <v>3508</v>
      </c>
      <c r="O113" s="6">
        <v>1429889376</v>
      </c>
      <c r="P113" s="78" t="s">
        <v>3507</v>
      </c>
      <c r="Q113" s="6">
        <v>10489</v>
      </c>
      <c r="R113" s="6">
        <v>27489</v>
      </c>
      <c r="S113" s="5" t="str">
        <f>VLOOKUP(T113,'[1]Kode Posisi'!$A$3:$B$45,2,)</f>
        <v>Outsourcing Keamanan</v>
      </c>
      <c r="T113" s="36" t="s">
        <v>2850</v>
      </c>
      <c r="U113" s="44" t="s">
        <v>1085</v>
      </c>
      <c r="V113" s="44" t="s">
        <v>3506</v>
      </c>
      <c r="W113" s="36" t="s">
        <v>1083</v>
      </c>
      <c r="X113" s="36" t="s">
        <v>1082</v>
      </c>
      <c r="Y113" s="36" t="s">
        <v>473</v>
      </c>
      <c r="Z113" s="79" t="s">
        <v>3505</v>
      </c>
      <c r="AA113" s="36" t="s">
        <v>3504</v>
      </c>
      <c r="AB113" s="47">
        <v>5248000</v>
      </c>
      <c r="AC113" s="41">
        <v>5248000</v>
      </c>
      <c r="AD113" s="47">
        <v>4975000</v>
      </c>
      <c r="AE113" s="16">
        <f t="shared" si="58"/>
        <v>273000</v>
      </c>
      <c r="AF113" s="16"/>
      <c r="AG113" s="16">
        <v>200000</v>
      </c>
      <c r="AH113" s="16"/>
      <c r="AI113" s="16">
        <v>0</v>
      </c>
      <c r="AJ113" s="16"/>
      <c r="AK113" s="16">
        <v>0</v>
      </c>
      <c r="AL113" s="11">
        <f t="shared" si="32"/>
        <v>5448000</v>
      </c>
      <c r="AM113" s="16">
        <f t="shared" si="33"/>
        <v>537395.19999999995</v>
      </c>
      <c r="AN113" s="16">
        <f t="shared" si="34"/>
        <v>209920</v>
      </c>
      <c r="AO113" s="16">
        <f t="shared" si="60"/>
        <v>327475.20000000001</v>
      </c>
      <c r="AP113" s="16">
        <f t="shared" si="35"/>
        <v>194176</v>
      </c>
      <c r="AQ113" s="16">
        <f t="shared" si="36"/>
        <v>5985395.2000000002</v>
      </c>
      <c r="AR113" s="16">
        <f t="shared" si="59"/>
        <v>359123.712</v>
      </c>
      <c r="AS113" s="16">
        <f t="shared" si="37"/>
        <v>39503.608319999999</v>
      </c>
      <c r="AT113" s="16">
        <f t="shared" si="38"/>
        <v>-7182.4742400000005</v>
      </c>
      <c r="AU113" s="16">
        <f t="shared" si="39"/>
        <v>6337336.4377600001</v>
      </c>
      <c r="AV113" s="16">
        <f t="shared" si="40"/>
        <v>6344518.9120000005</v>
      </c>
      <c r="AW113" s="16">
        <f t="shared" si="41"/>
        <v>209920</v>
      </c>
      <c r="AX113" s="16" t="s">
        <v>319</v>
      </c>
      <c r="AY113" s="17"/>
      <c r="AZ113" s="17">
        <f t="shared" si="42"/>
        <v>2900</v>
      </c>
      <c r="BA113" s="16">
        <f t="shared" si="43"/>
        <v>5238080</v>
      </c>
      <c r="BB113" s="16">
        <f t="shared" si="44"/>
        <v>5235180</v>
      </c>
      <c r="BC113" s="15">
        <v>0.03</v>
      </c>
      <c r="BD113" s="15">
        <v>0.01</v>
      </c>
      <c r="BE113" s="37">
        <f t="shared" si="45"/>
        <v>484915.19999999995</v>
      </c>
      <c r="BF113" s="38">
        <f t="shared" si="46"/>
        <v>299136</v>
      </c>
      <c r="BG113" s="37">
        <f t="shared" si="50"/>
        <v>248750</v>
      </c>
      <c r="BH113" s="37">
        <f t="shared" si="47"/>
        <v>262400</v>
      </c>
      <c r="BI113">
        <v>248750</v>
      </c>
      <c r="BL113" s="8">
        <f t="shared" si="48"/>
        <v>200000</v>
      </c>
      <c r="BM113" s="7" t="str">
        <f t="shared" si="55"/>
        <v>Terdaftar BPJS Kes &amp; Naker</v>
      </c>
      <c r="BN113" s="11">
        <f t="shared" si="56"/>
        <v>299136</v>
      </c>
      <c r="BO113" s="11">
        <f t="shared" si="57"/>
        <v>238259.20000000001</v>
      </c>
      <c r="BP113" s="9">
        <f t="shared" si="49"/>
        <v>0</v>
      </c>
      <c r="BQ113" t="str">
        <f>_xlfn.XLOOKUP(X113,'[2]NON TETAP'!$H:$H,'[2]NON TETAP'!$I:$I)</f>
        <v>GRAMEDIA ASRI MEDIA</v>
      </c>
    </row>
    <row r="114" spans="1:69" x14ac:dyDescent="0.3">
      <c r="A114" s="2">
        <v>113</v>
      </c>
      <c r="B114" s="4" t="s">
        <v>3503</v>
      </c>
      <c r="C114" s="6" t="s">
        <v>241</v>
      </c>
      <c r="D114" s="6"/>
      <c r="E114" s="6" t="s">
        <v>73</v>
      </c>
      <c r="F114" s="6" t="s">
        <v>73</v>
      </c>
      <c r="G114" s="6" t="s">
        <v>73</v>
      </c>
      <c r="H114" s="6"/>
      <c r="I114" s="2"/>
      <c r="J114" s="2"/>
      <c r="K114" s="6">
        <v>800152</v>
      </c>
      <c r="L114" s="6"/>
      <c r="M114" s="6">
        <v>25077450515</v>
      </c>
      <c r="N114" s="46" t="s">
        <v>3502</v>
      </c>
      <c r="O114" s="6">
        <v>474223465</v>
      </c>
      <c r="P114" s="78" t="s">
        <v>3501</v>
      </c>
      <c r="Q114" s="6">
        <v>10489</v>
      </c>
      <c r="R114" s="6">
        <v>27489</v>
      </c>
      <c r="S114" s="5" t="str">
        <f>VLOOKUP(T114,'[1]Kode Posisi'!$A$3:$B$45,2,)</f>
        <v>Outsourcing Keamanan</v>
      </c>
      <c r="T114" s="36" t="s">
        <v>37</v>
      </c>
      <c r="U114" s="44" t="s">
        <v>1085</v>
      </c>
      <c r="V114" s="44" t="s">
        <v>3500</v>
      </c>
      <c r="W114" s="36" t="s">
        <v>1083</v>
      </c>
      <c r="X114" s="36" t="s">
        <v>1082</v>
      </c>
      <c r="Y114" s="36" t="s">
        <v>52</v>
      </c>
      <c r="Z114" s="79" t="s">
        <v>3499</v>
      </c>
      <c r="AA114" s="36" t="s">
        <v>3498</v>
      </c>
      <c r="AB114" s="47">
        <v>5248000</v>
      </c>
      <c r="AC114" s="41">
        <v>5248000</v>
      </c>
      <c r="AD114" s="47">
        <v>4975000</v>
      </c>
      <c r="AE114" s="16">
        <f t="shared" si="58"/>
        <v>273000</v>
      </c>
      <c r="AF114" s="16">
        <v>0</v>
      </c>
      <c r="AG114" s="16">
        <v>0</v>
      </c>
      <c r="AH114" s="16"/>
      <c r="AI114" s="16">
        <v>0</v>
      </c>
      <c r="AJ114" s="16"/>
      <c r="AK114" s="16">
        <v>0</v>
      </c>
      <c r="AL114" s="11">
        <f t="shared" si="32"/>
        <v>5248000</v>
      </c>
      <c r="AM114" s="16">
        <f t="shared" si="33"/>
        <v>537395.19999999995</v>
      </c>
      <c r="AN114" s="16">
        <f t="shared" si="34"/>
        <v>209920</v>
      </c>
      <c r="AO114" s="16">
        <f t="shared" si="60"/>
        <v>327475.20000000001</v>
      </c>
      <c r="AP114" s="16">
        <f t="shared" si="35"/>
        <v>194176</v>
      </c>
      <c r="AQ114" s="16">
        <f t="shared" si="36"/>
        <v>5785395.2000000002</v>
      </c>
      <c r="AR114" s="16">
        <f t="shared" si="59"/>
        <v>347123.712</v>
      </c>
      <c r="AS114" s="16">
        <f t="shared" si="37"/>
        <v>38183.608319999999</v>
      </c>
      <c r="AT114" s="16">
        <f t="shared" si="38"/>
        <v>-6942.4742400000005</v>
      </c>
      <c r="AU114" s="16">
        <f t="shared" si="39"/>
        <v>6125576.4377600001</v>
      </c>
      <c r="AV114" s="16">
        <f t="shared" si="40"/>
        <v>6132518.9120000005</v>
      </c>
      <c r="AW114" s="16">
        <f t="shared" si="41"/>
        <v>209920</v>
      </c>
      <c r="AX114" s="16" t="s">
        <v>243</v>
      </c>
      <c r="AY114" s="17"/>
      <c r="AZ114" s="17">
        <f t="shared" si="42"/>
        <v>0</v>
      </c>
      <c r="BA114" s="16">
        <f t="shared" si="43"/>
        <v>5038080</v>
      </c>
      <c r="BB114" s="16">
        <f t="shared" si="44"/>
        <v>5038080</v>
      </c>
      <c r="BC114" s="15">
        <v>0.03</v>
      </c>
      <c r="BD114" s="15">
        <v>0.01</v>
      </c>
      <c r="BE114" s="37">
        <f t="shared" si="45"/>
        <v>484915.19999999995</v>
      </c>
      <c r="BF114" s="38">
        <f t="shared" si="46"/>
        <v>299136</v>
      </c>
      <c r="BG114" s="37">
        <f t="shared" si="50"/>
        <v>248750</v>
      </c>
      <c r="BH114" s="37">
        <f t="shared" si="47"/>
        <v>262400</v>
      </c>
      <c r="BI114">
        <v>248750</v>
      </c>
      <c r="BL114" s="8">
        <f t="shared" si="48"/>
        <v>0</v>
      </c>
      <c r="BM114" s="7" t="str">
        <f t="shared" si="55"/>
        <v>Terdaftar BPJS Kes &amp; Naker</v>
      </c>
      <c r="BN114" s="11">
        <f t="shared" si="56"/>
        <v>299136</v>
      </c>
      <c r="BO114" s="11">
        <f t="shared" si="57"/>
        <v>238259.20000000001</v>
      </c>
      <c r="BP114" s="9">
        <f t="shared" si="49"/>
        <v>0</v>
      </c>
      <c r="BQ114" t="str">
        <f>_xlfn.XLOOKUP(X114,'[2]NON TETAP'!$H:$H,'[2]NON TETAP'!$I:$I)</f>
        <v>GRAMEDIA ASRI MEDIA</v>
      </c>
    </row>
    <row r="115" spans="1:69" x14ac:dyDescent="0.3">
      <c r="A115" s="2">
        <v>114</v>
      </c>
      <c r="B115" s="4" t="s">
        <v>3493</v>
      </c>
      <c r="C115" s="6" t="s">
        <v>241</v>
      </c>
      <c r="D115" s="6"/>
      <c r="E115" s="6" t="s">
        <v>73</v>
      </c>
      <c r="F115" s="6" t="s">
        <v>73</v>
      </c>
      <c r="G115" s="6" t="s">
        <v>73</v>
      </c>
      <c r="H115" s="6"/>
      <c r="I115" s="2"/>
      <c r="J115" s="2"/>
      <c r="K115" s="6">
        <v>800153</v>
      </c>
      <c r="L115" s="6"/>
      <c r="M115" s="6">
        <v>25077450523</v>
      </c>
      <c r="N115" s="46" t="s">
        <v>3497</v>
      </c>
      <c r="O115" s="6">
        <v>1644500092</v>
      </c>
      <c r="P115" s="78" t="s">
        <v>3496</v>
      </c>
      <c r="Q115" s="6">
        <v>10489</v>
      </c>
      <c r="R115" s="6">
        <v>27489</v>
      </c>
      <c r="S115" s="5" t="str">
        <f>VLOOKUP(T115,'[1]Kode Posisi'!$A$3:$B$45,2,)</f>
        <v>Outsourcing Keamanan</v>
      </c>
      <c r="T115" s="36" t="s">
        <v>37</v>
      </c>
      <c r="U115" s="44" t="s">
        <v>1085</v>
      </c>
      <c r="V115" s="44" t="s">
        <v>3495</v>
      </c>
      <c r="W115" s="36" t="s">
        <v>1083</v>
      </c>
      <c r="X115" s="36" t="s">
        <v>1082</v>
      </c>
      <c r="Y115" s="36" t="s">
        <v>52</v>
      </c>
      <c r="Z115" s="79" t="s">
        <v>3494</v>
      </c>
      <c r="AA115" s="36" t="s">
        <v>3493</v>
      </c>
      <c r="AB115" s="47">
        <v>5248000</v>
      </c>
      <c r="AC115" s="41">
        <v>5248000</v>
      </c>
      <c r="AD115" s="47">
        <v>4975000</v>
      </c>
      <c r="AE115" s="16">
        <f t="shared" si="58"/>
        <v>273000</v>
      </c>
      <c r="AF115" s="16">
        <v>0</v>
      </c>
      <c r="AG115" s="16">
        <v>0</v>
      </c>
      <c r="AH115" s="16"/>
      <c r="AI115" s="16">
        <v>0</v>
      </c>
      <c r="AJ115" s="16"/>
      <c r="AK115" s="16">
        <v>0</v>
      </c>
      <c r="AL115" s="11">
        <f t="shared" si="32"/>
        <v>5248000</v>
      </c>
      <c r="AM115" s="16">
        <f t="shared" si="33"/>
        <v>537395.19999999995</v>
      </c>
      <c r="AN115" s="16">
        <f t="shared" si="34"/>
        <v>209920</v>
      </c>
      <c r="AO115" s="16">
        <f t="shared" si="60"/>
        <v>327475.20000000001</v>
      </c>
      <c r="AP115" s="16">
        <f t="shared" si="35"/>
        <v>194176</v>
      </c>
      <c r="AQ115" s="16">
        <f t="shared" si="36"/>
        <v>5785395.2000000002</v>
      </c>
      <c r="AR115" s="16">
        <f t="shared" si="59"/>
        <v>347123.712</v>
      </c>
      <c r="AS115" s="16">
        <f t="shared" si="37"/>
        <v>38183.608319999999</v>
      </c>
      <c r="AT115" s="16">
        <f t="shared" si="38"/>
        <v>-6942.4742400000005</v>
      </c>
      <c r="AU115" s="16">
        <f t="shared" si="39"/>
        <v>6125576.4377600001</v>
      </c>
      <c r="AV115" s="16">
        <f t="shared" si="40"/>
        <v>6132518.9120000005</v>
      </c>
      <c r="AW115" s="16">
        <f t="shared" si="41"/>
        <v>209920</v>
      </c>
      <c r="AX115" s="16" t="s">
        <v>319</v>
      </c>
      <c r="AY115" s="17"/>
      <c r="AZ115" s="17">
        <f t="shared" si="42"/>
        <v>0</v>
      </c>
      <c r="BA115" s="16">
        <f t="shared" si="43"/>
        <v>5038080</v>
      </c>
      <c r="BB115" s="16">
        <f t="shared" si="44"/>
        <v>5038080</v>
      </c>
      <c r="BC115" s="15">
        <v>0.03</v>
      </c>
      <c r="BD115" s="15">
        <v>0.01</v>
      </c>
      <c r="BE115" s="37">
        <f t="shared" si="45"/>
        <v>484915.19999999995</v>
      </c>
      <c r="BF115" s="38">
        <f t="shared" si="46"/>
        <v>299136</v>
      </c>
      <c r="BG115" s="37">
        <f t="shared" si="50"/>
        <v>248750</v>
      </c>
      <c r="BH115" s="37">
        <f t="shared" si="47"/>
        <v>262400</v>
      </c>
      <c r="BI115">
        <v>248750</v>
      </c>
      <c r="BL115" s="8">
        <f t="shared" si="48"/>
        <v>0</v>
      </c>
      <c r="BM115" s="7" t="str">
        <f t="shared" si="55"/>
        <v>Terdaftar BPJS Kes &amp; Naker</v>
      </c>
      <c r="BN115" s="11">
        <f t="shared" si="56"/>
        <v>299136</v>
      </c>
      <c r="BO115" s="11">
        <f t="shared" si="57"/>
        <v>238259.20000000001</v>
      </c>
      <c r="BP115" s="9">
        <f t="shared" si="49"/>
        <v>0</v>
      </c>
      <c r="BQ115" t="str">
        <f>_xlfn.XLOOKUP(X115,'[2]NON TETAP'!$H:$H,'[2]NON TETAP'!$I:$I)</f>
        <v>GRAMEDIA ASRI MEDIA</v>
      </c>
    </row>
    <row r="116" spans="1:69" x14ac:dyDescent="0.3">
      <c r="A116" s="2">
        <v>115</v>
      </c>
      <c r="B116" s="4" t="s">
        <v>3487</v>
      </c>
      <c r="C116" s="6" t="s">
        <v>241</v>
      </c>
      <c r="D116" s="6"/>
      <c r="E116" s="6" t="s">
        <v>73</v>
      </c>
      <c r="F116" s="6" t="s">
        <v>73</v>
      </c>
      <c r="G116" s="6" t="s">
        <v>73</v>
      </c>
      <c r="H116" s="6"/>
      <c r="I116" s="2"/>
      <c r="J116" s="2"/>
      <c r="K116" s="6">
        <v>800154</v>
      </c>
      <c r="L116" s="6"/>
      <c r="M116" s="6" t="s">
        <v>3492</v>
      </c>
      <c r="N116" s="46" t="s">
        <v>3491</v>
      </c>
      <c r="O116" s="6">
        <v>1625934003</v>
      </c>
      <c r="P116" s="78" t="s">
        <v>3490</v>
      </c>
      <c r="Q116" s="6">
        <v>10489</v>
      </c>
      <c r="R116" s="6">
        <v>27489</v>
      </c>
      <c r="S116" s="5" t="str">
        <f>VLOOKUP(T116,'[1]Kode Posisi'!$A$3:$B$45,2,)</f>
        <v>Outsourcing Keamanan</v>
      </c>
      <c r="T116" s="36" t="s">
        <v>37</v>
      </c>
      <c r="U116" s="44" t="s">
        <v>1085</v>
      </c>
      <c r="V116" s="44" t="s">
        <v>3489</v>
      </c>
      <c r="W116" s="36" t="s">
        <v>1083</v>
      </c>
      <c r="X116" s="36" t="s">
        <v>1082</v>
      </c>
      <c r="Y116" s="36" t="s">
        <v>52</v>
      </c>
      <c r="Z116" s="79" t="s">
        <v>3488</v>
      </c>
      <c r="AA116" s="36" t="s">
        <v>3487</v>
      </c>
      <c r="AB116" s="47">
        <v>5248000</v>
      </c>
      <c r="AC116" s="41">
        <v>5248000</v>
      </c>
      <c r="AD116" s="47">
        <v>4975000</v>
      </c>
      <c r="AE116" s="16">
        <f t="shared" si="58"/>
        <v>273000</v>
      </c>
      <c r="AF116" s="16">
        <v>0</v>
      </c>
      <c r="AG116" s="16">
        <v>0</v>
      </c>
      <c r="AH116" s="16"/>
      <c r="AI116" s="16">
        <v>0</v>
      </c>
      <c r="AJ116" s="16"/>
      <c r="AK116" s="16">
        <v>0</v>
      </c>
      <c r="AL116" s="11">
        <f t="shared" si="32"/>
        <v>5248000</v>
      </c>
      <c r="AM116" s="16">
        <f t="shared" si="33"/>
        <v>537395.19999999995</v>
      </c>
      <c r="AN116" s="16">
        <f t="shared" si="34"/>
        <v>209920</v>
      </c>
      <c r="AO116" s="16">
        <f t="shared" si="60"/>
        <v>327475.20000000001</v>
      </c>
      <c r="AP116" s="16">
        <f t="shared" si="35"/>
        <v>194176</v>
      </c>
      <c r="AQ116" s="16">
        <f t="shared" si="36"/>
        <v>5785395.2000000002</v>
      </c>
      <c r="AR116" s="16">
        <f t="shared" si="59"/>
        <v>347123.712</v>
      </c>
      <c r="AS116" s="16">
        <f t="shared" si="37"/>
        <v>38183.608319999999</v>
      </c>
      <c r="AT116" s="16">
        <f t="shared" si="38"/>
        <v>-6942.4742400000005</v>
      </c>
      <c r="AU116" s="16">
        <f t="shared" si="39"/>
        <v>6125576.4377600001</v>
      </c>
      <c r="AV116" s="16">
        <f t="shared" si="40"/>
        <v>6132518.9120000005</v>
      </c>
      <c r="AW116" s="16">
        <f t="shared" si="41"/>
        <v>209920</v>
      </c>
      <c r="AX116" s="16" t="s">
        <v>235</v>
      </c>
      <c r="AY116" s="17"/>
      <c r="AZ116" s="17">
        <f t="shared" si="42"/>
        <v>0</v>
      </c>
      <c r="BA116" s="16">
        <f t="shared" si="43"/>
        <v>5038080</v>
      </c>
      <c r="BB116" s="16">
        <f t="shared" si="44"/>
        <v>5038080</v>
      </c>
      <c r="BC116" s="15">
        <v>0.03</v>
      </c>
      <c r="BD116" s="15">
        <v>0.01</v>
      </c>
      <c r="BE116" s="37">
        <f t="shared" si="45"/>
        <v>484915.19999999995</v>
      </c>
      <c r="BF116" s="38">
        <f t="shared" si="46"/>
        <v>299136</v>
      </c>
      <c r="BG116" s="37">
        <f t="shared" si="50"/>
        <v>248750</v>
      </c>
      <c r="BH116" s="37">
        <f t="shared" si="47"/>
        <v>262400</v>
      </c>
      <c r="BI116">
        <v>248750</v>
      </c>
      <c r="BL116" s="8">
        <f t="shared" si="48"/>
        <v>0</v>
      </c>
      <c r="BM116" s="7" t="str">
        <f t="shared" si="55"/>
        <v>Terdaftar BPJS Kes &amp; Naker</v>
      </c>
      <c r="BN116" s="11">
        <f t="shared" si="56"/>
        <v>299136</v>
      </c>
      <c r="BO116" s="11">
        <f t="shared" si="57"/>
        <v>238259.20000000001</v>
      </c>
      <c r="BP116" s="9">
        <f t="shared" si="49"/>
        <v>0</v>
      </c>
      <c r="BQ116" t="str">
        <f>_xlfn.XLOOKUP(X116,'[2]NON TETAP'!$H:$H,'[2]NON TETAP'!$I:$I)</f>
        <v>GRAMEDIA ASRI MEDIA</v>
      </c>
    </row>
    <row r="117" spans="1:69" x14ac:dyDescent="0.3">
      <c r="A117" s="2">
        <v>116</v>
      </c>
      <c r="B117" s="4" t="s">
        <v>3482</v>
      </c>
      <c r="C117" s="6" t="s">
        <v>241</v>
      </c>
      <c r="D117" s="6"/>
      <c r="E117" s="6" t="s">
        <v>73</v>
      </c>
      <c r="F117" s="6" t="s">
        <v>73</v>
      </c>
      <c r="G117" s="6" t="s">
        <v>73</v>
      </c>
      <c r="H117" s="6"/>
      <c r="I117" s="2"/>
      <c r="J117" s="2"/>
      <c r="K117" s="6">
        <v>800156</v>
      </c>
      <c r="L117" s="6"/>
      <c r="M117" s="6">
        <v>25077450549</v>
      </c>
      <c r="N117" s="46" t="s">
        <v>3486</v>
      </c>
      <c r="O117" s="6">
        <v>2236509202</v>
      </c>
      <c r="P117" s="78" t="s">
        <v>3485</v>
      </c>
      <c r="Q117" s="6">
        <v>10489</v>
      </c>
      <c r="R117" s="6">
        <v>27489</v>
      </c>
      <c r="S117" s="5" t="str">
        <f>VLOOKUP(T117,'[1]Kode Posisi'!$A$3:$B$45,2,)</f>
        <v>Outsourcing Keamanan</v>
      </c>
      <c r="T117" s="36" t="s">
        <v>37</v>
      </c>
      <c r="U117" s="44" t="s">
        <v>1085</v>
      </c>
      <c r="V117" s="44" t="s">
        <v>3484</v>
      </c>
      <c r="W117" s="36" t="s">
        <v>1083</v>
      </c>
      <c r="X117" s="36" t="s">
        <v>1082</v>
      </c>
      <c r="Y117" s="36" t="s">
        <v>52</v>
      </c>
      <c r="Z117" s="79" t="s">
        <v>3483</v>
      </c>
      <c r="AA117" s="36" t="s">
        <v>3482</v>
      </c>
      <c r="AB117" s="47">
        <v>5248000</v>
      </c>
      <c r="AC117" s="41">
        <v>5248000</v>
      </c>
      <c r="AD117" s="47">
        <v>4975000</v>
      </c>
      <c r="AE117" s="16">
        <f t="shared" si="58"/>
        <v>273000</v>
      </c>
      <c r="AF117" s="16">
        <v>0</v>
      </c>
      <c r="AG117" s="16">
        <v>0</v>
      </c>
      <c r="AH117" s="16"/>
      <c r="AI117" s="16">
        <v>0</v>
      </c>
      <c r="AJ117" s="16"/>
      <c r="AK117" s="16">
        <v>0</v>
      </c>
      <c r="AL117" s="11">
        <f t="shared" si="32"/>
        <v>5248000</v>
      </c>
      <c r="AM117" s="16">
        <f t="shared" si="33"/>
        <v>537395.19999999995</v>
      </c>
      <c r="AN117" s="16">
        <f t="shared" si="34"/>
        <v>209920</v>
      </c>
      <c r="AO117" s="16">
        <f t="shared" si="60"/>
        <v>327475.20000000001</v>
      </c>
      <c r="AP117" s="16">
        <f t="shared" si="35"/>
        <v>194176</v>
      </c>
      <c r="AQ117" s="16">
        <f t="shared" si="36"/>
        <v>5785395.2000000002</v>
      </c>
      <c r="AR117" s="16">
        <f t="shared" si="59"/>
        <v>347123.712</v>
      </c>
      <c r="AS117" s="16">
        <f t="shared" si="37"/>
        <v>38183.608319999999</v>
      </c>
      <c r="AT117" s="16">
        <f t="shared" si="38"/>
        <v>-6942.4742400000005</v>
      </c>
      <c r="AU117" s="16">
        <f t="shared" si="39"/>
        <v>6125576.4377600001</v>
      </c>
      <c r="AV117" s="16">
        <f t="shared" si="40"/>
        <v>6132518.9120000005</v>
      </c>
      <c r="AW117" s="16">
        <f t="shared" si="41"/>
        <v>209920</v>
      </c>
      <c r="AX117" s="16" t="s">
        <v>286</v>
      </c>
      <c r="AY117" s="17"/>
      <c r="AZ117" s="17">
        <f t="shared" si="42"/>
        <v>0</v>
      </c>
      <c r="BA117" s="16">
        <f t="shared" si="43"/>
        <v>5038080</v>
      </c>
      <c r="BB117" s="16">
        <f t="shared" si="44"/>
        <v>5038080</v>
      </c>
      <c r="BC117" s="15">
        <v>0.03</v>
      </c>
      <c r="BD117" s="15">
        <v>0.01</v>
      </c>
      <c r="BE117" s="37">
        <f t="shared" si="45"/>
        <v>484915.19999999995</v>
      </c>
      <c r="BF117" s="38">
        <f t="shared" si="46"/>
        <v>299136</v>
      </c>
      <c r="BG117" s="37">
        <f t="shared" si="50"/>
        <v>248750</v>
      </c>
      <c r="BH117" s="37">
        <f t="shared" si="47"/>
        <v>262400</v>
      </c>
      <c r="BI117">
        <v>248750</v>
      </c>
      <c r="BL117" s="8">
        <f t="shared" si="48"/>
        <v>0</v>
      </c>
      <c r="BM117" s="7" t="str">
        <f t="shared" si="55"/>
        <v>Terdaftar BPJS Kes &amp; Naker</v>
      </c>
      <c r="BN117" s="11">
        <f t="shared" si="56"/>
        <v>299136</v>
      </c>
      <c r="BO117" s="11">
        <f t="shared" si="57"/>
        <v>238259.20000000001</v>
      </c>
      <c r="BP117" s="9">
        <f t="shared" si="49"/>
        <v>0</v>
      </c>
      <c r="BQ117" t="str">
        <f>_xlfn.XLOOKUP(X117,'[2]NON TETAP'!$H:$H,'[2]NON TETAP'!$I:$I)</f>
        <v>GRAMEDIA ASRI MEDIA</v>
      </c>
    </row>
    <row r="118" spans="1:69" x14ac:dyDescent="0.3">
      <c r="A118" s="2">
        <v>117</v>
      </c>
      <c r="B118" s="4" t="s">
        <v>3481</v>
      </c>
      <c r="C118" s="6" t="s">
        <v>241</v>
      </c>
      <c r="D118" s="6"/>
      <c r="E118" s="6" t="s">
        <v>73</v>
      </c>
      <c r="F118" s="6" t="s">
        <v>73</v>
      </c>
      <c r="G118" s="6" t="s">
        <v>73</v>
      </c>
      <c r="H118" s="6"/>
      <c r="I118" s="2"/>
      <c r="J118" s="2"/>
      <c r="K118" s="6">
        <v>800158</v>
      </c>
      <c r="L118" s="6"/>
      <c r="M118" s="6">
        <v>25077450556</v>
      </c>
      <c r="N118" s="46" t="s">
        <v>3480</v>
      </c>
      <c r="O118" s="6">
        <v>1370477373</v>
      </c>
      <c r="P118" s="78" t="s">
        <v>3479</v>
      </c>
      <c r="Q118" s="6">
        <v>10390</v>
      </c>
      <c r="R118" s="6">
        <v>27390</v>
      </c>
      <c r="S118" s="5" t="str">
        <f>VLOOKUP(T118,'[1]Kode Posisi'!$A$3:$B$45,2,)</f>
        <v>Outsourcing Keamanan</v>
      </c>
      <c r="T118" s="36" t="s">
        <v>37</v>
      </c>
      <c r="U118" s="44" t="s">
        <v>1893</v>
      </c>
      <c r="V118" s="44" t="s">
        <v>3478</v>
      </c>
      <c r="W118" s="36" t="s">
        <v>1891</v>
      </c>
      <c r="X118" s="36" t="s">
        <v>1890</v>
      </c>
      <c r="Y118" s="36" t="s">
        <v>52</v>
      </c>
      <c r="Z118" s="79" t="s">
        <v>3477</v>
      </c>
      <c r="AA118" s="36" t="s">
        <v>3476</v>
      </c>
      <c r="AB118" s="47">
        <v>5248000</v>
      </c>
      <c r="AC118" s="41">
        <v>5248000</v>
      </c>
      <c r="AD118" s="47">
        <v>4975000</v>
      </c>
      <c r="AE118" s="16">
        <f t="shared" si="58"/>
        <v>273000</v>
      </c>
      <c r="AF118" s="16">
        <v>0</v>
      </c>
      <c r="AG118" s="16">
        <v>0</v>
      </c>
      <c r="AH118" s="16"/>
      <c r="AI118" s="16">
        <v>0</v>
      </c>
      <c r="AJ118" s="16"/>
      <c r="AK118" s="16">
        <v>0</v>
      </c>
      <c r="AL118" s="11">
        <f t="shared" si="32"/>
        <v>5248000</v>
      </c>
      <c r="AM118" s="16">
        <f t="shared" si="33"/>
        <v>537395.19999999995</v>
      </c>
      <c r="AN118" s="16">
        <f t="shared" si="34"/>
        <v>209920</v>
      </c>
      <c r="AO118" s="16">
        <f t="shared" si="60"/>
        <v>327475.20000000001</v>
      </c>
      <c r="AP118" s="16">
        <f t="shared" si="35"/>
        <v>194176</v>
      </c>
      <c r="AQ118" s="16">
        <f t="shared" si="36"/>
        <v>5785395.2000000002</v>
      </c>
      <c r="AR118" s="16">
        <f t="shared" si="59"/>
        <v>347123.712</v>
      </c>
      <c r="AS118" s="16">
        <f t="shared" si="37"/>
        <v>38183.608319999999</v>
      </c>
      <c r="AT118" s="16">
        <f t="shared" si="38"/>
        <v>-6942.4742400000005</v>
      </c>
      <c r="AU118" s="16">
        <f t="shared" si="39"/>
        <v>6125576.4377600001</v>
      </c>
      <c r="AV118" s="16">
        <f t="shared" si="40"/>
        <v>6132518.9120000005</v>
      </c>
      <c r="AW118" s="16">
        <f t="shared" si="41"/>
        <v>209920</v>
      </c>
      <c r="AX118" s="16" t="s">
        <v>243</v>
      </c>
      <c r="AY118" s="17"/>
      <c r="AZ118" s="17">
        <f t="shared" si="42"/>
        <v>0</v>
      </c>
      <c r="BA118" s="16">
        <f t="shared" si="43"/>
        <v>5038080</v>
      </c>
      <c r="BB118" s="16">
        <f t="shared" si="44"/>
        <v>5038080</v>
      </c>
      <c r="BC118" s="15">
        <v>0.03</v>
      </c>
      <c r="BD118" s="15">
        <v>0.01</v>
      </c>
      <c r="BE118" s="37">
        <f t="shared" si="45"/>
        <v>484915.19999999995</v>
      </c>
      <c r="BF118" s="38">
        <f t="shared" si="46"/>
        <v>299136</v>
      </c>
      <c r="BG118" s="37">
        <f t="shared" si="50"/>
        <v>248750</v>
      </c>
      <c r="BH118" s="37">
        <f t="shared" si="47"/>
        <v>262400</v>
      </c>
      <c r="BI118">
        <v>248750</v>
      </c>
      <c r="BL118" s="8">
        <f t="shared" si="48"/>
        <v>0</v>
      </c>
      <c r="BM118" s="7" t="str">
        <f t="shared" si="55"/>
        <v>Terdaftar BPJS Kes &amp; Naker</v>
      </c>
      <c r="BN118" s="11">
        <f t="shared" si="56"/>
        <v>299136</v>
      </c>
      <c r="BO118" s="11">
        <f t="shared" si="57"/>
        <v>238259.20000000001</v>
      </c>
      <c r="BP118" s="9">
        <f t="shared" si="49"/>
        <v>0</v>
      </c>
      <c r="BQ118" t="str">
        <f>_xlfn.XLOOKUP(X118,'[2]NON TETAP'!$H:$H,'[2]NON TETAP'!$I:$I)</f>
        <v>GRAMEDIA ASRI MEDIA</v>
      </c>
    </row>
    <row r="119" spans="1:69" x14ac:dyDescent="0.3">
      <c r="A119" s="2">
        <v>118</v>
      </c>
      <c r="B119" s="4" t="s">
        <v>3475</v>
      </c>
      <c r="C119" s="6" t="s">
        <v>241</v>
      </c>
      <c r="D119" s="6"/>
      <c r="E119" s="6" t="s">
        <v>73</v>
      </c>
      <c r="F119" s="6" t="s">
        <v>73</v>
      </c>
      <c r="G119" s="6" t="s">
        <v>73</v>
      </c>
      <c r="H119" s="6"/>
      <c r="I119" s="2"/>
      <c r="J119" s="2"/>
      <c r="K119" s="6">
        <v>800159</v>
      </c>
      <c r="L119" s="6"/>
      <c r="M119" s="6">
        <v>25077450564</v>
      </c>
      <c r="N119" s="46" t="s">
        <v>3474</v>
      </c>
      <c r="O119" s="6">
        <v>1369445242</v>
      </c>
      <c r="P119" s="78" t="s">
        <v>3473</v>
      </c>
      <c r="Q119" s="6">
        <v>10390</v>
      </c>
      <c r="R119" s="6">
        <v>27390</v>
      </c>
      <c r="S119" s="5" t="str">
        <f>VLOOKUP(T119,'[1]Kode Posisi'!$A$3:$B$45,2,)</f>
        <v>Outsourcing Keamanan</v>
      </c>
      <c r="T119" s="36" t="s">
        <v>37</v>
      </c>
      <c r="U119" s="44" t="s">
        <v>1893</v>
      </c>
      <c r="V119" s="44" t="s">
        <v>3472</v>
      </c>
      <c r="W119" s="36" t="s">
        <v>1891</v>
      </c>
      <c r="X119" s="36" t="s">
        <v>1890</v>
      </c>
      <c r="Y119" s="36" t="s">
        <v>473</v>
      </c>
      <c r="Z119" s="79" t="s">
        <v>3471</v>
      </c>
      <c r="AA119" s="36" t="s">
        <v>3470</v>
      </c>
      <c r="AB119" s="47">
        <v>5248000</v>
      </c>
      <c r="AC119" s="41">
        <v>5248000</v>
      </c>
      <c r="AD119" s="47">
        <v>4975000</v>
      </c>
      <c r="AE119" s="16">
        <f t="shared" si="58"/>
        <v>273000</v>
      </c>
      <c r="AF119" s="16">
        <v>0</v>
      </c>
      <c r="AG119" s="16">
        <v>0</v>
      </c>
      <c r="AH119" s="16"/>
      <c r="AI119" s="16">
        <v>0</v>
      </c>
      <c r="AJ119" s="16"/>
      <c r="AK119" s="16">
        <v>0</v>
      </c>
      <c r="AL119" s="11">
        <f t="shared" si="32"/>
        <v>5248000</v>
      </c>
      <c r="AM119" s="16">
        <f t="shared" si="33"/>
        <v>537395.19999999995</v>
      </c>
      <c r="AN119" s="16">
        <f t="shared" si="34"/>
        <v>209920</v>
      </c>
      <c r="AO119" s="16">
        <f t="shared" si="60"/>
        <v>327475.20000000001</v>
      </c>
      <c r="AP119" s="16">
        <f t="shared" si="35"/>
        <v>194176</v>
      </c>
      <c r="AQ119" s="16">
        <f t="shared" si="36"/>
        <v>5785395.2000000002</v>
      </c>
      <c r="AR119" s="16">
        <f t="shared" si="59"/>
        <v>347123.712</v>
      </c>
      <c r="AS119" s="16">
        <f t="shared" si="37"/>
        <v>38183.608319999999</v>
      </c>
      <c r="AT119" s="16">
        <f t="shared" si="38"/>
        <v>-6942.4742400000005</v>
      </c>
      <c r="AU119" s="16">
        <f t="shared" si="39"/>
        <v>6125576.4377600001</v>
      </c>
      <c r="AV119" s="16">
        <f t="shared" si="40"/>
        <v>6132518.9120000005</v>
      </c>
      <c r="AW119" s="16">
        <f t="shared" si="41"/>
        <v>209920</v>
      </c>
      <c r="AX119" s="16" t="s">
        <v>243</v>
      </c>
      <c r="AY119" s="17"/>
      <c r="AZ119" s="17">
        <f t="shared" si="42"/>
        <v>2900</v>
      </c>
      <c r="BA119" s="16">
        <f t="shared" si="43"/>
        <v>5038080</v>
      </c>
      <c r="BB119" s="16">
        <f t="shared" si="44"/>
        <v>5035180</v>
      </c>
      <c r="BC119" s="15">
        <v>0.03</v>
      </c>
      <c r="BD119" s="15">
        <v>0.01</v>
      </c>
      <c r="BE119" s="37">
        <f t="shared" si="45"/>
        <v>484915.19999999995</v>
      </c>
      <c r="BF119" s="38">
        <f t="shared" si="46"/>
        <v>299136</v>
      </c>
      <c r="BG119" s="37">
        <f t="shared" si="50"/>
        <v>248750</v>
      </c>
      <c r="BH119" s="37">
        <f t="shared" si="47"/>
        <v>262400</v>
      </c>
      <c r="BI119">
        <v>248750</v>
      </c>
      <c r="BL119" s="8">
        <f t="shared" si="48"/>
        <v>0</v>
      </c>
      <c r="BM119" s="7" t="str">
        <f t="shared" si="55"/>
        <v>Terdaftar BPJS Kes &amp; Naker</v>
      </c>
      <c r="BN119" s="11">
        <f t="shared" si="56"/>
        <v>299136</v>
      </c>
      <c r="BO119" s="11">
        <f t="shared" si="57"/>
        <v>238259.20000000001</v>
      </c>
      <c r="BP119" s="9">
        <f t="shared" si="49"/>
        <v>0</v>
      </c>
      <c r="BQ119" t="str">
        <f>_xlfn.XLOOKUP(X119,'[2]NON TETAP'!$H:$H,'[2]NON TETAP'!$I:$I)</f>
        <v>GRAMEDIA ASRI MEDIA</v>
      </c>
    </row>
    <row r="120" spans="1:69" x14ac:dyDescent="0.3">
      <c r="A120" s="2">
        <v>119</v>
      </c>
      <c r="B120" s="4" t="s">
        <v>3465</v>
      </c>
      <c r="C120" s="6" t="s">
        <v>241</v>
      </c>
      <c r="D120" s="6"/>
      <c r="E120" s="6" t="s">
        <v>73</v>
      </c>
      <c r="F120" s="6" t="s">
        <v>73</v>
      </c>
      <c r="G120" s="6" t="s">
        <v>73</v>
      </c>
      <c r="H120" s="6"/>
      <c r="I120" s="2"/>
      <c r="J120" s="2"/>
      <c r="K120" s="6">
        <v>800160</v>
      </c>
      <c r="L120" s="6"/>
      <c r="M120" s="6">
        <v>25077450572</v>
      </c>
      <c r="N120" s="46" t="s">
        <v>3469</v>
      </c>
      <c r="O120" s="6">
        <v>1328312035</v>
      </c>
      <c r="P120" s="78" t="s">
        <v>3468</v>
      </c>
      <c r="Q120" s="6">
        <v>10390</v>
      </c>
      <c r="R120" s="6">
        <v>27390</v>
      </c>
      <c r="S120" s="5" t="str">
        <f>VLOOKUP(T120,'[1]Kode Posisi'!$A$3:$B$45,2,)</f>
        <v>Outsourcing Keamanan</v>
      </c>
      <c r="T120" s="36" t="s">
        <v>37</v>
      </c>
      <c r="U120" s="44" t="s">
        <v>1893</v>
      </c>
      <c r="V120" s="44" t="s">
        <v>3467</v>
      </c>
      <c r="W120" s="36" t="s">
        <v>1891</v>
      </c>
      <c r="X120" s="36" t="s">
        <v>1890</v>
      </c>
      <c r="Y120" s="36" t="s">
        <v>473</v>
      </c>
      <c r="Z120" s="79" t="s">
        <v>3466</v>
      </c>
      <c r="AA120" s="36" t="s">
        <v>3465</v>
      </c>
      <c r="AB120" s="47">
        <v>5248000</v>
      </c>
      <c r="AC120" s="41">
        <v>5248000</v>
      </c>
      <c r="AD120" s="47">
        <v>4975000</v>
      </c>
      <c r="AE120" s="16">
        <f t="shared" si="58"/>
        <v>273000</v>
      </c>
      <c r="AF120" s="16">
        <v>0</v>
      </c>
      <c r="AG120" s="16">
        <v>0</v>
      </c>
      <c r="AH120" s="16"/>
      <c r="AI120" s="16">
        <v>0</v>
      </c>
      <c r="AJ120" s="16"/>
      <c r="AK120" s="16">
        <v>0</v>
      </c>
      <c r="AL120" s="11">
        <f t="shared" si="32"/>
        <v>5248000</v>
      </c>
      <c r="AM120" s="16">
        <f t="shared" si="33"/>
        <v>537395.19999999995</v>
      </c>
      <c r="AN120" s="16">
        <f t="shared" si="34"/>
        <v>209920</v>
      </c>
      <c r="AO120" s="16">
        <f t="shared" si="60"/>
        <v>327475.20000000001</v>
      </c>
      <c r="AP120" s="16">
        <f t="shared" si="35"/>
        <v>194176</v>
      </c>
      <c r="AQ120" s="16">
        <f t="shared" si="36"/>
        <v>5785395.2000000002</v>
      </c>
      <c r="AR120" s="16">
        <f t="shared" si="59"/>
        <v>347123.712</v>
      </c>
      <c r="AS120" s="16">
        <f t="shared" si="37"/>
        <v>38183.608319999999</v>
      </c>
      <c r="AT120" s="16">
        <f t="shared" si="38"/>
        <v>-6942.4742400000005</v>
      </c>
      <c r="AU120" s="16">
        <f t="shared" si="39"/>
        <v>6125576.4377600001</v>
      </c>
      <c r="AV120" s="16">
        <f t="shared" si="40"/>
        <v>6132518.9120000005</v>
      </c>
      <c r="AW120" s="16">
        <f t="shared" si="41"/>
        <v>209920</v>
      </c>
      <c r="AX120" s="16" t="s">
        <v>319</v>
      </c>
      <c r="AY120" s="17"/>
      <c r="AZ120" s="17">
        <f t="shared" si="42"/>
        <v>2900</v>
      </c>
      <c r="BA120" s="16">
        <f t="shared" si="43"/>
        <v>5038080</v>
      </c>
      <c r="BB120" s="16">
        <f t="shared" si="44"/>
        <v>5035180</v>
      </c>
      <c r="BC120" s="15">
        <v>0.03</v>
      </c>
      <c r="BD120" s="15">
        <v>0.01</v>
      </c>
      <c r="BE120" s="37">
        <f t="shared" si="45"/>
        <v>484915.19999999995</v>
      </c>
      <c r="BF120" s="38">
        <f t="shared" si="46"/>
        <v>299136</v>
      </c>
      <c r="BG120" s="37">
        <f t="shared" si="50"/>
        <v>248750</v>
      </c>
      <c r="BH120" s="37">
        <f t="shared" si="47"/>
        <v>262400</v>
      </c>
      <c r="BI120">
        <v>248750</v>
      </c>
      <c r="BL120" s="8">
        <f t="shared" si="48"/>
        <v>0</v>
      </c>
      <c r="BM120" s="7" t="str">
        <f t="shared" si="55"/>
        <v>Terdaftar BPJS Kes &amp; Naker</v>
      </c>
      <c r="BN120" s="11">
        <f t="shared" si="56"/>
        <v>299136</v>
      </c>
      <c r="BO120" s="11">
        <f t="shared" si="57"/>
        <v>238259.20000000001</v>
      </c>
      <c r="BP120" s="9">
        <f t="shared" si="49"/>
        <v>0</v>
      </c>
      <c r="BQ120" t="str">
        <f>_xlfn.XLOOKUP(X120,'[2]NON TETAP'!$H:$H,'[2]NON TETAP'!$I:$I)</f>
        <v>GRAMEDIA ASRI MEDIA</v>
      </c>
    </row>
    <row r="121" spans="1:69" x14ac:dyDescent="0.3">
      <c r="A121" s="2">
        <v>120</v>
      </c>
      <c r="B121" s="5" t="s">
        <v>3460</v>
      </c>
      <c r="C121" s="6" t="s">
        <v>241</v>
      </c>
      <c r="D121" s="6"/>
      <c r="E121" s="6" t="s">
        <v>73</v>
      </c>
      <c r="F121" s="6" t="s">
        <v>73</v>
      </c>
      <c r="G121" s="6" t="s">
        <v>73</v>
      </c>
      <c r="H121" s="6"/>
      <c r="I121" s="6"/>
      <c r="J121" s="6"/>
      <c r="K121" s="6">
        <v>800161</v>
      </c>
      <c r="L121" s="6"/>
      <c r="M121" s="6">
        <v>25005279408</v>
      </c>
      <c r="N121" s="46" t="s">
        <v>3464</v>
      </c>
      <c r="O121" s="6">
        <v>1814257539</v>
      </c>
      <c r="P121" s="78" t="s">
        <v>3463</v>
      </c>
      <c r="Q121" s="6">
        <v>10164</v>
      </c>
      <c r="R121" s="6">
        <v>27164</v>
      </c>
      <c r="S121" s="5" t="str">
        <f>VLOOKUP(T121,'[1]Kode Posisi'!$A$3:$B$45,2,)</f>
        <v>Outsourcing Keamanan</v>
      </c>
      <c r="T121" s="36" t="s">
        <v>37</v>
      </c>
      <c r="U121" s="44" t="s">
        <v>1124</v>
      </c>
      <c r="V121" s="44" t="s">
        <v>3462</v>
      </c>
      <c r="W121" s="5" t="s">
        <v>54</v>
      </c>
      <c r="X121" s="36" t="s">
        <v>53</v>
      </c>
      <c r="Y121" s="36" t="s">
        <v>1294</v>
      </c>
      <c r="Z121" s="79" t="s">
        <v>3461</v>
      </c>
      <c r="AA121" s="36" t="s">
        <v>3460</v>
      </c>
      <c r="AB121" s="47">
        <v>3857000</v>
      </c>
      <c r="AC121" s="41">
        <v>3857000</v>
      </c>
      <c r="AD121" s="47">
        <v>3702000</v>
      </c>
      <c r="AE121" s="16">
        <f t="shared" si="58"/>
        <v>155000</v>
      </c>
      <c r="AF121" s="16">
        <v>0</v>
      </c>
      <c r="AG121" s="16">
        <v>0</v>
      </c>
      <c r="AH121" s="16"/>
      <c r="AI121" s="16">
        <v>0</v>
      </c>
      <c r="AJ121" s="16"/>
      <c r="AK121" s="16">
        <v>0</v>
      </c>
      <c r="AL121" s="11">
        <f t="shared" si="32"/>
        <v>3857000</v>
      </c>
      <c r="AM121" s="16">
        <f t="shared" si="33"/>
        <v>394956.79999999999</v>
      </c>
      <c r="AN121" s="16">
        <f t="shared" si="34"/>
        <v>154280</v>
      </c>
      <c r="AO121" s="16">
        <f t="shared" si="60"/>
        <v>240676.8</v>
      </c>
      <c r="AP121" s="16">
        <f t="shared" si="35"/>
        <v>142709</v>
      </c>
      <c r="AQ121" s="16">
        <f t="shared" si="36"/>
        <v>4251956.8</v>
      </c>
      <c r="AR121" s="16">
        <f t="shared" si="59"/>
        <v>255117.40799999997</v>
      </c>
      <c r="AS121" s="16">
        <f t="shared" si="37"/>
        <v>28062.914879999997</v>
      </c>
      <c r="AT121" s="16">
        <f t="shared" si="38"/>
        <v>-5102.3481599999996</v>
      </c>
      <c r="AU121" s="16">
        <f t="shared" si="39"/>
        <v>4501971.85984</v>
      </c>
      <c r="AV121" s="16">
        <f t="shared" si="40"/>
        <v>4507074.2079999996</v>
      </c>
      <c r="AW121" s="16">
        <f t="shared" si="41"/>
        <v>154280</v>
      </c>
      <c r="AX121" s="16" t="s">
        <v>319</v>
      </c>
      <c r="AY121" s="17"/>
      <c r="AZ121" s="17">
        <f t="shared" si="42"/>
        <v>2900</v>
      </c>
      <c r="BA121" s="16">
        <f t="shared" si="43"/>
        <v>3702720</v>
      </c>
      <c r="BB121" s="16">
        <f t="shared" si="44"/>
        <v>3699820</v>
      </c>
      <c r="BC121" s="15">
        <v>0.03</v>
      </c>
      <c r="BD121" s="15">
        <v>0.01</v>
      </c>
      <c r="BE121" s="37">
        <f t="shared" si="45"/>
        <v>356386.8</v>
      </c>
      <c r="BF121" s="38">
        <f t="shared" si="46"/>
        <v>219849</v>
      </c>
      <c r="BG121" s="37">
        <f t="shared" si="50"/>
        <v>185100</v>
      </c>
      <c r="BH121" s="37">
        <f t="shared" si="47"/>
        <v>192850</v>
      </c>
      <c r="BI121">
        <v>185100</v>
      </c>
      <c r="BL121" s="8">
        <f t="shared" si="48"/>
        <v>0</v>
      </c>
      <c r="BM121" s="7" t="str">
        <f t="shared" si="55"/>
        <v>Terdaftar BPJS Kes &amp; Naker</v>
      </c>
      <c r="BN121" s="11">
        <f t="shared" si="56"/>
        <v>219849</v>
      </c>
      <c r="BO121" s="11">
        <f t="shared" si="57"/>
        <v>175107.80000000002</v>
      </c>
      <c r="BP121" s="9">
        <f t="shared" si="49"/>
        <v>0</v>
      </c>
      <c r="BQ121" t="str">
        <f>_xlfn.XLOOKUP(X121,'[2]NON TETAP'!$H:$H,'[2]NON TETAP'!$I:$I)</f>
        <v>GRAMEDIA ASRI MEDIA</v>
      </c>
    </row>
    <row r="122" spans="1:69" x14ac:dyDescent="0.3">
      <c r="A122" s="2">
        <v>121</v>
      </c>
      <c r="B122" s="5" t="s">
        <v>3459</v>
      </c>
      <c r="C122" s="6" t="s">
        <v>241</v>
      </c>
      <c r="D122" s="6"/>
      <c r="E122" s="6" t="s">
        <v>73</v>
      </c>
      <c r="F122" s="6" t="s">
        <v>73</v>
      </c>
      <c r="G122" s="6" t="s">
        <v>73</v>
      </c>
      <c r="H122" s="6"/>
      <c r="I122" s="6"/>
      <c r="J122" s="6"/>
      <c r="K122" s="6">
        <v>800162</v>
      </c>
      <c r="L122" s="6"/>
      <c r="M122" s="6">
        <v>25023141119</v>
      </c>
      <c r="N122" s="46" t="s">
        <v>3458</v>
      </c>
      <c r="O122" s="6">
        <v>2070410207</v>
      </c>
      <c r="P122" s="78" t="s">
        <v>3457</v>
      </c>
      <c r="Q122" s="6">
        <v>10116</v>
      </c>
      <c r="R122" s="6">
        <v>27116</v>
      </c>
      <c r="S122" s="5" t="str">
        <f>VLOOKUP(T122,'[1]Kode Posisi'!$A$3:$B$45,2,)</f>
        <v>Outsourcing Keamanan</v>
      </c>
      <c r="T122" s="36" t="s">
        <v>37</v>
      </c>
      <c r="U122" s="44" t="s">
        <v>1124</v>
      </c>
      <c r="V122" s="44" t="s">
        <v>3456</v>
      </c>
      <c r="W122" s="36" t="s">
        <v>1122</v>
      </c>
      <c r="X122" s="36" t="s">
        <v>1121</v>
      </c>
      <c r="Y122" s="36" t="s">
        <v>52</v>
      </c>
      <c r="Z122" s="79" t="s">
        <v>3455</v>
      </c>
      <c r="AA122" s="36" t="s">
        <v>3454</v>
      </c>
      <c r="AB122" s="47">
        <v>3857000</v>
      </c>
      <c r="AC122" s="41">
        <v>3857000</v>
      </c>
      <c r="AD122" s="47">
        <v>3702000</v>
      </c>
      <c r="AE122" s="16">
        <f t="shared" si="58"/>
        <v>155000</v>
      </c>
      <c r="AF122" s="16">
        <v>0</v>
      </c>
      <c r="AG122" s="16">
        <v>0</v>
      </c>
      <c r="AH122" s="16"/>
      <c r="AI122" s="16">
        <v>0</v>
      </c>
      <c r="AJ122" s="16"/>
      <c r="AK122" s="16">
        <v>0</v>
      </c>
      <c r="AL122" s="11">
        <f t="shared" si="32"/>
        <v>3857000</v>
      </c>
      <c r="AM122" s="16">
        <f t="shared" si="33"/>
        <v>394956.79999999999</v>
      </c>
      <c r="AN122" s="16">
        <f t="shared" si="34"/>
        <v>154280</v>
      </c>
      <c r="AO122" s="16">
        <f t="shared" si="60"/>
        <v>240676.8</v>
      </c>
      <c r="AP122" s="16">
        <f t="shared" si="35"/>
        <v>142709</v>
      </c>
      <c r="AQ122" s="16">
        <f t="shared" si="36"/>
        <v>4251956.8</v>
      </c>
      <c r="AR122" s="16">
        <f t="shared" si="59"/>
        <v>255117.40799999997</v>
      </c>
      <c r="AS122" s="16">
        <f t="shared" si="37"/>
        <v>28062.914879999997</v>
      </c>
      <c r="AT122" s="16">
        <f t="shared" si="38"/>
        <v>-5102.3481599999996</v>
      </c>
      <c r="AU122" s="16">
        <f t="shared" si="39"/>
        <v>4501971.85984</v>
      </c>
      <c r="AV122" s="16">
        <f t="shared" si="40"/>
        <v>4507074.2079999996</v>
      </c>
      <c r="AW122" s="16">
        <f t="shared" si="41"/>
        <v>154280</v>
      </c>
      <c r="AX122" s="16" t="s">
        <v>286</v>
      </c>
      <c r="AY122" s="17"/>
      <c r="AZ122" s="17">
        <f t="shared" si="42"/>
        <v>0</v>
      </c>
      <c r="BA122" s="16">
        <f t="shared" si="43"/>
        <v>3702720</v>
      </c>
      <c r="BB122" s="16">
        <f t="shared" si="44"/>
        <v>3702720</v>
      </c>
      <c r="BC122" s="15">
        <v>0.03</v>
      </c>
      <c r="BD122" s="15">
        <v>0.01</v>
      </c>
      <c r="BE122" s="37">
        <f t="shared" si="45"/>
        <v>356386.8</v>
      </c>
      <c r="BF122" s="38">
        <f t="shared" si="46"/>
        <v>219849</v>
      </c>
      <c r="BG122" s="37">
        <f t="shared" si="50"/>
        <v>185100</v>
      </c>
      <c r="BH122" s="37">
        <f t="shared" si="47"/>
        <v>192850</v>
      </c>
      <c r="BI122">
        <v>185100</v>
      </c>
      <c r="BL122" s="8">
        <f t="shared" si="48"/>
        <v>0</v>
      </c>
      <c r="BM122" s="7" t="str">
        <f t="shared" si="55"/>
        <v>Terdaftar BPJS Kes &amp; Naker</v>
      </c>
      <c r="BN122" s="11">
        <f t="shared" si="56"/>
        <v>219849</v>
      </c>
      <c r="BO122" s="11">
        <f t="shared" si="57"/>
        <v>175107.80000000002</v>
      </c>
      <c r="BP122" s="9">
        <f t="shared" si="49"/>
        <v>0</v>
      </c>
      <c r="BQ122" t="str">
        <f>_xlfn.XLOOKUP(X122,'[2]NON TETAP'!$H:$H,'[2]NON TETAP'!$I:$I)</f>
        <v>GRAMEDIA ASRI MEDIA</v>
      </c>
    </row>
    <row r="123" spans="1:69" x14ac:dyDescent="0.3">
      <c r="A123" s="2">
        <v>122</v>
      </c>
      <c r="B123" s="5" t="s">
        <v>3449</v>
      </c>
      <c r="C123" s="6" t="s">
        <v>241</v>
      </c>
      <c r="D123" s="6"/>
      <c r="E123" s="6" t="s">
        <v>73</v>
      </c>
      <c r="F123" s="6" t="s">
        <v>73</v>
      </c>
      <c r="G123" s="6" t="s">
        <v>73</v>
      </c>
      <c r="H123" s="6"/>
      <c r="I123" s="6"/>
      <c r="J123" s="6"/>
      <c r="K123" s="6">
        <v>800163</v>
      </c>
      <c r="L123" s="6"/>
      <c r="M123" s="6">
        <v>25023140053</v>
      </c>
      <c r="N123" s="46" t="s">
        <v>3453</v>
      </c>
      <c r="O123" s="6">
        <v>1549003678</v>
      </c>
      <c r="P123" s="78" t="s">
        <v>3452</v>
      </c>
      <c r="Q123" s="6">
        <v>10116</v>
      </c>
      <c r="R123" s="6">
        <v>27116</v>
      </c>
      <c r="S123" s="5" t="str">
        <f>VLOOKUP(T123,'[1]Kode Posisi'!$A$3:$B$45,2,)</f>
        <v>Outsourcing Keamanan</v>
      </c>
      <c r="T123" s="36" t="s">
        <v>37</v>
      </c>
      <c r="U123" s="44" t="s">
        <v>1124</v>
      </c>
      <c r="V123" s="44" t="s">
        <v>3451</v>
      </c>
      <c r="W123" s="36" t="s">
        <v>1122</v>
      </c>
      <c r="X123" s="36" t="s">
        <v>1121</v>
      </c>
      <c r="Y123" s="36" t="s">
        <v>1294</v>
      </c>
      <c r="Z123" s="79" t="s">
        <v>3450</v>
      </c>
      <c r="AA123" s="36" t="s">
        <v>3449</v>
      </c>
      <c r="AB123" s="47">
        <v>3857000</v>
      </c>
      <c r="AC123" s="41">
        <v>3857000</v>
      </c>
      <c r="AD123" s="47">
        <v>3702000</v>
      </c>
      <c r="AE123" s="16">
        <f t="shared" si="58"/>
        <v>155000</v>
      </c>
      <c r="AF123" s="16">
        <v>0</v>
      </c>
      <c r="AG123" s="16">
        <v>0</v>
      </c>
      <c r="AH123" s="16"/>
      <c r="AI123" s="16">
        <v>0</v>
      </c>
      <c r="AJ123" s="16"/>
      <c r="AK123" s="16">
        <v>0</v>
      </c>
      <c r="AL123" s="11">
        <f t="shared" si="32"/>
        <v>3857000</v>
      </c>
      <c r="AM123" s="16">
        <f t="shared" si="33"/>
        <v>394956.79999999999</v>
      </c>
      <c r="AN123" s="16">
        <f t="shared" si="34"/>
        <v>154280</v>
      </c>
      <c r="AO123" s="16">
        <f t="shared" si="60"/>
        <v>240676.8</v>
      </c>
      <c r="AP123" s="16">
        <f t="shared" si="35"/>
        <v>142709</v>
      </c>
      <c r="AQ123" s="16">
        <f t="shared" si="36"/>
        <v>4251956.8</v>
      </c>
      <c r="AR123" s="16">
        <f t="shared" si="59"/>
        <v>255117.40799999997</v>
      </c>
      <c r="AS123" s="16">
        <f t="shared" si="37"/>
        <v>28062.914879999997</v>
      </c>
      <c r="AT123" s="16">
        <f t="shared" si="38"/>
        <v>-5102.3481599999996</v>
      </c>
      <c r="AU123" s="16">
        <f t="shared" si="39"/>
        <v>4501971.85984</v>
      </c>
      <c r="AV123" s="16">
        <f t="shared" si="40"/>
        <v>4507074.2079999996</v>
      </c>
      <c r="AW123" s="16">
        <f t="shared" si="41"/>
        <v>154280</v>
      </c>
      <c r="AX123" s="16" t="s">
        <v>477</v>
      </c>
      <c r="AY123" s="17"/>
      <c r="AZ123" s="17">
        <f t="shared" si="42"/>
        <v>2900</v>
      </c>
      <c r="BA123" s="16">
        <f t="shared" si="43"/>
        <v>3702720</v>
      </c>
      <c r="BB123" s="16">
        <f t="shared" si="44"/>
        <v>3699820</v>
      </c>
      <c r="BC123" s="15">
        <v>0.03</v>
      </c>
      <c r="BD123" s="15">
        <v>0.01</v>
      </c>
      <c r="BE123" s="37">
        <f t="shared" si="45"/>
        <v>356386.8</v>
      </c>
      <c r="BF123" s="38">
        <f t="shared" si="46"/>
        <v>219849</v>
      </c>
      <c r="BG123" s="37">
        <f t="shared" si="50"/>
        <v>185100</v>
      </c>
      <c r="BH123" s="37">
        <f t="shared" si="47"/>
        <v>192850</v>
      </c>
      <c r="BI123">
        <v>185100</v>
      </c>
      <c r="BL123" s="8">
        <f t="shared" si="48"/>
        <v>0</v>
      </c>
      <c r="BM123" s="7" t="str">
        <f t="shared" ref="BM123:BM142" si="61">IF(AND(BC123=0.03,BD123=0.01),"Terdaftar BPJS Kes &amp; Naker","Tidak Terdaftar")</f>
        <v>Terdaftar BPJS Kes &amp; Naker</v>
      </c>
      <c r="BN123" s="11">
        <f t="shared" ref="BN123:BN142" si="62">AC123*5.7%</f>
        <v>219849</v>
      </c>
      <c r="BO123" s="11">
        <f t="shared" ref="BO123:BO142" si="63">AC123*4.54%</f>
        <v>175107.80000000002</v>
      </c>
      <c r="BP123" s="9">
        <f t="shared" si="49"/>
        <v>0</v>
      </c>
      <c r="BQ123" t="str">
        <f>_xlfn.XLOOKUP(X123,'[2]NON TETAP'!$H:$H,'[2]NON TETAP'!$I:$I)</f>
        <v>GRAMEDIA ASRI MEDIA</v>
      </c>
    </row>
    <row r="124" spans="1:69" x14ac:dyDescent="0.3">
      <c r="A124" s="2">
        <v>123</v>
      </c>
      <c r="B124" s="5" t="s">
        <v>3448</v>
      </c>
      <c r="C124" s="6" t="s">
        <v>241</v>
      </c>
      <c r="D124" s="6"/>
      <c r="E124" s="6" t="s">
        <v>73</v>
      </c>
      <c r="F124" s="6" t="s">
        <v>73</v>
      </c>
      <c r="G124" s="6" t="s">
        <v>73</v>
      </c>
      <c r="H124" s="6"/>
      <c r="I124" s="6"/>
      <c r="J124" s="6"/>
      <c r="K124" s="6">
        <v>800165</v>
      </c>
      <c r="L124" s="6"/>
      <c r="M124" s="6">
        <v>25023141135</v>
      </c>
      <c r="N124" s="46" t="s">
        <v>3447</v>
      </c>
      <c r="O124" s="6">
        <v>323884179</v>
      </c>
      <c r="P124" s="78" t="s">
        <v>3446</v>
      </c>
      <c r="Q124" s="6">
        <v>10496</v>
      </c>
      <c r="R124" s="6">
        <v>27496</v>
      </c>
      <c r="S124" s="5" t="str">
        <f>VLOOKUP(T124,'[1]Kode Posisi'!$A$3:$B$45,2,)</f>
        <v>Outsourcing Keamanan</v>
      </c>
      <c r="T124" s="36" t="s">
        <v>2850</v>
      </c>
      <c r="U124" s="44" t="s">
        <v>1857</v>
      </c>
      <c r="V124" s="44" t="s">
        <v>3445</v>
      </c>
      <c r="W124" s="36" t="s">
        <v>220</v>
      </c>
      <c r="X124" s="36" t="s">
        <v>219</v>
      </c>
      <c r="Y124" s="36" t="s">
        <v>1294</v>
      </c>
      <c r="Z124" s="79" t="s">
        <v>3444</v>
      </c>
      <c r="AA124" s="36" t="s">
        <v>3443</v>
      </c>
      <c r="AB124" s="47">
        <v>3090000</v>
      </c>
      <c r="AC124" s="41">
        <v>3090000</v>
      </c>
      <c r="AD124" s="47">
        <v>2931000</v>
      </c>
      <c r="AE124" s="16">
        <f t="shared" si="58"/>
        <v>159000</v>
      </c>
      <c r="AF124" s="16"/>
      <c r="AG124" s="16">
        <v>200000</v>
      </c>
      <c r="AH124" s="16"/>
      <c r="AI124" s="16">
        <v>0</v>
      </c>
      <c r="AJ124" s="16"/>
      <c r="AK124" s="16">
        <v>0</v>
      </c>
      <c r="AL124" s="11">
        <f t="shared" si="32"/>
        <v>3290000</v>
      </c>
      <c r="AM124" s="16">
        <f t="shared" si="33"/>
        <v>316416</v>
      </c>
      <c r="AN124" s="16">
        <f t="shared" si="34"/>
        <v>123600</v>
      </c>
      <c r="AO124" s="16">
        <f t="shared" si="60"/>
        <v>192816</v>
      </c>
      <c r="AP124" s="16">
        <f t="shared" si="35"/>
        <v>114330</v>
      </c>
      <c r="AQ124" s="16">
        <f t="shared" si="36"/>
        <v>3606416</v>
      </c>
      <c r="AR124" s="16">
        <f t="shared" si="59"/>
        <v>216384.96</v>
      </c>
      <c r="AS124" s="16">
        <f t="shared" si="37"/>
        <v>23802.345600000001</v>
      </c>
      <c r="AT124" s="16">
        <f t="shared" si="38"/>
        <v>-4327.6992</v>
      </c>
      <c r="AU124" s="16">
        <f t="shared" si="39"/>
        <v>3818473.2607999998</v>
      </c>
      <c r="AV124" s="16">
        <f t="shared" si="40"/>
        <v>3822800.96</v>
      </c>
      <c r="AW124" s="16">
        <f t="shared" si="41"/>
        <v>123600</v>
      </c>
      <c r="AX124" s="16" t="s">
        <v>3442</v>
      </c>
      <c r="AY124" s="17"/>
      <c r="AZ124" s="17">
        <f t="shared" si="42"/>
        <v>2900</v>
      </c>
      <c r="BA124" s="16">
        <f t="shared" si="43"/>
        <v>3166400</v>
      </c>
      <c r="BB124" s="16">
        <f t="shared" si="44"/>
        <v>3163500</v>
      </c>
      <c r="BC124" s="15">
        <v>0.03</v>
      </c>
      <c r="BD124" s="15">
        <v>0.01</v>
      </c>
      <c r="BE124" s="37">
        <f t="shared" si="45"/>
        <v>285516</v>
      </c>
      <c r="BF124" s="38">
        <f t="shared" si="46"/>
        <v>176130</v>
      </c>
      <c r="BG124" s="37">
        <f t="shared" si="50"/>
        <v>146550</v>
      </c>
      <c r="BH124" s="37">
        <f t="shared" si="47"/>
        <v>154500</v>
      </c>
      <c r="BI124">
        <v>146550</v>
      </c>
      <c r="BL124" s="8">
        <f t="shared" si="48"/>
        <v>200000</v>
      </c>
      <c r="BM124" s="7" t="str">
        <f t="shared" si="61"/>
        <v>Terdaftar BPJS Kes &amp; Naker</v>
      </c>
      <c r="BN124" s="11">
        <f t="shared" si="62"/>
        <v>176130</v>
      </c>
      <c r="BO124" s="11">
        <f t="shared" si="63"/>
        <v>140286</v>
      </c>
      <c r="BP124" s="9">
        <f t="shared" si="49"/>
        <v>0</v>
      </c>
      <c r="BQ124" t="str">
        <f>_xlfn.XLOOKUP(X124,'[2]NON TETAP'!$H:$H,'[2]NON TETAP'!$I:$I)</f>
        <v>GRAMEDIA ASRI MEDIA</v>
      </c>
    </row>
    <row r="125" spans="1:69" x14ac:dyDescent="0.3">
      <c r="A125" s="2">
        <v>124</v>
      </c>
      <c r="B125" s="5" t="s">
        <v>3437</v>
      </c>
      <c r="C125" s="6" t="s">
        <v>241</v>
      </c>
      <c r="D125" s="6"/>
      <c r="E125" s="6" t="s">
        <v>73</v>
      </c>
      <c r="F125" s="6" t="s">
        <v>73</v>
      </c>
      <c r="G125" s="6" t="s">
        <v>73</v>
      </c>
      <c r="H125" s="6"/>
      <c r="I125" s="6"/>
      <c r="J125" s="6"/>
      <c r="K125" s="6">
        <v>800166</v>
      </c>
      <c r="L125" s="6"/>
      <c r="M125" s="6">
        <v>24044364610</v>
      </c>
      <c r="N125" s="46" t="s">
        <v>3441</v>
      </c>
      <c r="O125" s="6">
        <v>2212435484</v>
      </c>
      <c r="P125" s="78" t="s">
        <v>3440</v>
      </c>
      <c r="Q125" s="6">
        <v>10496</v>
      </c>
      <c r="R125" s="6">
        <v>27496</v>
      </c>
      <c r="S125" s="5" t="str">
        <f>VLOOKUP(T125,'[1]Kode Posisi'!$A$3:$B$45,2,)</f>
        <v>Outsourcing Keamanan</v>
      </c>
      <c r="T125" s="36" t="s">
        <v>37</v>
      </c>
      <c r="U125" s="44" t="s">
        <v>1857</v>
      </c>
      <c r="V125" s="44" t="s">
        <v>3439</v>
      </c>
      <c r="W125" s="36" t="s">
        <v>220</v>
      </c>
      <c r="X125" s="36" t="s">
        <v>219</v>
      </c>
      <c r="Y125" s="36" t="s">
        <v>52</v>
      </c>
      <c r="Z125" s="79" t="s">
        <v>3438</v>
      </c>
      <c r="AA125" s="36" t="s">
        <v>3437</v>
      </c>
      <c r="AB125" s="47">
        <v>3090000</v>
      </c>
      <c r="AC125" s="41">
        <v>3090000</v>
      </c>
      <c r="AD125" s="47">
        <v>2931000</v>
      </c>
      <c r="AE125" s="16">
        <f t="shared" si="58"/>
        <v>159000</v>
      </c>
      <c r="AF125" s="16">
        <v>0</v>
      </c>
      <c r="AG125" s="16">
        <v>0</v>
      </c>
      <c r="AH125" s="16"/>
      <c r="AI125" s="16">
        <v>0</v>
      </c>
      <c r="AJ125" s="16"/>
      <c r="AK125" s="16">
        <v>0</v>
      </c>
      <c r="AL125" s="11">
        <f t="shared" si="32"/>
        <v>3090000</v>
      </c>
      <c r="AM125" s="16">
        <f t="shared" si="33"/>
        <v>316416</v>
      </c>
      <c r="AN125" s="16">
        <f t="shared" si="34"/>
        <v>123600</v>
      </c>
      <c r="AO125" s="16">
        <f t="shared" si="60"/>
        <v>192816</v>
      </c>
      <c r="AP125" s="16">
        <f t="shared" si="35"/>
        <v>114330</v>
      </c>
      <c r="AQ125" s="16">
        <f t="shared" si="36"/>
        <v>3406416</v>
      </c>
      <c r="AR125" s="16">
        <f t="shared" si="59"/>
        <v>204384.96</v>
      </c>
      <c r="AS125" s="16">
        <f t="shared" si="37"/>
        <v>22482.345600000001</v>
      </c>
      <c r="AT125" s="16">
        <f t="shared" si="38"/>
        <v>-4087.6992</v>
      </c>
      <c r="AU125" s="16">
        <f t="shared" si="39"/>
        <v>3606713.2607999998</v>
      </c>
      <c r="AV125" s="16">
        <f t="shared" si="40"/>
        <v>3610800.96</v>
      </c>
      <c r="AW125" s="16">
        <f t="shared" si="41"/>
        <v>123600</v>
      </c>
      <c r="AX125" s="16" t="s">
        <v>286</v>
      </c>
      <c r="AY125" s="17"/>
      <c r="AZ125" s="17">
        <f t="shared" si="42"/>
        <v>0</v>
      </c>
      <c r="BA125" s="16">
        <f t="shared" si="43"/>
        <v>2966400</v>
      </c>
      <c r="BB125" s="16">
        <f t="shared" si="44"/>
        <v>2966400</v>
      </c>
      <c r="BC125" s="15">
        <v>0.03</v>
      </c>
      <c r="BD125" s="15">
        <v>0.01</v>
      </c>
      <c r="BE125" s="37">
        <f t="shared" si="45"/>
        <v>285516</v>
      </c>
      <c r="BF125" s="38">
        <f t="shared" si="46"/>
        <v>176130</v>
      </c>
      <c r="BG125" s="37">
        <f t="shared" si="50"/>
        <v>146550</v>
      </c>
      <c r="BH125" s="37">
        <f t="shared" si="47"/>
        <v>154500</v>
      </c>
      <c r="BI125">
        <v>146550</v>
      </c>
      <c r="BL125" s="8">
        <f t="shared" si="48"/>
        <v>0</v>
      </c>
      <c r="BM125" s="7" t="str">
        <f t="shared" si="61"/>
        <v>Terdaftar BPJS Kes &amp; Naker</v>
      </c>
      <c r="BN125" s="11">
        <f t="shared" si="62"/>
        <v>176130</v>
      </c>
      <c r="BO125" s="11">
        <f t="shared" si="63"/>
        <v>140286</v>
      </c>
      <c r="BP125" s="9">
        <f t="shared" si="49"/>
        <v>0</v>
      </c>
      <c r="BQ125" t="str">
        <f>_xlfn.XLOOKUP(X125,'[2]NON TETAP'!$H:$H,'[2]NON TETAP'!$I:$I)</f>
        <v>GRAMEDIA ASRI MEDIA</v>
      </c>
    </row>
    <row r="126" spans="1:69" x14ac:dyDescent="0.3">
      <c r="A126" s="2">
        <v>125</v>
      </c>
      <c r="B126" s="5" t="s">
        <v>3436</v>
      </c>
      <c r="C126" s="6" t="s">
        <v>241</v>
      </c>
      <c r="D126" s="6"/>
      <c r="E126" s="6" t="s">
        <v>73</v>
      </c>
      <c r="F126" s="6" t="s">
        <v>73</v>
      </c>
      <c r="G126" s="6" t="s">
        <v>73</v>
      </c>
      <c r="H126" s="6"/>
      <c r="I126" s="6"/>
      <c r="J126" s="6"/>
      <c r="K126" s="6">
        <v>800168</v>
      </c>
      <c r="L126" s="6"/>
      <c r="M126" s="6">
        <v>24036290302</v>
      </c>
      <c r="N126" s="46" t="s">
        <v>3435</v>
      </c>
      <c r="O126" s="6">
        <v>332530525</v>
      </c>
      <c r="P126" s="78" t="s">
        <v>3434</v>
      </c>
      <c r="Q126" s="6">
        <v>10496</v>
      </c>
      <c r="R126" s="6">
        <v>27496</v>
      </c>
      <c r="S126" s="5" t="str">
        <f>VLOOKUP(T126,'[1]Kode Posisi'!$A$3:$B$45,2,)</f>
        <v>Outsourcing Keamanan</v>
      </c>
      <c r="T126" s="36" t="s">
        <v>37</v>
      </c>
      <c r="U126" s="44" t="s">
        <v>1857</v>
      </c>
      <c r="V126" s="44" t="s">
        <v>3433</v>
      </c>
      <c r="W126" s="36" t="s">
        <v>220</v>
      </c>
      <c r="X126" s="36" t="s">
        <v>219</v>
      </c>
      <c r="Y126" s="36" t="s">
        <v>1294</v>
      </c>
      <c r="Z126" s="79" t="s">
        <v>3432</v>
      </c>
      <c r="AA126" s="36" t="s">
        <v>3431</v>
      </c>
      <c r="AB126" s="47">
        <v>3090000</v>
      </c>
      <c r="AC126" s="41">
        <v>3090000</v>
      </c>
      <c r="AD126" s="47">
        <v>2931000</v>
      </c>
      <c r="AE126" s="16">
        <v>514000</v>
      </c>
      <c r="AF126" s="16">
        <v>0</v>
      </c>
      <c r="AG126" s="16">
        <v>0</v>
      </c>
      <c r="AH126" s="16"/>
      <c r="AI126" s="16">
        <v>0</v>
      </c>
      <c r="AJ126" s="16"/>
      <c r="AK126" s="16">
        <v>0</v>
      </c>
      <c r="AL126" s="11">
        <f t="shared" si="32"/>
        <v>3090000</v>
      </c>
      <c r="AM126" s="16">
        <f t="shared" si="33"/>
        <v>316416</v>
      </c>
      <c r="AN126" s="16">
        <f t="shared" si="34"/>
        <v>123600</v>
      </c>
      <c r="AO126" s="16">
        <f t="shared" si="60"/>
        <v>192816</v>
      </c>
      <c r="AP126" s="16">
        <f t="shared" si="35"/>
        <v>114330</v>
      </c>
      <c r="AQ126" s="16">
        <f t="shared" si="36"/>
        <v>3406416</v>
      </c>
      <c r="AR126" s="16">
        <f t="shared" si="59"/>
        <v>204384.96</v>
      </c>
      <c r="AS126" s="16">
        <f t="shared" si="37"/>
        <v>22482.345600000001</v>
      </c>
      <c r="AT126" s="16">
        <f t="shared" si="38"/>
        <v>-4087.6992</v>
      </c>
      <c r="AU126" s="16">
        <f t="shared" si="39"/>
        <v>3606713.2607999998</v>
      </c>
      <c r="AV126" s="16">
        <f t="shared" si="40"/>
        <v>3610800.96</v>
      </c>
      <c r="AW126" s="16">
        <f t="shared" si="41"/>
        <v>123600</v>
      </c>
      <c r="AX126" s="16" t="s">
        <v>235</v>
      </c>
      <c r="AY126" s="17"/>
      <c r="AZ126" s="17">
        <f t="shared" si="42"/>
        <v>2900</v>
      </c>
      <c r="BA126" s="16">
        <f t="shared" si="43"/>
        <v>2966400</v>
      </c>
      <c r="BB126" s="16">
        <f t="shared" si="44"/>
        <v>2963500</v>
      </c>
      <c r="BC126" s="15">
        <v>0.03</v>
      </c>
      <c r="BD126" s="15">
        <v>0.01</v>
      </c>
      <c r="BE126" s="37">
        <f t="shared" si="45"/>
        <v>285516</v>
      </c>
      <c r="BF126" s="38">
        <f t="shared" si="46"/>
        <v>176130</v>
      </c>
      <c r="BG126" s="37">
        <f t="shared" si="50"/>
        <v>146550</v>
      </c>
      <c r="BH126" s="37">
        <f t="shared" si="47"/>
        <v>154500</v>
      </c>
      <c r="BI126">
        <v>146550</v>
      </c>
      <c r="BL126" s="8">
        <f t="shared" si="48"/>
        <v>0</v>
      </c>
      <c r="BM126" s="7" t="str">
        <f t="shared" si="61"/>
        <v>Terdaftar BPJS Kes &amp; Naker</v>
      </c>
      <c r="BN126" s="11">
        <f t="shared" si="62"/>
        <v>176130</v>
      </c>
      <c r="BO126" s="11">
        <f t="shared" si="63"/>
        <v>140286</v>
      </c>
      <c r="BP126" s="9">
        <f t="shared" si="49"/>
        <v>0</v>
      </c>
      <c r="BQ126" t="str">
        <f>_xlfn.XLOOKUP(X126,'[2]NON TETAP'!$H:$H,'[2]NON TETAP'!$I:$I)</f>
        <v>GRAMEDIA ASRI MEDIA</v>
      </c>
    </row>
    <row r="127" spans="1:69" x14ac:dyDescent="0.3">
      <c r="A127" s="2">
        <v>126</v>
      </c>
      <c r="B127" s="5" t="s">
        <v>3426</v>
      </c>
      <c r="C127" s="6" t="s">
        <v>241</v>
      </c>
      <c r="D127" s="6"/>
      <c r="E127" s="6" t="s">
        <v>73</v>
      </c>
      <c r="F127" s="6" t="s">
        <v>73</v>
      </c>
      <c r="G127" s="6" t="s">
        <v>73</v>
      </c>
      <c r="H127" s="6"/>
      <c r="I127" s="6"/>
      <c r="J127" s="6"/>
      <c r="K127" s="6">
        <v>800169</v>
      </c>
      <c r="L127" s="6"/>
      <c r="M127" s="6">
        <v>25023140558</v>
      </c>
      <c r="N127" s="46" t="s">
        <v>3430</v>
      </c>
      <c r="O127" s="6">
        <v>1252504067</v>
      </c>
      <c r="P127" s="78" t="s">
        <v>3429</v>
      </c>
      <c r="Q127" s="6">
        <v>10496</v>
      </c>
      <c r="R127" s="6">
        <v>27496</v>
      </c>
      <c r="S127" s="5" t="str">
        <f>VLOOKUP(T127,'[1]Kode Posisi'!$A$3:$B$45,2,)</f>
        <v>Outsourcing Keamanan</v>
      </c>
      <c r="T127" s="36" t="s">
        <v>37</v>
      </c>
      <c r="U127" s="44" t="s">
        <v>1857</v>
      </c>
      <c r="V127" s="44" t="s">
        <v>3428</v>
      </c>
      <c r="W127" s="36" t="s">
        <v>220</v>
      </c>
      <c r="X127" s="36" t="s">
        <v>219</v>
      </c>
      <c r="Y127" s="36" t="s">
        <v>52</v>
      </c>
      <c r="Z127" s="79" t="s">
        <v>3427</v>
      </c>
      <c r="AA127" s="36" t="s">
        <v>3426</v>
      </c>
      <c r="AB127" s="47">
        <v>3090000</v>
      </c>
      <c r="AC127" s="41">
        <v>3090000</v>
      </c>
      <c r="AD127" s="47">
        <v>2931000</v>
      </c>
      <c r="AE127" s="16">
        <v>514000</v>
      </c>
      <c r="AF127" s="16">
        <v>0</v>
      </c>
      <c r="AG127" s="16">
        <v>0</v>
      </c>
      <c r="AH127" s="16"/>
      <c r="AI127" s="16">
        <v>0</v>
      </c>
      <c r="AJ127" s="16"/>
      <c r="AK127" s="16">
        <v>0</v>
      </c>
      <c r="AL127" s="11">
        <f t="shared" si="32"/>
        <v>3090000</v>
      </c>
      <c r="AM127" s="16">
        <f t="shared" si="33"/>
        <v>316416</v>
      </c>
      <c r="AN127" s="16">
        <f t="shared" si="34"/>
        <v>123600</v>
      </c>
      <c r="AO127" s="16">
        <f t="shared" si="60"/>
        <v>192816</v>
      </c>
      <c r="AP127" s="16">
        <f t="shared" si="35"/>
        <v>114330</v>
      </c>
      <c r="AQ127" s="16">
        <f t="shared" si="36"/>
        <v>3406416</v>
      </c>
      <c r="AR127" s="16">
        <f t="shared" si="59"/>
        <v>204384.96</v>
      </c>
      <c r="AS127" s="16">
        <f t="shared" si="37"/>
        <v>22482.345600000001</v>
      </c>
      <c r="AT127" s="16">
        <f t="shared" si="38"/>
        <v>-4087.6992</v>
      </c>
      <c r="AU127" s="16">
        <f t="shared" si="39"/>
        <v>3606713.2607999998</v>
      </c>
      <c r="AV127" s="16">
        <f t="shared" si="40"/>
        <v>3610800.96</v>
      </c>
      <c r="AW127" s="16">
        <f t="shared" si="41"/>
        <v>123600</v>
      </c>
      <c r="AX127" s="16" t="s">
        <v>319</v>
      </c>
      <c r="AY127" s="17"/>
      <c r="AZ127" s="17">
        <f t="shared" si="42"/>
        <v>0</v>
      </c>
      <c r="BA127" s="16">
        <f t="shared" si="43"/>
        <v>2966400</v>
      </c>
      <c r="BB127" s="16">
        <f t="shared" si="44"/>
        <v>2966400</v>
      </c>
      <c r="BC127" s="15">
        <v>0.03</v>
      </c>
      <c r="BD127" s="15">
        <v>0.01</v>
      </c>
      <c r="BE127" s="37">
        <f t="shared" si="45"/>
        <v>285516</v>
      </c>
      <c r="BF127" s="38">
        <f t="shared" si="46"/>
        <v>176130</v>
      </c>
      <c r="BG127" s="37">
        <f t="shared" si="50"/>
        <v>146550</v>
      </c>
      <c r="BH127" s="37">
        <f t="shared" si="47"/>
        <v>154500</v>
      </c>
      <c r="BI127">
        <v>146550</v>
      </c>
      <c r="BL127" s="8">
        <f t="shared" si="48"/>
        <v>0</v>
      </c>
      <c r="BM127" s="7" t="str">
        <f t="shared" si="61"/>
        <v>Terdaftar BPJS Kes &amp; Naker</v>
      </c>
      <c r="BN127" s="11">
        <f t="shared" si="62"/>
        <v>176130</v>
      </c>
      <c r="BO127" s="11">
        <f t="shared" si="63"/>
        <v>140286</v>
      </c>
      <c r="BP127" s="9">
        <f t="shared" si="49"/>
        <v>0</v>
      </c>
      <c r="BQ127" t="str">
        <f>_xlfn.XLOOKUP(X127,'[2]NON TETAP'!$H:$H,'[2]NON TETAP'!$I:$I)</f>
        <v>GRAMEDIA ASRI MEDIA</v>
      </c>
    </row>
    <row r="128" spans="1:69" x14ac:dyDescent="0.3">
      <c r="A128" s="2">
        <v>127</v>
      </c>
      <c r="B128" s="5" t="s">
        <v>3421</v>
      </c>
      <c r="C128" s="6" t="s">
        <v>241</v>
      </c>
      <c r="D128" s="6"/>
      <c r="E128" s="6" t="s">
        <v>73</v>
      </c>
      <c r="F128" s="6" t="s">
        <v>73</v>
      </c>
      <c r="G128" s="6" t="s">
        <v>73</v>
      </c>
      <c r="H128" s="6"/>
      <c r="I128" s="6"/>
      <c r="J128" s="6"/>
      <c r="K128" s="6">
        <v>800170</v>
      </c>
      <c r="L128" s="6"/>
      <c r="M128" s="6">
        <v>25023141127</v>
      </c>
      <c r="N128" s="46" t="s">
        <v>3425</v>
      </c>
      <c r="O128" s="6">
        <v>901827911</v>
      </c>
      <c r="P128" s="78" t="s">
        <v>3424</v>
      </c>
      <c r="Q128" s="6">
        <v>10164</v>
      </c>
      <c r="R128" s="6">
        <v>27164</v>
      </c>
      <c r="S128" s="5" t="str">
        <f>VLOOKUP(T128,'[1]Kode Posisi'!$A$3:$B$45,2,)</f>
        <v>Outsourcing Keamanan</v>
      </c>
      <c r="T128" s="36" t="s">
        <v>37</v>
      </c>
      <c r="U128" s="44" t="s">
        <v>1148</v>
      </c>
      <c r="V128" s="44" t="s">
        <v>3423</v>
      </c>
      <c r="W128" s="36" t="s">
        <v>54</v>
      </c>
      <c r="X128" s="36" t="s">
        <v>53</v>
      </c>
      <c r="Y128" s="36" t="s">
        <v>52</v>
      </c>
      <c r="Z128" s="79" t="s">
        <v>3422</v>
      </c>
      <c r="AA128" s="36" t="s">
        <v>3421</v>
      </c>
      <c r="AB128" s="47">
        <v>3857000</v>
      </c>
      <c r="AC128" s="41">
        <v>3857000</v>
      </c>
      <c r="AD128" s="47">
        <v>3702000</v>
      </c>
      <c r="AE128" s="16">
        <f t="shared" ref="AE128:AE191" si="64">AB128-AD128</f>
        <v>155000</v>
      </c>
      <c r="AF128" s="16">
        <v>0</v>
      </c>
      <c r="AG128" s="16">
        <v>0</v>
      </c>
      <c r="AH128" s="16"/>
      <c r="AI128" s="16">
        <v>0</v>
      </c>
      <c r="AJ128" s="16"/>
      <c r="AK128" s="16">
        <v>0</v>
      </c>
      <c r="AL128" s="11">
        <f t="shared" si="32"/>
        <v>3857000</v>
      </c>
      <c r="AM128" s="16">
        <f t="shared" si="33"/>
        <v>394956.79999999999</v>
      </c>
      <c r="AN128" s="16">
        <f t="shared" si="34"/>
        <v>154280</v>
      </c>
      <c r="AO128" s="16">
        <f t="shared" si="60"/>
        <v>240676.8</v>
      </c>
      <c r="AP128" s="16">
        <f t="shared" si="35"/>
        <v>142709</v>
      </c>
      <c r="AQ128" s="16">
        <f t="shared" si="36"/>
        <v>4251956.8</v>
      </c>
      <c r="AR128" s="16">
        <f t="shared" si="59"/>
        <v>255117.40799999997</v>
      </c>
      <c r="AS128" s="16">
        <f t="shared" si="37"/>
        <v>28062.914879999997</v>
      </c>
      <c r="AT128" s="16">
        <f t="shared" si="38"/>
        <v>-5102.3481599999996</v>
      </c>
      <c r="AU128" s="16">
        <f t="shared" si="39"/>
        <v>4501971.85984</v>
      </c>
      <c r="AV128" s="16">
        <f t="shared" si="40"/>
        <v>4507074.2079999996</v>
      </c>
      <c r="AW128" s="16">
        <f t="shared" si="41"/>
        <v>154280</v>
      </c>
      <c r="AX128" s="16" t="s">
        <v>477</v>
      </c>
      <c r="AY128" s="17"/>
      <c r="AZ128" s="17">
        <f t="shared" si="42"/>
        <v>0</v>
      </c>
      <c r="BA128" s="16">
        <f t="shared" si="43"/>
        <v>3702720</v>
      </c>
      <c r="BB128" s="16">
        <f t="shared" si="44"/>
        <v>3702720</v>
      </c>
      <c r="BC128" s="15">
        <v>0.03</v>
      </c>
      <c r="BD128" s="15">
        <v>0.01</v>
      </c>
      <c r="BE128" s="37">
        <f t="shared" si="45"/>
        <v>356386.8</v>
      </c>
      <c r="BF128" s="38">
        <f t="shared" si="46"/>
        <v>219849</v>
      </c>
      <c r="BG128" s="37">
        <f t="shared" si="50"/>
        <v>185100</v>
      </c>
      <c r="BH128" s="37">
        <f t="shared" si="47"/>
        <v>192850</v>
      </c>
      <c r="BI128">
        <v>185100</v>
      </c>
      <c r="BL128" s="8">
        <f t="shared" si="48"/>
        <v>0</v>
      </c>
      <c r="BM128" s="7" t="str">
        <f t="shared" si="61"/>
        <v>Terdaftar BPJS Kes &amp; Naker</v>
      </c>
      <c r="BN128" s="11">
        <f t="shared" si="62"/>
        <v>219849</v>
      </c>
      <c r="BO128" s="11">
        <f t="shared" si="63"/>
        <v>175107.80000000002</v>
      </c>
      <c r="BP128" s="9">
        <f t="shared" si="49"/>
        <v>0</v>
      </c>
      <c r="BQ128" t="str">
        <f>_xlfn.XLOOKUP(X128,'[2]NON TETAP'!$H:$H,'[2]NON TETAP'!$I:$I)</f>
        <v>GRAMEDIA ASRI MEDIA</v>
      </c>
    </row>
    <row r="129" spans="1:69" x14ac:dyDescent="0.3">
      <c r="A129" s="2">
        <v>128</v>
      </c>
      <c r="B129" s="60" t="s">
        <v>3416</v>
      </c>
      <c r="C129" s="6" t="s">
        <v>241</v>
      </c>
      <c r="D129" s="6"/>
      <c r="E129" s="6" t="s">
        <v>73</v>
      </c>
      <c r="F129" s="6" t="s">
        <v>73</v>
      </c>
      <c r="G129" s="6" t="s">
        <v>73</v>
      </c>
      <c r="H129" s="6"/>
      <c r="I129" s="86"/>
      <c r="J129" s="86"/>
      <c r="K129" s="6">
        <v>800173</v>
      </c>
      <c r="L129" s="6"/>
      <c r="M129" s="6">
        <v>25023140046</v>
      </c>
      <c r="N129" s="46" t="s">
        <v>3420</v>
      </c>
      <c r="O129" s="6">
        <v>1098253912</v>
      </c>
      <c r="P129" s="78" t="s">
        <v>3419</v>
      </c>
      <c r="Q129" s="6">
        <v>10164</v>
      </c>
      <c r="R129" s="6">
        <v>27164</v>
      </c>
      <c r="S129" s="5" t="str">
        <f>VLOOKUP(T129,'[1]Kode Posisi'!$A$3:$B$45,2,)</f>
        <v>Outsourcing Keamanan</v>
      </c>
      <c r="T129" s="36" t="s">
        <v>37</v>
      </c>
      <c r="U129" s="44" t="s">
        <v>1148</v>
      </c>
      <c r="V129" s="44" t="s">
        <v>3418</v>
      </c>
      <c r="W129" s="36" t="s">
        <v>54</v>
      </c>
      <c r="X129" s="36" t="s">
        <v>53</v>
      </c>
      <c r="Y129" s="36" t="s">
        <v>1294</v>
      </c>
      <c r="Z129" s="79" t="s">
        <v>3417</v>
      </c>
      <c r="AA129" s="36" t="s">
        <v>3416</v>
      </c>
      <c r="AB129" s="47">
        <v>3857000</v>
      </c>
      <c r="AC129" s="41">
        <v>3857000</v>
      </c>
      <c r="AD129" s="47">
        <v>3702000</v>
      </c>
      <c r="AE129" s="16">
        <f t="shared" si="64"/>
        <v>155000</v>
      </c>
      <c r="AF129" s="16">
        <v>0</v>
      </c>
      <c r="AG129" s="16">
        <v>250000</v>
      </c>
      <c r="AH129" s="16"/>
      <c r="AI129" s="16">
        <v>0</v>
      </c>
      <c r="AJ129" s="16"/>
      <c r="AK129" s="16">
        <v>0</v>
      </c>
      <c r="AL129" s="11">
        <f t="shared" si="32"/>
        <v>4107000</v>
      </c>
      <c r="AM129" s="16">
        <f t="shared" si="33"/>
        <v>394956.79999999999</v>
      </c>
      <c r="AN129" s="16">
        <f t="shared" si="34"/>
        <v>154280</v>
      </c>
      <c r="AO129" s="16">
        <f t="shared" si="60"/>
        <v>240676.8</v>
      </c>
      <c r="AP129" s="16">
        <f t="shared" si="35"/>
        <v>142709</v>
      </c>
      <c r="AQ129" s="16">
        <f t="shared" si="36"/>
        <v>4501956.8</v>
      </c>
      <c r="AR129" s="16">
        <f t="shared" si="59"/>
        <v>270117.408</v>
      </c>
      <c r="AS129" s="16">
        <f t="shared" si="37"/>
        <v>29712.91488</v>
      </c>
      <c r="AT129" s="16">
        <f t="shared" si="38"/>
        <v>-5402.3481600000005</v>
      </c>
      <c r="AU129" s="16">
        <f t="shared" si="39"/>
        <v>4766671.85984</v>
      </c>
      <c r="AV129" s="16">
        <f t="shared" si="40"/>
        <v>4772074.2079999996</v>
      </c>
      <c r="AW129" s="16">
        <f t="shared" si="41"/>
        <v>154280</v>
      </c>
      <c r="AX129" s="16" t="s">
        <v>235</v>
      </c>
      <c r="AY129" s="17"/>
      <c r="AZ129" s="17">
        <f t="shared" si="42"/>
        <v>2900</v>
      </c>
      <c r="BA129" s="16">
        <f t="shared" si="43"/>
        <v>3952720</v>
      </c>
      <c r="BB129" s="16">
        <f t="shared" si="44"/>
        <v>3949820</v>
      </c>
      <c r="BC129" s="15">
        <v>0.03</v>
      </c>
      <c r="BD129" s="15">
        <v>0.01</v>
      </c>
      <c r="BE129" s="37">
        <f t="shared" si="45"/>
        <v>356386.8</v>
      </c>
      <c r="BF129" s="38">
        <f t="shared" si="46"/>
        <v>219849</v>
      </c>
      <c r="BG129" s="37">
        <f t="shared" si="50"/>
        <v>185100</v>
      </c>
      <c r="BH129" s="37">
        <f t="shared" si="47"/>
        <v>192850</v>
      </c>
      <c r="BI129">
        <v>185100</v>
      </c>
      <c r="BL129" s="8">
        <f t="shared" si="48"/>
        <v>250000</v>
      </c>
      <c r="BM129" s="7" t="str">
        <f t="shared" si="61"/>
        <v>Terdaftar BPJS Kes &amp; Naker</v>
      </c>
      <c r="BN129" s="11">
        <f t="shared" si="62"/>
        <v>219849</v>
      </c>
      <c r="BO129" s="11">
        <f t="shared" si="63"/>
        <v>175107.80000000002</v>
      </c>
      <c r="BP129" s="9">
        <f t="shared" si="49"/>
        <v>0</v>
      </c>
      <c r="BQ129" t="str">
        <f>_xlfn.XLOOKUP(X129,'[2]NON TETAP'!$H:$H,'[2]NON TETAP'!$I:$I)</f>
        <v>GRAMEDIA ASRI MEDIA</v>
      </c>
    </row>
    <row r="130" spans="1:69" x14ac:dyDescent="0.3">
      <c r="A130" s="2">
        <v>129</v>
      </c>
      <c r="B130" s="5" t="s">
        <v>3415</v>
      </c>
      <c r="C130" s="6" t="s">
        <v>241</v>
      </c>
      <c r="D130" s="6"/>
      <c r="E130" s="6" t="s">
        <v>73</v>
      </c>
      <c r="F130" s="6" t="s">
        <v>73</v>
      </c>
      <c r="G130" s="6" t="s">
        <v>73</v>
      </c>
      <c r="H130" s="6"/>
      <c r="I130" s="6"/>
      <c r="J130" s="6"/>
      <c r="K130" s="6">
        <v>800174</v>
      </c>
      <c r="L130" s="6"/>
      <c r="M130" s="6">
        <v>23130985577</v>
      </c>
      <c r="N130" s="46" t="s">
        <v>3414</v>
      </c>
      <c r="O130" s="6">
        <v>304444934</v>
      </c>
      <c r="P130" s="78" t="s">
        <v>3413</v>
      </c>
      <c r="Q130" s="6">
        <v>10168</v>
      </c>
      <c r="R130" s="6">
        <v>27168</v>
      </c>
      <c r="S130" s="5" t="str">
        <f>VLOOKUP(T130,'[1]Kode Posisi'!$A$3:$B$45,2,)</f>
        <v>Outsourcing Keamanan</v>
      </c>
      <c r="T130" s="36" t="s">
        <v>37</v>
      </c>
      <c r="U130" s="44" t="s">
        <v>1267</v>
      </c>
      <c r="V130" s="44" t="s">
        <v>3412</v>
      </c>
      <c r="W130" s="36" t="s">
        <v>1025</v>
      </c>
      <c r="X130" s="36" t="s">
        <v>951</v>
      </c>
      <c r="Y130" s="36" t="s">
        <v>1294</v>
      </c>
      <c r="Z130" s="79" t="s">
        <v>3411</v>
      </c>
      <c r="AA130" s="36" t="s">
        <v>3410</v>
      </c>
      <c r="AB130" s="47">
        <v>3608000</v>
      </c>
      <c r="AC130" s="47">
        <v>3869000</v>
      </c>
      <c r="AD130" s="47">
        <v>3608000</v>
      </c>
      <c r="AE130" s="16">
        <f t="shared" si="64"/>
        <v>0</v>
      </c>
      <c r="AF130" s="16">
        <v>0</v>
      </c>
      <c r="AG130" s="16">
        <v>0</v>
      </c>
      <c r="AH130" s="16"/>
      <c r="AI130" s="16">
        <v>166843.93063583816</v>
      </c>
      <c r="AJ130" s="16"/>
      <c r="AK130" s="16">
        <v>865920</v>
      </c>
      <c r="AL130" s="11">
        <f t="shared" ref="AL130:AL193" si="65">SUM(AB130,AF130,AG130:AJ130)-AK130</f>
        <v>2908923.9306358383</v>
      </c>
      <c r="AM130" s="16">
        <f t="shared" ref="AM130:AM193" si="66">SUM(AN130:AO130)</f>
        <v>396185.59999999998</v>
      </c>
      <c r="AN130" s="16">
        <f t="shared" ref="AN130:AN193" si="67">IF(BD130=0.01,AC130*0.04,0)</f>
        <v>154760</v>
      </c>
      <c r="AO130" s="16">
        <f t="shared" si="60"/>
        <v>241425.59999999998</v>
      </c>
      <c r="AP130" s="16">
        <f t="shared" ref="AP130:AP193" si="68">IF(BC130=0.03,0.037*(AB130+AF130),0)</f>
        <v>133496</v>
      </c>
      <c r="AQ130" s="16">
        <f t="shared" ref="AQ130:AQ193" si="69">SUM(AL130:AM130)</f>
        <v>3305109.5306358384</v>
      </c>
      <c r="AR130" s="16">
        <f t="shared" si="59"/>
        <v>198306.5718381503</v>
      </c>
      <c r="AS130" s="16">
        <f t="shared" ref="AS130:AS193" si="70">SUM(AR130*0.11)</f>
        <v>21813.722902196532</v>
      </c>
      <c r="AT130" s="16">
        <f t="shared" ref="AT130:AT193" si="71">SUM(AR130*-0.02)</f>
        <v>-3966.1314367630061</v>
      </c>
      <c r="AU130" s="16">
        <f t="shared" ref="AU130:AU193" si="72">(AQ130+AR130)+AT130</f>
        <v>3499449.9710372258</v>
      </c>
      <c r="AV130" s="16">
        <f t="shared" ref="AV130:AV193" si="73">SUM(AQ130+AR130)</f>
        <v>3503416.1024739887</v>
      </c>
      <c r="AW130" s="16">
        <f t="shared" ref="AW130:AW193" si="74">SUM(AC130)*SUM(BC130,BD130)</f>
        <v>154760</v>
      </c>
      <c r="AX130" s="16" t="s">
        <v>235</v>
      </c>
      <c r="AY130" s="17"/>
      <c r="AZ130" s="17">
        <f t="shared" ref="AZ130:AZ193" si="75">IF(Y130="BCA",0,2900)</f>
        <v>2900</v>
      </c>
      <c r="BA130" s="16">
        <f t="shared" ref="BA130:BA193" si="76">SUM(AL130-AW130,AY130)</f>
        <v>2754163.9306358383</v>
      </c>
      <c r="BB130" s="16">
        <f t="shared" ref="BB130:BB193" si="77">SUM(AL130-AW130,AY130)-AZ130</f>
        <v>2751263.9306358383</v>
      </c>
      <c r="BC130" s="15">
        <v>0.03</v>
      </c>
      <c r="BD130" s="15">
        <v>0.01</v>
      </c>
      <c r="BE130" s="37">
        <f t="shared" ref="BE130:BE193" si="78">IF(BC130=0.03,AC130*9.24%,0)</f>
        <v>357495.6</v>
      </c>
      <c r="BF130" s="38">
        <f t="shared" ref="BF130:BF193" si="79">IF(BC130=0.03,0.057/0.0924*BE130,0)</f>
        <v>220533</v>
      </c>
      <c r="BG130" s="37">
        <f t="shared" si="50"/>
        <v>180400</v>
      </c>
      <c r="BH130" s="37">
        <f t="shared" ref="BH130:BH193" si="80">IF(BD130=0.01,AC130*5%,0)</f>
        <v>193450</v>
      </c>
      <c r="BI130">
        <v>180400</v>
      </c>
      <c r="BL130" s="8">
        <f t="shared" ref="BL130:BL193" si="81">SUM(AF130:AJ130)-AK130</f>
        <v>-699076.06936416181</v>
      </c>
      <c r="BM130" s="7" t="str">
        <f t="shared" si="61"/>
        <v>Terdaftar BPJS Kes &amp; Naker</v>
      </c>
      <c r="BN130" s="11">
        <f t="shared" si="62"/>
        <v>220533</v>
      </c>
      <c r="BO130" s="11">
        <f t="shared" si="63"/>
        <v>175652.6</v>
      </c>
      <c r="BP130" s="9">
        <f t="shared" ref="BP130:BP193" si="82">AM130-BN130-BO130</f>
        <v>0</v>
      </c>
      <c r="BQ130" t="str">
        <f>_xlfn.XLOOKUP(X130,'[2]NON TETAP'!$H:$H,'[2]NON TETAP'!$I:$I)</f>
        <v>GRAMEDIA ASRI MEDIA</v>
      </c>
    </row>
    <row r="131" spans="1:69" x14ac:dyDescent="0.3">
      <c r="A131" s="2">
        <v>130</v>
      </c>
      <c r="B131" s="5" t="s">
        <v>3405</v>
      </c>
      <c r="C131" s="6" t="s">
        <v>241</v>
      </c>
      <c r="D131" s="6"/>
      <c r="E131" s="6" t="s">
        <v>73</v>
      </c>
      <c r="F131" s="6" t="s">
        <v>73</v>
      </c>
      <c r="G131" s="6" t="s">
        <v>73</v>
      </c>
      <c r="H131" s="6"/>
      <c r="I131" s="6">
        <v>261000</v>
      </c>
      <c r="J131" s="6"/>
      <c r="K131" s="6">
        <v>800175</v>
      </c>
      <c r="L131" s="6"/>
      <c r="M131" s="6">
        <v>25023141143</v>
      </c>
      <c r="N131" s="46" t="s">
        <v>3409</v>
      </c>
      <c r="O131" s="6">
        <v>297615363</v>
      </c>
      <c r="P131" s="78" t="s">
        <v>3408</v>
      </c>
      <c r="Q131" s="6">
        <v>10168</v>
      </c>
      <c r="R131" s="6">
        <v>27168</v>
      </c>
      <c r="S131" s="5" t="str">
        <f>VLOOKUP(T131,'[1]Kode Posisi'!$A$3:$B$45,2,)</f>
        <v>Outsourcing Keamanan</v>
      </c>
      <c r="T131" s="36" t="s">
        <v>37</v>
      </c>
      <c r="U131" s="44" t="s">
        <v>1267</v>
      </c>
      <c r="V131" s="44" t="s">
        <v>3407</v>
      </c>
      <c r="W131" s="36" t="s">
        <v>1025</v>
      </c>
      <c r="X131" s="36" t="s">
        <v>951</v>
      </c>
      <c r="Y131" s="36" t="s">
        <v>1294</v>
      </c>
      <c r="Z131" s="79" t="s">
        <v>3406</v>
      </c>
      <c r="AA131" s="36" t="s">
        <v>3405</v>
      </c>
      <c r="AB131" s="47">
        <v>3608000</v>
      </c>
      <c r="AC131" s="47">
        <v>3869000</v>
      </c>
      <c r="AD131" s="47">
        <v>3608000</v>
      </c>
      <c r="AE131" s="16">
        <f t="shared" si="64"/>
        <v>0</v>
      </c>
      <c r="AF131" s="16">
        <v>0</v>
      </c>
      <c r="AG131" s="16">
        <v>0</v>
      </c>
      <c r="AH131" s="16"/>
      <c r="AI131" s="16">
        <v>0</v>
      </c>
      <c r="AJ131" s="16"/>
      <c r="AK131" s="16">
        <v>0</v>
      </c>
      <c r="AL131" s="11">
        <f t="shared" si="65"/>
        <v>3608000</v>
      </c>
      <c r="AM131" s="16">
        <f t="shared" si="66"/>
        <v>396185.59999999998</v>
      </c>
      <c r="AN131" s="16">
        <f t="shared" si="67"/>
        <v>154760</v>
      </c>
      <c r="AO131" s="16">
        <f t="shared" si="60"/>
        <v>241425.59999999998</v>
      </c>
      <c r="AP131" s="16">
        <f t="shared" si="68"/>
        <v>133496</v>
      </c>
      <c r="AQ131" s="16">
        <f t="shared" si="69"/>
        <v>4004185.6</v>
      </c>
      <c r="AR131" s="16">
        <f t="shared" si="59"/>
        <v>240251.136</v>
      </c>
      <c r="AS131" s="16">
        <f t="shared" si="70"/>
        <v>26427.624960000001</v>
      </c>
      <c r="AT131" s="16">
        <f t="shared" si="71"/>
        <v>-4805.0227199999999</v>
      </c>
      <c r="AU131" s="16">
        <f t="shared" si="72"/>
        <v>4239631.7132800007</v>
      </c>
      <c r="AV131" s="16">
        <f t="shared" si="73"/>
        <v>4244436.7360000005</v>
      </c>
      <c r="AW131" s="16">
        <f t="shared" si="74"/>
        <v>154760</v>
      </c>
      <c r="AX131" s="16" t="s">
        <v>235</v>
      </c>
      <c r="AY131" s="17"/>
      <c r="AZ131" s="17">
        <f t="shared" si="75"/>
        <v>2900</v>
      </c>
      <c r="BA131" s="16">
        <f t="shared" si="76"/>
        <v>3453240</v>
      </c>
      <c r="BB131" s="16">
        <f t="shared" si="77"/>
        <v>3450340</v>
      </c>
      <c r="BC131" s="15">
        <v>0.03</v>
      </c>
      <c r="BD131" s="15">
        <v>0.01</v>
      </c>
      <c r="BE131" s="37">
        <f t="shared" si="78"/>
        <v>357495.6</v>
      </c>
      <c r="BF131" s="38">
        <f t="shared" si="79"/>
        <v>220533</v>
      </c>
      <c r="BG131" s="37">
        <f t="shared" ref="BG131:BG194" si="83">5%*AD131</f>
        <v>180400</v>
      </c>
      <c r="BH131" s="37">
        <f t="shared" si="80"/>
        <v>193450</v>
      </c>
      <c r="BI131">
        <v>180400</v>
      </c>
      <c r="BL131" s="8">
        <f t="shared" si="81"/>
        <v>0</v>
      </c>
      <c r="BM131" s="7" t="str">
        <f t="shared" si="61"/>
        <v>Terdaftar BPJS Kes &amp; Naker</v>
      </c>
      <c r="BN131" s="11">
        <f t="shared" si="62"/>
        <v>220533</v>
      </c>
      <c r="BO131" s="11">
        <f t="shared" si="63"/>
        <v>175652.6</v>
      </c>
      <c r="BP131" s="9">
        <f t="shared" si="82"/>
        <v>0</v>
      </c>
      <c r="BQ131" t="str">
        <f>_xlfn.XLOOKUP(X131,'[2]NON TETAP'!$H:$H,'[2]NON TETAP'!$I:$I)</f>
        <v>GRAMEDIA ASRI MEDIA</v>
      </c>
    </row>
    <row r="132" spans="1:69" x14ac:dyDescent="0.3">
      <c r="A132" s="2">
        <v>131</v>
      </c>
      <c r="B132" s="5" t="s">
        <v>3404</v>
      </c>
      <c r="C132" s="6" t="s">
        <v>241</v>
      </c>
      <c r="D132" s="6"/>
      <c r="E132" s="6" t="s">
        <v>73</v>
      </c>
      <c r="F132" s="6" t="s">
        <v>73</v>
      </c>
      <c r="G132" s="6"/>
      <c r="H132" s="6"/>
      <c r="I132" s="6"/>
      <c r="J132" s="6"/>
      <c r="K132" s="6">
        <v>800178</v>
      </c>
      <c r="L132" s="6"/>
      <c r="M132" s="6">
        <v>25023141192</v>
      </c>
      <c r="N132" s="46" t="s">
        <v>3403</v>
      </c>
      <c r="O132" s="6">
        <v>1505616671</v>
      </c>
      <c r="P132" s="78" t="s">
        <v>3402</v>
      </c>
      <c r="Q132" s="6">
        <v>10113</v>
      </c>
      <c r="R132" s="6">
        <v>27113</v>
      </c>
      <c r="S132" s="5" t="str">
        <f>VLOOKUP(T132,'[1]Kode Posisi'!$A$3:$B$45,2,)</f>
        <v>Outsourcing Keamanan</v>
      </c>
      <c r="T132" s="36" t="s">
        <v>37</v>
      </c>
      <c r="U132" s="44" t="s">
        <v>1131</v>
      </c>
      <c r="V132" s="44" t="s">
        <v>3401</v>
      </c>
      <c r="W132" s="36" t="s">
        <v>1129</v>
      </c>
      <c r="X132" s="36" t="s">
        <v>1128</v>
      </c>
      <c r="Y132" s="36" t="s">
        <v>1294</v>
      </c>
      <c r="Z132" s="79" t="s">
        <v>3400</v>
      </c>
      <c r="AA132" s="36" t="s">
        <v>3399</v>
      </c>
      <c r="AB132" s="47">
        <v>4193000</v>
      </c>
      <c r="AC132" s="41">
        <v>4193000</v>
      </c>
      <c r="AD132" s="47">
        <v>3917000</v>
      </c>
      <c r="AE132" s="16">
        <f t="shared" si="64"/>
        <v>276000</v>
      </c>
      <c r="AF132" s="16">
        <v>0</v>
      </c>
      <c r="AG132" s="16">
        <v>0</v>
      </c>
      <c r="AH132" s="16"/>
      <c r="AI132" s="16">
        <v>0</v>
      </c>
      <c r="AJ132" s="16"/>
      <c r="AK132" s="16">
        <v>0</v>
      </c>
      <c r="AL132" s="11">
        <f t="shared" si="65"/>
        <v>4193000</v>
      </c>
      <c r="AM132" s="16">
        <f t="shared" si="66"/>
        <v>429363.19999999995</v>
      </c>
      <c r="AN132" s="16">
        <f t="shared" si="67"/>
        <v>167720</v>
      </c>
      <c r="AO132" s="16">
        <f t="shared" si="60"/>
        <v>261643.19999999998</v>
      </c>
      <c r="AP132" s="16">
        <f t="shared" si="68"/>
        <v>155141</v>
      </c>
      <c r="AQ132" s="16">
        <f t="shared" si="69"/>
        <v>4622363.2</v>
      </c>
      <c r="AR132" s="16">
        <f t="shared" si="59"/>
        <v>277341.79200000002</v>
      </c>
      <c r="AS132" s="16">
        <f t="shared" si="70"/>
        <v>30507.597120000002</v>
      </c>
      <c r="AT132" s="16">
        <f t="shared" si="71"/>
        <v>-5546.8358400000006</v>
      </c>
      <c r="AU132" s="16">
        <f t="shared" si="72"/>
        <v>4894158.1561600007</v>
      </c>
      <c r="AV132" s="16">
        <f t="shared" si="73"/>
        <v>4899704.9920000006</v>
      </c>
      <c r="AW132" s="16">
        <f t="shared" si="74"/>
        <v>167720</v>
      </c>
      <c r="AX132" s="16" t="s">
        <v>319</v>
      </c>
      <c r="AY132" s="17"/>
      <c r="AZ132" s="17">
        <f t="shared" si="75"/>
        <v>2900</v>
      </c>
      <c r="BA132" s="16">
        <f t="shared" si="76"/>
        <v>4025280</v>
      </c>
      <c r="BB132" s="16">
        <f t="shared" si="77"/>
        <v>4022380</v>
      </c>
      <c r="BC132" s="15">
        <v>0.03</v>
      </c>
      <c r="BD132" s="15">
        <v>0.01</v>
      </c>
      <c r="BE132" s="37">
        <f t="shared" si="78"/>
        <v>387433.2</v>
      </c>
      <c r="BF132" s="38">
        <f t="shared" si="79"/>
        <v>239001.00000000003</v>
      </c>
      <c r="BG132" s="37">
        <f t="shared" si="83"/>
        <v>195850</v>
      </c>
      <c r="BH132" s="37">
        <f t="shared" si="80"/>
        <v>209650</v>
      </c>
      <c r="BI132">
        <v>195850</v>
      </c>
      <c r="BL132" s="8">
        <f t="shared" si="81"/>
        <v>0</v>
      </c>
      <c r="BM132" s="7" t="str">
        <f t="shared" si="61"/>
        <v>Terdaftar BPJS Kes &amp; Naker</v>
      </c>
      <c r="BN132" s="11">
        <f t="shared" si="62"/>
        <v>239001</v>
      </c>
      <c r="BO132" s="11">
        <f t="shared" si="63"/>
        <v>190362.2</v>
      </c>
      <c r="BP132" s="9">
        <f t="shared" si="82"/>
        <v>0</v>
      </c>
      <c r="BQ132" t="str">
        <f>_xlfn.XLOOKUP(X132,'[2]NON TETAP'!$H:$H,'[2]NON TETAP'!$I:$I)</f>
        <v>GRAMEDIA ASRI MEDIA</v>
      </c>
    </row>
    <row r="133" spans="1:69" x14ac:dyDescent="0.3">
      <c r="A133" s="2">
        <v>132</v>
      </c>
      <c r="B133" s="5" t="s">
        <v>3394</v>
      </c>
      <c r="C133" s="6" t="s">
        <v>241</v>
      </c>
      <c r="D133" s="6"/>
      <c r="E133" s="6" t="s">
        <v>73</v>
      </c>
      <c r="F133" s="6" t="s">
        <v>73</v>
      </c>
      <c r="G133" s="6"/>
      <c r="H133" s="6"/>
      <c r="I133" s="6"/>
      <c r="J133" s="6"/>
      <c r="K133" s="6">
        <v>800180</v>
      </c>
      <c r="L133" s="6"/>
      <c r="M133" s="6">
        <v>25023141200</v>
      </c>
      <c r="N133" s="46" t="s">
        <v>3398</v>
      </c>
      <c r="O133" s="6">
        <v>323350795</v>
      </c>
      <c r="P133" s="78" t="s">
        <v>3397</v>
      </c>
      <c r="Q133" s="6">
        <v>10113</v>
      </c>
      <c r="R133" s="6">
        <v>27113</v>
      </c>
      <c r="S133" s="5" t="str">
        <f>VLOOKUP(T133,'[1]Kode Posisi'!$A$3:$B$45,2,)</f>
        <v>Outsourcing Keamanan</v>
      </c>
      <c r="T133" s="36" t="s">
        <v>37</v>
      </c>
      <c r="U133" s="44" t="s">
        <v>1131</v>
      </c>
      <c r="V133" s="44" t="s">
        <v>3396</v>
      </c>
      <c r="W133" s="36" t="s">
        <v>1129</v>
      </c>
      <c r="X133" s="36" t="s">
        <v>1128</v>
      </c>
      <c r="Y133" s="36" t="s">
        <v>1294</v>
      </c>
      <c r="Z133" s="79" t="s">
        <v>3395</v>
      </c>
      <c r="AA133" s="36" t="s">
        <v>3394</v>
      </c>
      <c r="AB133" s="47">
        <v>4193000</v>
      </c>
      <c r="AC133" s="41">
        <v>4193000</v>
      </c>
      <c r="AD133" s="47">
        <v>3917000</v>
      </c>
      <c r="AE133" s="16">
        <f t="shared" si="64"/>
        <v>276000</v>
      </c>
      <c r="AF133" s="16">
        <v>0</v>
      </c>
      <c r="AG133" s="16">
        <v>0</v>
      </c>
      <c r="AH133" s="16"/>
      <c r="AI133" s="16">
        <v>0</v>
      </c>
      <c r="AJ133" s="16"/>
      <c r="AK133" s="16">
        <v>0</v>
      </c>
      <c r="AL133" s="11">
        <f t="shared" si="65"/>
        <v>4193000</v>
      </c>
      <c r="AM133" s="16">
        <f t="shared" si="66"/>
        <v>429363.19999999995</v>
      </c>
      <c r="AN133" s="16">
        <f t="shared" si="67"/>
        <v>167720</v>
      </c>
      <c r="AO133" s="16">
        <f t="shared" si="60"/>
        <v>261643.19999999998</v>
      </c>
      <c r="AP133" s="16">
        <f t="shared" si="68"/>
        <v>155141</v>
      </c>
      <c r="AQ133" s="16">
        <f t="shared" si="69"/>
        <v>4622363.2</v>
      </c>
      <c r="AR133" s="16">
        <f t="shared" si="59"/>
        <v>277341.79200000002</v>
      </c>
      <c r="AS133" s="16">
        <f t="shared" si="70"/>
        <v>30507.597120000002</v>
      </c>
      <c r="AT133" s="16">
        <f t="shared" si="71"/>
        <v>-5546.8358400000006</v>
      </c>
      <c r="AU133" s="16">
        <f t="shared" si="72"/>
        <v>4894158.1561600007</v>
      </c>
      <c r="AV133" s="16">
        <f t="shared" si="73"/>
        <v>4899704.9920000006</v>
      </c>
      <c r="AW133" s="16">
        <f t="shared" si="74"/>
        <v>167720</v>
      </c>
      <c r="AX133" s="16" t="s">
        <v>319</v>
      </c>
      <c r="AY133" s="17"/>
      <c r="AZ133" s="17">
        <f t="shared" si="75"/>
        <v>2900</v>
      </c>
      <c r="BA133" s="16">
        <f t="shared" si="76"/>
        <v>4025280</v>
      </c>
      <c r="BB133" s="16">
        <f t="shared" si="77"/>
        <v>4022380</v>
      </c>
      <c r="BC133" s="15">
        <v>0.03</v>
      </c>
      <c r="BD133" s="15">
        <v>0.01</v>
      </c>
      <c r="BE133" s="37">
        <f t="shared" si="78"/>
        <v>387433.2</v>
      </c>
      <c r="BF133" s="38">
        <f t="shared" si="79"/>
        <v>239001.00000000003</v>
      </c>
      <c r="BG133" s="37">
        <f t="shared" si="83"/>
        <v>195850</v>
      </c>
      <c r="BH133" s="37">
        <f t="shared" si="80"/>
        <v>209650</v>
      </c>
      <c r="BI133">
        <v>195850</v>
      </c>
      <c r="BL133" s="8">
        <f t="shared" si="81"/>
        <v>0</v>
      </c>
      <c r="BM133" s="7" t="str">
        <f t="shared" si="61"/>
        <v>Terdaftar BPJS Kes &amp; Naker</v>
      </c>
      <c r="BN133" s="11">
        <f t="shared" si="62"/>
        <v>239001</v>
      </c>
      <c r="BO133" s="11">
        <f t="shared" si="63"/>
        <v>190362.2</v>
      </c>
      <c r="BP133" s="9">
        <f t="shared" si="82"/>
        <v>0</v>
      </c>
      <c r="BQ133" t="str">
        <f>_xlfn.XLOOKUP(X133,'[2]NON TETAP'!$H:$H,'[2]NON TETAP'!$I:$I)</f>
        <v>GRAMEDIA ASRI MEDIA</v>
      </c>
    </row>
    <row r="134" spans="1:69" x14ac:dyDescent="0.3">
      <c r="A134" s="2">
        <v>133</v>
      </c>
      <c r="B134" s="5" t="s">
        <v>3389</v>
      </c>
      <c r="C134" s="6" t="s">
        <v>241</v>
      </c>
      <c r="D134" s="6"/>
      <c r="E134" s="6" t="s">
        <v>73</v>
      </c>
      <c r="F134" s="6" t="s">
        <v>73</v>
      </c>
      <c r="G134" s="6"/>
      <c r="H134" s="6"/>
      <c r="I134" s="6"/>
      <c r="J134" s="6"/>
      <c r="K134" s="6">
        <v>800181</v>
      </c>
      <c r="L134" s="6"/>
      <c r="M134" s="6">
        <v>25023141218</v>
      </c>
      <c r="N134" s="46" t="s">
        <v>3393</v>
      </c>
      <c r="O134" s="6">
        <v>1506109421</v>
      </c>
      <c r="P134" s="78" t="s">
        <v>3392</v>
      </c>
      <c r="Q134" s="6">
        <v>10113</v>
      </c>
      <c r="R134" s="6">
        <v>27113</v>
      </c>
      <c r="S134" s="5" t="str">
        <f>VLOOKUP(T134,'[1]Kode Posisi'!$A$3:$B$45,2,)</f>
        <v>Outsourcing Keamanan</v>
      </c>
      <c r="T134" s="36" t="s">
        <v>37</v>
      </c>
      <c r="U134" s="44" t="s">
        <v>1131</v>
      </c>
      <c r="V134" s="44" t="s">
        <v>3391</v>
      </c>
      <c r="W134" s="36" t="s">
        <v>1129</v>
      </c>
      <c r="X134" s="36" t="s">
        <v>1128</v>
      </c>
      <c r="Y134" s="36" t="s">
        <v>1294</v>
      </c>
      <c r="Z134" s="79" t="s">
        <v>3390</v>
      </c>
      <c r="AA134" s="36" t="s">
        <v>3389</v>
      </c>
      <c r="AB134" s="47">
        <v>4193000</v>
      </c>
      <c r="AC134" s="41">
        <v>4193000</v>
      </c>
      <c r="AD134" s="47">
        <v>3917000</v>
      </c>
      <c r="AE134" s="16">
        <f t="shared" si="64"/>
        <v>276000</v>
      </c>
      <c r="AF134" s="16">
        <v>0</v>
      </c>
      <c r="AG134" s="16">
        <v>0</v>
      </c>
      <c r="AH134" s="16"/>
      <c r="AI134" s="16">
        <v>0</v>
      </c>
      <c r="AJ134" s="16"/>
      <c r="AK134" s="16">
        <v>0</v>
      </c>
      <c r="AL134" s="11">
        <f t="shared" si="65"/>
        <v>4193000</v>
      </c>
      <c r="AM134" s="16">
        <f t="shared" si="66"/>
        <v>429363.19999999995</v>
      </c>
      <c r="AN134" s="16">
        <f t="shared" si="67"/>
        <v>167720</v>
      </c>
      <c r="AO134" s="16">
        <f t="shared" ref="AO134:AO142" si="84">IF(BC134=0.03,AC134*0.0624,0)</f>
        <v>261643.19999999998</v>
      </c>
      <c r="AP134" s="16">
        <f t="shared" si="68"/>
        <v>155141</v>
      </c>
      <c r="AQ134" s="16">
        <f t="shared" si="69"/>
        <v>4622363.2</v>
      </c>
      <c r="AR134" s="16">
        <f t="shared" si="59"/>
        <v>277341.79200000002</v>
      </c>
      <c r="AS134" s="16">
        <f t="shared" si="70"/>
        <v>30507.597120000002</v>
      </c>
      <c r="AT134" s="16">
        <f t="shared" si="71"/>
        <v>-5546.8358400000006</v>
      </c>
      <c r="AU134" s="16">
        <f t="shared" si="72"/>
        <v>4894158.1561600007</v>
      </c>
      <c r="AV134" s="16">
        <f t="shared" si="73"/>
        <v>4899704.9920000006</v>
      </c>
      <c r="AW134" s="16">
        <f t="shared" si="74"/>
        <v>167720</v>
      </c>
      <c r="AX134" s="16" t="s">
        <v>243</v>
      </c>
      <c r="AY134" s="17"/>
      <c r="AZ134" s="17">
        <f t="shared" si="75"/>
        <v>2900</v>
      </c>
      <c r="BA134" s="16">
        <f t="shared" si="76"/>
        <v>4025280</v>
      </c>
      <c r="BB134" s="16">
        <f t="shared" si="77"/>
        <v>4022380</v>
      </c>
      <c r="BC134" s="15">
        <v>0.03</v>
      </c>
      <c r="BD134" s="15">
        <v>0.01</v>
      </c>
      <c r="BE134" s="37">
        <f t="shared" si="78"/>
        <v>387433.2</v>
      </c>
      <c r="BF134" s="38">
        <f t="shared" si="79"/>
        <v>239001.00000000003</v>
      </c>
      <c r="BG134" s="37">
        <f t="shared" si="83"/>
        <v>195850</v>
      </c>
      <c r="BH134" s="37">
        <f t="shared" si="80"/>
        <v>209650</v>
      </c>
      <c r="BI134">
        <v>195850</v>
      </c>
      <c r="BL134" s="8">
        <f t="shared" si="81"/>
        <v>0</v>
      </c>
      <c r="BM134" s="7" t="str">
        <f t="shared" si="61"/>
        <v>Terdaftar BPJS Kes &amp; Naker</v>
      </c>
      <c r="BN134" s="11">
        <f t="shared" si="62"/>
        <v>239001</v>
      </c>
      <c r="BO134" s="11">
        <f t="shared" si="63"/>
        <v>190362.2</v>
      </c>
      <c r="BP134" s="9">
        <f t="shared" si="82"/>
        <v>0</v>
      </c>
      <c r="BQ134" t="str">
        <f>_xlfn.XLOOKUP(X134,'[2]NON TETAP'!$H:$H,'[2]NON TETAP'!$I:$I)</f>
        <v>GRAMEDIA ASRI MEDIA</v>
      </c>
    </row>
    <row r="135" spans="1:69" x14ac:dyDescent="0.3">
      <c r="A135" s="2">
        <v>134</v>
      </c>
      <c r="B135" s="5" t="s">
        <v>3384</v>
      </c>
      <c r="C135" s="6" t="s">
        <v>241</v>
      </c>
      <c r="D135" s="6"/>
      <c r="E135" s="6" t="s">
        <v>73</v>
      </c>
      <c r="F135" s="6" t="s">
        <v>73</v>
      </c>
      <c r="G135" s="6"/>
      <c r="H135" s="6"/>
      <c r="I135" s="6"/>
      <c r="J135" s="6"/>
      <c r="K135" s="6">
        <v>800182</v>
      </c>
      <c r="L135" s="6"/>
      <c r="M135" s="6">
        <v>24045287620</v>
      </c>
      <c r="N135" s="46" t="s">
        <v>3388</v>
      </c>
      <c r="O135" s="6">
        <v>323810166</v>
      </c>
      <c r="P135" s="78" t="s">
        <v>3387</v>
      </c>
      <c r="Q135" s="6">
        <v>10113</v>
      </c>
      <c r="R135" s="6">
        <v>27113</v>
      </c>
      <c r="S135" s="5" t="str">
        <f>VLOOKUP(T135,'[1]Kode Posisi'!$A$3:$B$45,2,)</f>
        <v>Outsourcing Keamanan</v>
      </c>
      <c r="T135" s="36" t="s">
        <v>37</v>
      </c>
      <c r="U135" s="44" t="s">
        <v>1131</v>
      </c>
      <c r="V135" s="44" t="s">
        <v>3386</v>
      </c>
      <c r="W135" s="36" t="s">
        <v>1129</v>
      </c>
      <c r="X135" s="36" t="s">
        <v>1128</v>
      </c>
      <c r="Y135" s="36" t="s">
        <v>1294</v>
      </c>
      <c r="Z135" s="79" t="s">
        <v>3385</v>
      </c>
      <c r="AA135" s="36" t="s">
        <v>3384</v>
      </c>
      <c r="AB135" s="47">
        <v>4193000</v>
      </c>
      <c r="AC135" s="41">
        <v>4193000</v>
      </c>
      <c r="AD135" s="47">
        <v>3917000</v>
      </c>
      <c r="AE135" s="16">
        <f t="shared" si="64"/>
        <v>276000</v>
      </c>
      <c r="AF135" s="16">
        <v>0</v>
      </c>
      <c r="AG135" s="16">
        <v>0</v>
      </c>
      <c r="AH135" s="16"/>
      <c r="AI135" s="16">
        <v>0</v>
      </c>
      <c r="AJ135" s="16"/>
      <c r="AK135" s="16">
        <v>0</v>
      </c>
      <c r="AL135" s="11">
        <f t="shared" si="65"/>
        <v>4193000</v>
      </c>
      <c r="AM135" s="16">
        <f t="shared" si="66"/>
        <v>429363.19999999995</v>
      </c>
      <c r="AN135" s="16">
        <f t="shared" si="67"/>
        <v>167720</v>
      </c>
      <c r="AO135" s="16">
        <f t="shared" si="84"/>
        <v>261643.19999999998</v>
      </c>
      <c r="AP135" s="16">
        <f t="shared" si="68"/>
        <v>155141</v>
      </c>
      <c r="AQ135" s="16">
        <f t="shared" si="69"/>
        <v>4622363.2</v>
      </c>
      <c r="AR135" s="16">
        <f t="shared" si="59"/>
        <v>277341.79200000002</v>
      </c>
      <c r="AS135" s="16">
        <f t="shared" si="70"/>
        <v>30507.597120000002</v>
      </c>
      <c r="AT135" s="16">
        <f t="shared" si="71"/>
        <v>-5546.8358400000006</v>
      </c>
      <c r="AU135" s="16">
        <f t="shared" si="72"/>
        <v>4894158.1561600007</v>
      </c>
      <c r="AV135" s="16">
        <f t="shared" si="73"/>
        <v>4899704.9920000006</v>
      </c>
      <c r="AW135" s="16">
        <f t="shared" si="74"/>
        <v>167720</v>
      </c>
      <c r="AX135" s="16" t="s">
        <v>286</v>
      </c>
      <c r="AY135" s="17"/>
      <c r="AZ135" s="17">
        <f t="shared" si="75"/>
        <v>2900</v>
      </c>
      <c r="BA135" s="16">
        <f t="shared" si="76"/>
        <v>4025280</v>
      </c>
      <c r="BB135" s="16">
        <f t="shared" si="77"/>
        <v>4022380</v>
      </c>
      <c r="BC135" s="15">
        <v>0.03</v>
      </c>
      <c r="BD135" s="15">
        <v>0.01</v>
      </c>
      <c r="BE135" s="37">
        <f t="shared" si="78"/>
        <v>387433.2</v>
      </c>
      <c r="BF135" s="38">
        <f t="shared" si="79"/>
        <v>239001.00000000003</v>
      </c>
      <c r="BG135" s="37">
        <f t="shared" si="83"/>
        <v>195850</v>
      </c>
      <c r="BH135" s="37">
        <f t="shared" si="80"/>
        <v>209650</v>
      </c>
      <c r="BI135">
        <v>195850</v>
      </c>
      <c r="BL135" s="8">
        <f t="shared" si="81"/>
        <v>0</v>
      </c>
      <c r="BM135" s="7" t="str">
        <f t="shared" si="61"/>
        <v>Terdaftar BPJS Kes &amp; Naker</v>
      </c>
      <c r="BN135" s="11">
        <f t="shared" si="62"/>
        <v>239001</v>
      </c>
      <c r="BO135" s="11">
        <f t="shared" si="63"/>
        <v>190362.2</v>
      </c>
      <c r="BP135" s="9">
        <f t="shared" si="82"/>
        <v>0</v>
      </c>
      <c r="BQ135" t="str">
        <f>_xlfn.XLOOKUP(X135,'[2]NON TETAP'!$H:$H,'[2]NON TETAP'!$I:$I)</f>
        <v>GRAMEDIA ASRI MEDIA</v>
      </c>
    </row>
    <row r="136" spans="1:69" x14ac:dyDescent="0.3">
      <c r="A136" s="2">
        <v>135</v>
      </c>
      <c r="B136" s="5" t="s">
        <v>3379</v>
      </c>
      <c r="C136" s="6" t="s">
        <v>241</v>
      </c>
      <c r="D136" s="6"/>
      <c r="E136" s="6" t="s">
        <v>73</v>
      </c>
      <c r="F136" s="6" t="s">
        <v>73</v>
      </c>
      <c r="G136" s="6"/>
      <c r="H136" s="6"/>
      <c r="I136" s="6"/>
      <c r="J136" s="6"/>
      <c r="K136" s="6">
        <v>800183</v>
      </c>
      <c r="L136" s="6"/>
      <c r="M136" s="6">
        <v>12032521515</v>
      </c>
      <c r="N136" s="46" t="s">
        <v>3383</v>
      </c>
      <c r="O136" s="6">
        <v>1293492969</v>
      </c>
      <c r="P136" s="78" t="s">
        <v>3382</v>
      </c>
      <c r="Q136" s="6">
        <v>10488</v>
      </c>
      <c r="R136" s="6">
        <v>27488</v>
      </c>
      <c r="S136" s="5" t="str">
        <f>VLOOKUP(T136,'[1]Kode Posisi'!$A$3:$B$45,2,)</f>
        <v>Outsourcing Keamanan</v>
      </c>
      <c r="T136" s="36" t="s">
        <v>37</v>
      </c>
      <c r="U136" s="44" t="s">
        <v>1751</v>
      </c>
      <c r="V136" s="44" t="s">
        <v>3381</v>
      </c>
      <c r="W136" s="36" t="s">
        <v>1749</v>
      </c>
      <c r="X136" s="36" t="s">
        <v>965</v>
      </c>
      <c r="Y136" s="36" t="s">
        <v>52</v>
      </c>
      <c r="Z136" s="79" t="s">
        <v>3380</v>
      </c>
      <c r="AA136" s="36" t="s">
        <v>3379</v>
      </c>
      <c r="AB136" s="47">
        <v>4193000</v>
      </c>
      <c r="AC136" s="41">
        <v>4193000</v>
      </c>
      <c r="AD136" s="47">
        <v>3917000</v>
      </c>
      <c r="AE136" s="16">
        <f t="shared" si="64"/>
        <v>276000</v>
      </c>
      <c r="AF136" s="16">
        <v>0</v>
      </c>
      <c r="AG136" s="16">
        <v>0</v>
      </c>
      <c r="AH136" s="16"/>
      <c r="AI136" s="16">
        <v>0</v>
      </c>
      <c r="AJ136" s="16"/>
      <c r="AK136" s="16">
        <v>0</v>
      </c>
      <c r="AL136" s="11">
        <f t="shared" si="65"/>
        <v>4193000</v>
      </c>
      <c r="AM136" s="16">
        <f t="shared" si="66"/>
        <v>429363.19999999995</v>
      </c>
      <c r="AN136" s="16">
        <f t="shared" si="67"/>
        <v>167720</v>
      </c>
      <c r="AO136" s="16">
        <f t="shared" si="84"/>
        <v>261643.19999999998</v>
      </c>
      <c r="AP136" s="16">
        <f t="shared" si="68"/>
        <v>155141</v>
      </c>
      <c r="AQ136" s="16">
        <f t="shared" si="69"/>
        <v>4622363.2</v>
      </c>
      <c r="AR136" s="16">
        <f t="shared" si="59"/>
        <v>277341.79200000002</v>
      </c>
      <c r="AS136" s="16">
        <f t="shared" si="70"/>
        <v>30507.597120000002</v>
      </c>
      <c r="AT136" s="16">
        <f t="shared" si="71"/>
        <v>-5546.8358400000006</v>
      </c>
      <c r="AU136" s="16">
        <f t="shared" si="72"/>
        <v>4894158.1561600007</v>
      </c>
      <c r="AV136" s="16">
        <f t="shared" si="73"/>
        <v>4899704.9920000006</v>
      </c>
      <c r="AW136" s="16">
        <f t="shared" si="74"/>
        <v>167720</v>
      </c>
      <c r="AX136" s="16" t="s">
        <v>286</v>
      </c>
      <c r="AY136" s="17"/>
      <c r="AZ136" s="17">
        <f t="shared" si="75"/>
        <v>0</v>
      </c>
      <c r="BA136" s="16">
        <f t="shared" si="76"/>
        <v>4025280</v>
      </c>
      <c r="BB136" s="16">
        <f t="shared" si="77"/>
        <v>4025280</v>
      </c>
      <c r="BC136" s="15">
        <v>0.03</v>
      </c>
      <c r="BD136" s="15">
        <v>0.01</v>
      </c>
      <c r="BE136" s="37">
        <f t="shared" si="78"/>
        <v>387433.2</v>
      </c>
      <c r="BF136" s="38">
        <f t="shared" si="79"/>
        <v>239001.00000000003</v>
      </c>
      <c r="BG136" s="37">
        <f t="shared" si="83"/>
        <v>195850</v>
      </c>
      <c r="BH136" s="37">
        <f t="shared" si="80"/>
        <v>209650</v>
      </c>
      <c r="BI136">
        <v>195850</v>
      </c>
      <c r="BL136" s="8">
        <f t="shared" si="81"/>
        <v>0</v>
      </c>
      <c r="BM136" s="7" t="str">
        <f t="shared" si="61"/>
        <v>Terdaftar BPJS Kes &amp; Naker</v>
      </c>
      <c r="BN136" s="11">
        <f t="shared" si="62"/>
        <v>239001</v>
      </c>
      <c r="BO136" s="11">
        <f t="shared" si="63"/>
        <v>190362.2</v>
      </c>
      <c r="BP136" s="9">
        <f t="shared" si="82"/>
        <v>0</v>
      </c>
      <c r="BQ136" t="str">
        <f>_xlfn.XLOOKUP(X136,'[2]NON TETAP'!$H:$H,'[2]NON TETAP'!$I:$I)</f>
        <v>GRAMEDIA ASRI MEDIA</v>
      </c>
    </row>
    <row r="137" spans="1:69" x14ac:dyDescent="0.3">
      <c r="A137" s="2">
        <v>136</v>
      </c>
      <c r="B137" s="5" t="s">
        <v>3374</v>
      </c>
      <c r="C137" s="6" t="s">
        <v>241</v>
      </c>
      <c r="D137" s="6"/>
      <c r="E137" s="6" t="s">
        <v>73</v>
      </c>
      <c r="F137" s="6" t="s">
        <v>73</v>
      </c>
      <c r="G137" s="6"/>
      <c r="H137" s="6"/>
      <c r="I137" s="6"/>
      <c r="J137" s="6"/>
      <c r="K137" s="6">
        <v>800185</v>
      </c>
      <c r="L137" s="6"/>
      <c r="M137" s="6">
        <v>25023141234</v>
      </c>
      <c r="N137" s="46" t="s">
        <v>3378</v>
      </c>
      <c r="O137" s="6">
        <v>1821349978</v>
      </c>
      <c r="P137" s="78" t="s">
        <v>3377</v>
      </c>
      <c r="Q137" s="6">
        <v>10488</v>
      </c>
      <c r="R137" s="6">
        <v>27488</v>
      </c>
      <c r="S137" s="5" t="str">
        <f>VLOOKUP(T137,'[1]Kode Posisi'!$A$3:$B$45,2,)</f>
        <v>Outsourcing Keamanan</v>
      </c>
      <c r="T137" s="36" t="s">
        <v>37</v>
      </c>
      <c r="U137" s="44" t="s">
        <v>1751</v>
      </c>
      <c r="V137" s="44" t="s">
        <v>3376</v>
      </c>
      <c r="W137" s="36" t="s">
        <v>1749</v>
      </c>
      <c r="X137" s="36" t="s">
        <v>965</v>
      </c>
      <c r="Y137" s="36" t="s">
        <v>52</v>
      </c>
      <c r="Z137" s="79" t="s">
        <v>3375</v>
      </c>
      <c r="AA137" s="36" t="s">
        <v>3374</v>
      </c>
      <c r="AB137" s="47">
        <v>4193000</v>
      </c>
      <c r="AC137" s="41">
        <v>4193000</v>
      </c>
      <c r="AD137" s="47">
        <v>3917000</v>
      </c>
      <c r="AE137" s="16">
        <f t="shared" si="64"/>
        <v>276000</v>
      </c>
      <c r="AF137" s="16">
        <v>0</v>
      </c>
      <c r="AG137" s="16">
        <v>0</v>
      </c>
      <c r="AH137" s="16"/>
      <c r="AI137" s="16">
        <v>0</v>
      </c>
      <c r="AJ137" s="16"/>
      <c r="AK137" s="16">
        <v>0</v>
      </c>
      <c r="AL137" s="11">
        <f t="shared" si="65"/>
        <v>4193000</v>
      </c>
      <c r="AM137" s="16">
        <f t="shared" si="66"/>
        <v>429363.19999999995</v>
      </c>
      <c r="AN137" s="16">
        <f t="shared" si="67"/>
        <v>167720</v>
      </c>
      <c r="AO137" s="16">
        <f t="shared" si="84"/>
        <v>261643.19999999998</v>
      </c>
      <c r="AP137" s="16">
        <f t="shared" si="68"/>
        <v>155141</v>
      </c>
      <c r="AQ137" s="16">
        <f t="shared" si="69"/>
        <v>4622363.2</v>
      </c>
      <c r="AR137" s="16">
        <f t="shared" si="59"/>
        <v>277341.79200000002</v>
      </c>
      <c r="AS137" s="16">
        <f t="shared" si="70"/>
        <v>30507.597120000002</v>
      </c>
      <c r="AT137" s="16">
        <f t="shared" si="71"/>
        <v>-5546.8358400000006</v>
      </c>
      <c r="AU137" s="16">
        <f t="shared" si="72"/>
        <v>4894158.1561600007</v>
      </c>
      <c r="AV137" s="16">
        <f t="shared" si="73"/>
        <v>4899704.9920000006</v>
      </c>
      <c r="AW137" s="16">
        <f t="shared" si="74"/>
        <v>167720</v>
      </c>
      <c r="AX137" s="16" t="s">
        <v>319</v>
      </c>
      <c r="AY137" s="17"/>
      <c r="AZ137" s="17">
        <f t="shared" si="75"/>
        <v>0</v>
      </c>
      <c r="BA137" s="16">
        <f t="shared" si="76"/>
        <v>4025280</v>
      </c>
      <c r="BB137" s="16">
        <f t="shared" si="77"/>
        <v>4025280</v>
      </c>
      <c r="BC137" s="15">
        <v>0.03</v>
      </c>
      <c r="BD137" s="15">
        <v>0.01</v>
      </c>
      <c r="BE137" s="37">
        <f t="shared" si="78"/>
        <v>387433.2</v>
      </c>
      <c r="BF137" s="38">
        <f t="shared" si="79"/>
        <v>239001.00000000003</v>
      </c>
      <c r="BG137" s="37">
        <f t="shared" si="83"/>
        <v>195850</v>
      </c>
      <c r="BH137" s="37">
        <f t="shared" si="80"/>
        <v>209650</v>
      </c>
      <c r="BI137">
        <v>195850</v>
      </c>
      <c r="BL137" s="8">
        <f t="shared" si="81"/>
        <v>0</v>
      </c>
      <c r="BM137" s="7" t="str">
        <f t="shared" si="61"/>
        <v>Terdaftar BPJS Kes &amp; Naker</v>
      </c>
      <c r="BN137" s="11">
        <f t="shared" si="62"/>
        <v>239001</v>
      </c>
      <c r="BO137" s="11">
        <f t="shared" si="63"/>
        <v>190362.2</v>
      </c>
      <c r="BP137" s="9">
        <f t="shared" si="82"/>
        <v>0</v>
      </c>
      <c r="BQ137" t="str">
        <f>_xlfn.XLOOKUP(X137,'[2]NON TETAP'!$H:$H,'[2]NON TETAP'!$I:$I)</f>
        <v>GRAMEDIA ASRI MEDIA</v>
      </c>
    </row>
    <row r="138" spans="1:69" x14ac:dyDescent="0.3">
      <c r="A138" s="2">
        <v>137</v>
      </c>
      <c r="B138" s="5" t="s">
        <v>3369</v>
      </c>
      <c r="C138" s="6" t="s">
        <v>241</v>
      </c>
      <c r="D138" s="6"/>
      <c r="E138" s="6" t="s">
        <v>73</v>
      </c>
      <c r="F138" s="6" t="s">
        <v>73</v>
      </c>
      <c r="G138" s="6"/>
      <c r="H138" s="6"/>
      <c r="I138" s="6"/>
      <c r="J138" s="6"/>
      <c r="K138" s="6">
        <v>800186</v>
      </c>
      <c r="L138" s="6"/>
      <c r="M138" s="6">
        <v>24045287695</v>
      </c>
      <c r="N138" s="46" t="s">
        <v>3373</v>
      </c>
      <c r="O138" s="6">
        <v>1507230213</v>
      </c>
      <c r="P138" s="78" t="s">
        <v>3372</v>
      </c>
      <c r="Q138" s="6">
        <v>10488</v>
      </c>
      <c r="R138" s="6">
        <v>27488</v>
      </c>
      <c r="S138" s="5" t="str">
        <f>VLOOKUP(T138,'[1]Kode Posisi'!$A$3:$B$45,2,)</f>
        <v>Outsourcing Keamanan</v>
      </c>
      <c r="T138" s="36" t="s">
        <v>37</v>
      </c>
      <c r="U138" s="44" t="s">
        <v>1751</v>
      </c>
      <c r="V138" s="44" t="s">
        <v>3371</v>
      </c>
      <c r="W138" s="36" t="s">
        <v>1749</v>
      </c>
      <c r="X138" s="36" t="s">
        <v>965</v>
      </c>
      <c r="Y138" s="36" t="s">
        <v>52</v>
      </c>
      <c r="Z138" s="79" t="s">
        <v>3370</v>
      </c>
      <c r="AA138" s="36" t="s">
        <v>3369</v>
      </c>
      <c r="AB138" s="47">
        <v>4193000</v>
      </c>
      <c r="AC138" s="41">
        <v>4193000</v>
      </c>
      <c r="AD138" s="47">
        <v>3917000</v>
      </c>
      <c r="AE138" s="16">
        <f t="shared" si="64"/>
        <v>276000</v>
      </c>
      <c r="AF138" s="16">
        <v>0</v>
      </c>
      <c r="AG138" s="16">
        <v>0</v>
      </c>
      <c r="AH138" s="16"/>
      <c r="AI138" s="16">
        <v>0</v>
      </c>
      <c r="AJ138" s="16"/>
      <c r="AK138" s="16">
        <v>0</v>
      </c>
      <c r="AL138" s="11">
        <f t="shared" si="65"/>
        <v>4193000</v>
      </c>
      <c r="AM138" s="16">
        <f t="shared" si="66"/>
        <v>429363.19999999995</v>
      </c>
      <c r="AN138" s="16">
        <f t="shared" si="67"/>
        <v>167720</v>
      </c>
      <c r="AO138" s="16">
        <f t="shared" si="84"/>
        <v>261643.19999999998</v>
      </c>
      <c r="AP138" s="16">
        <f t="shared" si="68"/>
        <v>155141</v>
      </c>
      <c r="AQ138" s="16">
        <f t="shared" si="69"/>
        <v>4622363.2</v>
      </c>
      <c r="AR138" s="16">
        <f t="shared" si="59"/>
        <v>277341.79200000002</v>
      </c>
      <c r="AS138" s="16">
        <f t="shared" si="70"/>
        <v>30507.597120000002</v>
      </c>
      <c r="AT138" s="16">
        <f t="shared" si="71"/>
        <v>-5546.8358400000006</v>
      </c>
      <c r="AU138" s="16">
        <f t="shared" si="72"/>
        <v>4894158.1561600007</v>
      </c>
      <c r="AV138" s="16">
        <f t="shared" si="73"/>
        <v>4899704.9920000006</v>
      </c>
      <c r="AW138" s="16">
        <f t="shared" si="74"/>
        <v>167720</v>
      </c>
      <c r="AX138" s="16" t="s">
        <v>319</v>
      </c>
      <c r="AY138" s="17"/>
      <c r="AZ138" s="17">
        <f t="shared" si="75"/>
        <v>0</v>
      </c>
      <c r="BA138" s="16">
        <f t="shared" si="76"/>
        <v>4025280</v>
      </c>
      <c r="BB138" s="16">
        <f t="shared" si="77"/>
        <v>4025280</v>
      </c>
      <c r="BC138" s="15">
        <v>0.03</v>
      </c>
      <c r="BD138" s="15">
        <v>0.01</v>
      </c>
      <c r="BE138" s="37">
        <f t="shared" si="78"/>
        <v>387433.2</v>
      </c>
      <c r="BF138" s="38">
        <f t="shared" si="79"/>
        <v>239001.00000000003</v>
      </c>
      <c r="BG138" s="37">
        <f t="shared" si="83"/>
        <v>195850</v>
      </c>
      <c r="BH138" s="37">
        <f t="shared" si="80"/>
        <v>209650</v>
      </c>
      <c r="BI138">
        <v>195850</v>
      </c>
      <c r="BL138" s="8">
        <f t="shared" si="81"/>
        <v>0</v>
      </c>
      <c r="BM138" s="7" t="str">
        <f t="shared" si="61"/>
        <v>Terdaftar BPJS Kes &amp; Naker</v>
      </c>
      <c r="BN138" s="11">
        <f t="shared" si="62"/>
        <v>239001</v>
      </c>
      <c r="BO138" s="11">
        <f t="shared" si="63"/>
        <v>190362.2</v>
      </c>
      <c r="BP138" s="9">
        <f t="shared" si="82"/>
        <v>0</v>
      </c>
      <c r="BQ138" t="str">
        <f>_xlfn.XLOOKUP(X138,'[2]NON TETAP'!$H:$H,'[2]NON TETAP'!$I:$I)</f>
        <v>GRAMEDIA ASRI MEDIA</v>
      </c>
    </row>
    <row r="139" spans="1:69" x14ac:dyDescent="0.3">
      <c r="A139" s="2">
        <v>138</v>
      </c>
      <c r="B139" s="5" t="s">
        <v>3368</v>
      </c>
      <c r="C139" s="6" t="s">
        <v>241</v>
      </c>
      <c r="D139" s="6"/>
      <c r="E139" s="6" t="s">
        <v>73</v>
      </c>
      <c r="F139" s="6" t="s">
        <v>73</v>
      </c>
      <c r="G139" s="6"/>
      <c r="H139" s="6"/>
      <c r="I139" s="6"/>
      <c r="J139" s="6"/>
      <c r="K139" s="6">
        <v>800187</v>
      </c>
      <c r="L139" s="6"/>
      <c r="M139" s="6">
        <v>25023141242</v>
      </c>
      <c r="N139" s="46" t="s">
        <v>3367</v>
      </c>
      <c r="O139" s="6">
        <v>1721198147</v>
      </c>
      <c r="P139" s="78" t="s">
        <v>3366</v>
      </c>
      <c r="Q139" s="6">
        <v>10488</v>
      </c>
      <c r="R139" s="6">
        <v>27488</v>
      </c>
      <c r="S139" s="5" t="str">
        <f>VLOOKUP(T139,'[1]Kode Posisi'!$A$3:$B$45,2,)</f>
        <v>Outsourcing Keamanan</v>
      </c>
      <c r="T139" s="36" t="s">
        <v>37</v>
      </c>
      <c r="U139" s="44" t="s">
        <v>1751</v>
      </c>
      <c r="V139" s="44" t="s">
        <v>3365</v>
      </c>
      <c r="W139" s="36" t="s">
        <v>1749</v>
      </c>
      <c r="X139" s="36" t="s">
        <v>965</v>
      </c>
      <c r="Y139" s="36" t="s">
        <v>52</v>
      </c>
      <c r="Z139" s="79" t="s">
        <v>3364</v>
      </c>
      <c r="AA139" s="36" t="s">
        <v>3363</v>
      </c>
      <c r="AB139" s="47">
        <v>4193000</v>
      </c>
      <c r="AC139" s="41">
        <v>4193000</v>
      </c>
      <c r="AD139" s="47">
        <v>3917000</v>
      </c>
      <c r="AE139" s="16">
        <f t="shared" si="64"/>
        <v>276000</v>
      </c>
      <c r="AF139" s="16">
        <v>0</v>
      </c>
      <c r="AG139" s="16">
        <v>0</v>
      </c>
      <c r="AH139" s="16"/>
      <c r="AI139" s="16">
        <v>0</v>
      </c>
      <c r="AJ139" s="16"/>
      <c r="AK139" s="16">
        <v>0</v>
      </c>
      <c r="AL139" s="11">
        <f t="shared" si="65"/>
        <v>4193000</v>
      </c>
      <c r="AM139" s="16">
        <f t="shared" si="66"/>
        <v>429363.19999999995</v>
      </c>
      <c r="AN139" s="16">
        <f t="shared" si="67"/>
        <v>167720</v>
      </c>
      <c r="AO139" s="16">
        <f t="shared" si="84"/>
        <v>261643.19999999998</v>
      </c>
      <c r="AP139" s="16">
        <f t="shared" si="68"/>
        <v>155141</v>
      </c>
      <c r="AQ139" s="16">
        <f t="shared" si="69"/>
        <v>4622363.2</v>
      </c>
      <c r="AR139" s="16">
        <f t="shared" si="59"/>
        <v>277341.79200000002</v>
      </c>
      <c r="AS139" s="16">
        <f t="shared" si="70"/>
        <v>30507.597120000002</v>
      </c>
      <c r="AT139" s="16">
        <f t="shared" si="71"/>
        <v>-5546.8358400000006</v>
      </c>
      <c r="AU139" s="16">
        <f t="shared" si="72"/>
        <v>4894158.1561600007</v>
      </c>
      <c r="AV139" s="16">
        <f t="shared" si="73"/>
        <v>4899704.9920000006</v>
      </c>
      <c r="AW139" s="16">
        <f t="shared" si="74"/>
        <v>167720</v>
      </c>
      <c r="AX139" s="16" t="s">
        <v>286</v>
      </c>
      <c r="AY139" s="17"/>
      <c r="AZ139" s="17">
        <f t="shared" si="75"/>
        <v>0</v>
      </c>
      <c r="BA139" s="16">
        <f t="shared" si="76"/>
        <v>4025280</v>
      </c>
      <c r="BB139" s="16">
        <f t="shared" si="77"/>
        <v>4025280</v>
      </c>
      <c r="BC139" s="15">
        <v>0.03</v>
      </c>
      <c r="BD139" s="15">
        <v>0.01</v>
      </c>
      <c r="BE139" s="37">
        <f t="shared" si="78"/>
        <v>387433.2</v>
      </c>
      <c r="BF139" s="38">
        <f t="shared" si="79"/>
        <v>239001.00000000003</v>
      </c>
      <c r="BG139" s="37">
        <f t="shared" si="83"/>
        <v>195850</v>
      </c>
      <c r="BH139" s="37">
        <f t="shared" si="80"/>
        <v>209650</v>
      </c>
      <c r="BI139">
        <v>195850</v>
      </c>
      <c r="BL139" s="8">
        <f t="shared" si="81"/>
        <v>0</v>
      </c>
      <c r="BM139" s="7" t="str">
        <f t="shared" si="61"/>
        <v>Terdaftar BPJS Kes &amp; Naker</v>
      </c>
      <c r="BN139" s="11">
        <f t="shared" si="62"/>
        <v>239001</v>
      </c>
      <c r="BO139" s="11">
        <f t="shared" si="63"/>
        <v>190362.2</v>
      </c>
      <c r="BP139" s="9">
        <f t="shared" si="82"/>
        <v>0</v>
      </c>
      <c r="BQ139" t="str">
        <f>_xlfn.XLOOKUP(X139,'[2]NON TETAP'!$H:$H,'[2]NON TETAP'!$I:$I)</f>
        <v>GRAMEDIA ASRI MEDIA</v>
      </c>
    </row>
    <row r="140" spans="1:69" x14ac:dyDescent="0.3">
      <c r="A140" s="2">
        <v>139</v>
      </c>
      <c r="B140" s="5" t="s">
        <v>3362</v>
      </c>
      <c r="C140" s="6" t="s">
        <v>241</v>
      </c>
      <c r="D140" s="6"/>
      <c r="E140" s="6" t="s">
        <v>73</v>
      </c>
      <c r="F140" s="6" t="s">
        <v>73</v>
      </c>
      <c r="G140" s="6"/>
      <c r="H140" s="6"/>
      <c r="I140" s="6"/>
      <c r="J140" s="6"/>
      <c r="K140" s="6">
        <v>800188</v>
      </c>
      <c r="L140" s="6"/>
      <c r="M140" s="6">
        <v>25023141259</v>
      </c>
      <c r="N140" s="46" t="s">
        <v>3361</v>
      </c>
      <c r="O140" s="6">
        <v>324179212</v>
      </c>
      <c r="P140" s="78" t="s">
        <v>3360</v>
      </c>
      <c r="Q140" s="6">
        <v>10488</v>
      </c>
      <c r="R140" s="6">
        <v>27488</v>
      </c>
      <c r="S140" s="5" t="str">
        <f>VLOOKUP(T140,'[1]Kode Posisi'!$A$3:$B$45,2,)</f>
        <v>Outsourcing Keamanan</v>
      </c>
      <c r="T140" s="36" t="s">
        <v>37</v>
      </c>
      <c r="U140" s="44" t="s">
        <v>1751</v>
      </c>
      <c r="V140" s="44" t="s">
        <v>3359</v>
      </c>
      <c r="W140" s="36" t="s">
        <v>1749</v>
      </c>
      <c r="X140" s="36" t="s">
        <v>965</v>
      </c>
      <c r="Y140" s="36" t="s">
        <v>52</v>
      </c>
      <c r="Z140" s="79" t="s">
        <v>3358</v>
      </c>
      <c r="AA140" s="36" t="s">
        <v>3357</v>
      </c>
      <c r="AB140" s="47">
        <v>4193000</v>
      </c>
      <c r="AC140" s="41">
        <v>4193000</v>
      </c>
      <c r="AD140" s="47">
        <v>3917000</v>
      </c>
      <c r="AE140" s="16">
        <f t="shared" si="64"/>
        <v>276000</v>
      </c>
      <c r="AF140" s="16">
        <v>0</v>
      </c>
      <c r="AG140" s="16">
        <v>0</v>
      </c>
      <c r="AH140" s="16"/>
      <c r="AI140" s="16">
        <v>0</v>
      </c>
      <c r="AJ140" s="16"/>
      <c r="AK140" s="16">
        <v>0</v>
      </c>
      <c r="AL140" s="11">
        <f t="shared" si="65"/>
        <v>4193000</v>
      </c>
      <c r="AM140" s="16">
        <f t="shared" si="66"/>
        <v>429363.19999999995</v>
      </c>
      <c r="AN140" s="16">
        <f t="shared" si="67"/>
        <v>167720</v>
      </c>
      <c r="AO140" s="16">
        <f t="shared" si="84"/>
        <v>261643.19999999998</v>
      </c>
      <c r="AP140" s="16">
        <f t="shared" si="68"/>
        <v>155141</v>
      </c>
      <c r="AQ140" s="16">
        <f t="shared" si="69"/>
        <v>4622363.2</v>
      </c>
      <c r="AR140" s="16">
        <f t="shared" si="59"/>
        <v>277341.79200000002</v>
      </c>
      <c r="AS140" s="16">
        <f t="shared" si="70"/>
        <v>30507.597120000002</v>
      </c>
      <c r="AT140" s="16">
        <f t="shared" si="71"/>
        <v>-5546.8358400000006</v>
      </c>
      <c r="AU140" s="16">
        <f t="shared" si="72"/>
        <v>4894158.1561600007</v>
      </c>
      <c r="AV140" s="16">
        <f t="shared" si="73"/>
        <v>4899704.9920000006</v>
      </c>
      <c r="AW140" s="16">
        <f t="shared" si="74"/>
        <v>167720</v>
      </c>
      <c r="AX140" s="16" t="s">
        <v>319</v>
      </c>
      <c r="AY140" s="17"/>
      <c r="AZ140" s="17">
        <f t="shared" si="75"/>
        <v>0</v>
      </c>
      <c r="BA140" s="16">
        <f t="shared" si="76"/>
        <v>4025280</v>
      </c>
      <c r="BB140" s="16">
        <f t="shared" si="77"/>
        <v>4025280</v>
      </c>
      <c r="BC140" s="15">
        <v>0.03</v>
      </c>
      <c r="BD140" s="15">
        <v>0.01</v>
      </c>
      <c r="BE140" s="37">
        <f t="shared" si="78"/>
        <v>387433.2</v>
      </c>
      <c r="BF140" s="38">
        <f t="shared" si="79"/>
        <v>239001.00000000003</v>
      </c>
      <c r="BG140" s="37">
        <f t="shared" si="83"/>
        <v>195850</v>
      </c>
      <c r="BH140" s="37">
        <f t="shared" si="80"/>
        <v>209650</v>
      </c>
      <c r="BI140">
        <v>195850</v>
      </c>
      <c r="BL140" s="8">
        <f t="shared" si="81"/>
        <v>0</v>
      </c>
      <c r="BM140" s="7" t="str">
        <f t="shared" si="61"/>
        <v>Terdaftar BPJS Kes &amp; Naker</v>
      </c>
      <c r="BN140" s="11">
        <f t="shared" si="62"/>
        <v>239001</v>
      </c>
      <c r="BO140" s="11">
        <f t="shared" si="63"/>
        <v>190362.2</v>
      </c>
      <c r="BP140" s="9">
        <f t="shared" si="82"/>
        <v>0</v>
      </c>
      <c r="BQ140" t="str">
        <f>_xlfn.XLOOKUP(X140,'[2]NON TETAP'!$H:$H,'[2]NON TETAP'!$I:$I)</f>
        <v>GRAMEDIA ASRI MEDIA</v>
      </c>
    </row>
    <row r="141" spans="1:69" x14ac:dyDescent="0.3">
      <c r="A141" s="2">
        <v>140</v>
      </c>
      <c r="B141" s="5" t="s">
        <v>3352</v>
      </c>
      <c r="C141" s="6" t="s">
        <v>241</v>
      </c>
      <c r="D141" s="6"/>
      <c r="E141" s="6" t="s">
        <v>73</v>
      </c>
      <c r="F141" s="6" t="s">
        <v>73</v>
      </c>
      <c r="G141" s="6"/>
      <c r="H141" s="6"/>
      <c r="I141" s="6"/>
      <c r="J141" s="6"/>
      <c r="K141" s="6">
        <v>800189</v>
      </c>
      <c r="L141" s="6"/>
      <c r="M141" s="6">
        <v>25023141267</v>
      </c>
      <c r="N141" s="46" t="s">
        <v>3356</v>
      </c>
      <c r="O141" s="6">
        <v>1507035508</v>
      </c>
      <c r="P141" s="78" t="s">
        <v>3355</v>
      </c>
      <c r="Q141" s="6">
        <v>10488</v>
      </c>
      <c r="R141" s="6">
        <v>27488</v>
      </c>
      <c r="S141" s="5" t="str">
        <f>VLOOKUP(T141,'[1]Kode Posisi'!$A$3:$B$45,2,)</f>
        <v>Outsourcing Keamanan</v>
      </c>
      <c r="T141" s="36" t="s">
        <v>37</v>
      </c>
      <c r="U141" s="44" t="s">
        <v>1751</v>
      </c>
      <c r="V141" s="44" t="s">
        <v>3354</v>
      </c>
      <c r="W141" s="36" t="s">
        <v>1749</v>
      </c>
      <c r="X141" s="36" t="s">
        <v>965</v>
      </c>
      <c r="Y141" s="36" t="s">
        <v>52</v>
      </c>
      <c r="Z141" s="79" t="s">
        <v>3353</v>
      </c>
      <c r="AA141" s="36" t="s">
        <v>3352</v>
      </c>
      <c r="AB141" s="47">
        <v>4193000</v>
      </c>
      <c r="AC141" s="41">
        <v>4193000</v>
      </c>
      <c r="AD141" s="47">
        <v>3917000</v>
      </c>
      <c r="AE141" s="16">
        <f t="shared" si="64"/>
        <v>276000</v>
      </c>
      <c r="AF141" s="16">
        <v>0</v>
      </c>
      <c r="AG141" s="16">
        <v>0</v>
      </c>
      <c r="AH141" s="16"/>
      <c r="AI141" s="16">
        <v>0</v>
      </c>
      <c r="AJ141" s="16"/>
      <c r="AK141" s="16">
        <v>0</v>
      </c>
      <c r="AL141" s="11">
        <f t="shared" si="65"/>
        <v>4193000</v>
      </c>
      <c r="AM141" s="16">
        <f t="shared" si="66"/>
        <v>429363.19999999995</v>
      </c>
      <c r="AN141" s="16">
        <f t="shared" si="67"/>
        <v>167720</v>
      </c>
      <c r="AO141" s="16">
        <f t="shared" si="84"/>
        <v>261643.19999999998</v>
      </c>
      <c r="AP141" s="16">
        <f t="shared" si="68"/>
        <v>155141</v>
      </c>
      <c r="AQ141" s="16">
        <f t="shared" si="69"/>
        <v>4622363.2</v>
      </c>
      <c r="AR141" s="16">
        <f t="shared" si="59"/>
        <v>277341.79200000002</v>
      </c>
      <c r="AS141" s="16">
        <f t="shared" si="70"/>
        <v>30507.597120000002</v>
      </c>
      <c r="AT141" s="16">
        <f t="shared" si="71"/>
        <v>-5546.8358400000006</v>
      </c>
      <c r="AU141" s="16">
        <f t="shared" si="72"/>
        <v>4894158.1561600007</v>
      </c>
      <c r="AV141" s="16">
        <f t="shared" si="73"/>
        <v>4899704.9920000006</v>
      </c>
      <c r="AW141" s="16">
        <f t="shared" si="74"/>
        <v>167720</v>
      </c>
      <c r="AX141" s="16" t="s">
        <v>243</v>
      </c>
      <c r="AY141" s="17"/>
      <c r="AZ141" s="17">
        <f t="shared" si="75"/>
        <v>0</v>
      </c>
      <c r="BA141" s="16">
        <f t="shared" si="76"/>
        <v>4025280</v>
      </c>
      <c r="BB141" s="16">
        <f t="shared" si="77"/>
        <v>4025280</v>
      </c>
      <c r="BC141" s="15">
        <v>0.03</v>
      </c>
      <c r="BD141" s="15">
        <v>0.01</v>
      </c>
      <c r="BE141" s="37">
        <f t="shared" si="78"/>
        <v>387433.2</v>
      </c>
      <c r="BF141" s="38">
        <f t="shared" si="79"/>
        <v>239001.00000000003</v>
      </c>
      <c r="BG141" s="37">
        <f t="shared" si="83"/>
        <v>195850</v>
      </c>
      <c r="BH141" s="37">
        <f t="shared" si="80"/>
        <v>209650</v>
      </c>
      <c r="BI141">
        <v>195850</v>
      </c>
      <c r="BL141" s="8">
        <f t="shared" si="81"/>
        <v>0</v>
      </c>
      <c r="BM141" s="7" t="str">
        <f t="shared" si="61"/>
        <v>Terdaftar BPJS Kes &amp; Naker</v>
      </c>
      <c r="BN141" s="11">
        <f t="shared" si="62"/>
        <v>239001</v>
      </c>
      <c r="BO141" s="11">
        <f t="shared" si="63"/>
        <v>190362.2</v>
      </c>
      <c r="BP141" s="9">
        <f t="shared" si="82"/>
        <v>0</v>
      </c>
      <c r="BQ141" t="str">
        <f>_xlfn.XLOOKUP(X141,'[2]NON TETAP'!$H:$H,'[2]NON TETAP'!$I:$I)</f>
        <v>GRAMEDIA ASRI MEDIA</v>
      </c>
    </row>
    <row r="142" spans="1:69" x14ac:dyDescent="0.3">
      <c r="A142" s="2">
        <v>141</v>
      </c>
      <c r="B142" s="5" t="s">
        <v>2147</v>
      </c>
      <c r="C142" s="6" t="s">
        <v>241</v>
      </c>
      <c r="D142" s="6"/>
      <c r="E142" s="6" t="s">
        <v>73</v>
      </c>
      <c r="F142" s="6" t="s">
        <v>73</v>
      </c>
      <c r="G142" s="6"/>
      <c r="H142" s="6"/>
      <c r="I142" s="6"/>
      <c r="J142" s="6"/>
      <c r="K142" s="6">
        <v>800191</v>
      </c>
      <c r="L142" s="6"/>
      <c r="M142" s="6">
        <v>25023140566</v>
      </c>
      <c r="N142" s="46" t="s">
        <v>3351</v>
      </c>
      <c r="O142" s="6">
        <v>1312379392</v>
      </c>
      <c r="P142" s="78" t="s">
        <v>3350</v>
      </c>
      <c r="Q142" s="6">
        <v>10488</v>
      </c>
      <c r="R142" s="6">
        <v>27488</v>
      </c>
      <c r="S142" s="5" t="str">
        <f>VLOOKUP(T142,'[1]Kode Posisi'!$A$3:$B$45,2,)</f>
        <v>Outsourcing Keamanan</v>
      </c>
      <c r="T142" s="36" t="s">
        <v>37</v>
      </c>
      <c r="U142" s="44" t="s">
        <v>1751</v>
      </c>
      <c r="V142" s="44" t="s">
        <v>3349</v>
      </c>
      <c r="W142" s="36" t="s">
        <v>1749</v>
      </c>
      <c r="X142" s="36" t="s">
        <v>965</v>
      </c>
      <c r="Y142" s="36" t="s">
        <v>52</v>
      </c>
      <c r="Z142" s="79" t="s">
        <v>3348</v>
      </c>
      <c r="AA142" s="36" t="s">
        <v>2141</v>
      </c>
      <c r="AB142" s="47">
        <v>4193000</v>
      </c>
      <c r="AC142" s="41">
        <v>4193000</v>
      </c>
      <c r="AD142" s="47">
        <v>3917000</v>
      </c>
      <c r="AE142" s="16">
        <f t="shared" si="64"/>
        <v>276000</v>
      </c>
      <c r="AF142" s="16">
        <v>0</v>
      </c>
      <c r="AG142" s="16">
        <v>0</v>
      </c>
      <c r="AH142" s="16"/>
      <c r="AI142" s="16">
        <v>0</v>
      </c>
      <c r="AJ142" s="16"/>
      <c r="AK142" s="16">
        <v>0</v>
      </c>
      <c r="AL142" s="11">
        <f t="shared" si="65"/>
        <v>4193000</v>
      </c>
      <c r="AM142" s="16">
        <f t="shared" si="66"/>
        <v>429363.19999999995</v>
      </c>
      <c r="AN142" s="16">
        <f t="shared" si="67"/>
        <v>167720</v>
      </c>
      <c r="AO142" s="16">
        <f t="shared" si="84"/>
        <v>261643.19999999998</v>
      </c>
      <c r="AP142" s="16">
        <f t="shared" si="68"/>
        <v>155141</v>
      </c>
      <c r="AQ142" s="16">
        <f t="shared" si="69"/>
        <v>4622363.2</v>
      </c>
      <c r="AR142" s="16">
        <f t="shared" si="59"/>
        <v>277341.79200000002</v>
      </c>
      <c r="AS142" s="16">
        <f t="shared" si="70"/>
        <v>30507.597120000002</v>
      </c>
      <c r="AT142" s="16">
        <f t="shared" si="71"/>
        <v>-5546.8358400000006</v>
      </c>
      <c r="AU142" s="16">
        <f t="shared" si="72"/>
        <v>4894158.1561600007</v>
      </c>
      <c r="AV142" s="16">
        <f t="shared" si="73"/>
        <v>4899704.9920000006</v>
      </c>
      <c r="AW142" s="16">
        <f t="shared" si="74"/>
        <v>167720</v>
      </c>
      <c r="AX142" s="16" t="s">
        <v>243</v>
      </c>
      <c r="AY142" s="17"/>
      <c r="AZ142" s="17">
        <f t="shared" si="75"/>
        <v>0</v>
      </c>
      <c r="BA142" s="16">
        <f t="shared" si="76"/>
        <v>4025280</v>
      </c>
      <c r="BB142" s="16">
        <f t="shared" si="77"/>
        <v>4025280</v>
      </c>
      <c r="BC142" s="15">
        <v>0.03</v>
      </c>
      <c r="BD142" s="15">
        <v>0.01</v>
      </c>
      <c r="BE142" s="37">
        <f t="shared" si="78"/>
        <v>387433.2</v>
      </c>
      <c r="BF142" s="38">
        <f t="shared" si="79"/>
        <v>239001.00000000003</v>
      </c>
      <c r="BG142" s="37">
        <f t="shared" si="83"/>
        <v>195850</v>
      </c>
      <c r="BH142" s="37">
        <f t="shared" si="80"/>
        <v>209650</v>
      </c>
      <c r="BI142">
        <v>195850</v>
      </c>
      <c r="BL142" s="8">
        <f t="shared" si="81"/>
        <v>0</v>
      </c>
      <c r="BM142" s="7" t="str">
        <f t="shared" si="61"/>
        <v>Terdaftar BPJS Kes &amp; Naker</v>
      </c>
      <c r="BN142" s="11">
        <f t="shared" si="62"/>
        <v>239001</v>
      </c>
      <c r="BO142" s="11">
        <f t="shared" si="63"/>
        <v>190362.2</v>
      </c>
      <c r="BP142" s="9">
        <f t="shared" si="82"/>
        <v>0</v>
      </c>
      <c r="BQ142" t="str">
        <f>_xlfn.XLOOKUP(X142,'[2]NON TETAP'!$H:$H,'[2]NON TETAP'!$I:$I)</f>
        <v>GRAMEDIA ASRI MEDIA</v>
      </c>
    </row>
    <row r="143" spans="1:69" x14ac:dyDescent="0.3">
      <c r="A143" s="2">
        <v>142</v>
      </c>
      <c r="B143" s="5" t="s">
        <v>3347</v>
      </c>
      <c r="C143" s="6" t="s">
        <v>241</v>
      </c>
      <c r="D143" s="6"/>
      <c r="E143" s="6" t="s">
        <v>73</v>
      </c>
      <c r="F143" s="6" t="s">
        <v>73</v>
      </c>
      <c r="G143" s="6"/>
      <c r="H143" s="6"/>
      <c r="I143" s="6"/>
      <c r="J143" s="6" t="s">
        <v>2746</v>
      </c>
      <c r="K143" s="6">
        <v>800192</v>
      </c>
      <c r="L143" s="6"/>
      <c r="M143" s="6"/>
      <c r="N143" s="46" t="s">
        <v>1133</v>
      </c>
      <c r="O143" s="6"/>
      <c r="P143" s="36" t="s">
        <v>3346</v>
      </c>
      <c r="Q143" s="6">
        <v>10488</v>
      </c>
      <c r="R143" s="6">
        <v>27488</v>
      </c>
      <c r="S143" s="5" t="str">
        <f>VLOOKUP(T143,'[1]Kode Posisi'!$A$3:$B$45,2,)</f>
        <v>Outsourcing Keamanan</v>
      </c>
      <c r="T143" s="36" t="s">
        <v>2743</v>
      </c>
      <c r="U143" s="44" t="s">
        <v>1751</v>
      </c>
      <c r="V143" s="44" t="s">
        <v>3345</v>
      </c>
      <c r="W143" s="36" t="s">
        <v>1749</v>
      </c>
      <c r="X143" s="36" t="s">
        <v>965</v>
      </c>
      <c r="Y143" s="36" t="s">
        <v>52</v>
      </c>
      <c r="Z143" s="79" t="s">
        <v>3344</v>
      </c>
      <c r="AA143" s="36" t="s">
        <v>3343</v>
      </c>
      <c r="AB143" s="47">
        <v>4193000</v>
      </c>
      <c r="AC143" s="41">
        <v>4193000</v>
      </c>
      <c r="AD143" s="47">
        <v>3917000</v>
      </c>
      <c r="AE143" s="16">
        <f t="shared" si="64"/>
        <v>276000</v>
      </c>
      <c r="AF143" s="16">
        <v>0</v>
      </c>
      <c r="AG143" s="16">
        <v>500000</v>
      </c>
      <c r="AH143" s="16"/>
      <c r="AI143" s="16">
        <v>0</v>
      </c>
      <c r="AJ143" s="16"/>
      <c r="AK143" s="16">
        <v>0</v>
      </c>
      <c r="AL143" s="11">
        <f t="shared" si="65"/>
        <v>4693000</v>
      </c>
      <c r="AM143" s="16">
        <f t="shared" si="66"/>
        <v>58800</v>
      </c>
      <c r="AN143" s="16">
        <f t="shared" si="67"/>
        <v>0</v>
      </c>
      <c r="AO143" s="16">
        <f>352800/6</f>
        <v>58800</v>
      </c>
      <c r="AP143" s="16">
        <f t="shared" si="68"/>
        <v>0</v>
      </c>
      <c r="AQ143" s="16">
        <f t="shared" si="69"/>
        <v>4751800</v>
      </c>
      <c r="AR143" s="16">
        <f t="shared" si="59"/>
        <v>285108</v>
      </c>
      <c r="AS143" s="16">
        <f t="shared" si="70"/>
        <v>31361.88</v>
      </c>
      <c r="AT143" s="16">
        <f t="shared" si="71"/>
        <v>-5702.16</v>
      </c>
      <c r="AU143" s="16">
        <f t="shared" si="72"/>
        <v>5031205.84</v>
      </c>
      <c r="AV143" s="16">
        <f t="shared" si="73"/>
        <v>5036908</v>
      </c>
      <c r="AW143" s="16">
        <f t="shared" si="74"/>
        <v>0</v>
      </c>
      <c r="AX143" s="16" t="s">
        <v>243</v>
      </c>
      <c r="AY143" s="17"/>
      <c r="AZ143" s="17">
        <f t="shared" si="75"/>
        <v>0</v>
      </c>
      <c r="BA143" s="16">
        <f t="shared" si="76"/>
        <v>4693000</v>
      </c>
      <c r="BB143" s="16">
        <f t="shared" si="77"/>
        <v>4693000</v>
      </c>
      <c r="BC143" s="15">
        <v>0</v>
      </c>
      <c r="BD143" s="15">
        <v>0</v>
      </c>
      <c r="BE143" s="37">
        <f t="shared" si="78"/>
        <v>0</v>
      </c>
      <c r="BF143" s="38">
        <f t="shared" si="79"/>
        <v>0</v>
      </c>
      <c r="BG143" s="37">
        <f t="shared" si="83"/>
        <v>195850</v>
      </c>
      <c r="BH143" s="37">
        <f t="shared" si="80"/>
        <v>0</v>
      </c>
      <c r="BI143">
        <v>0</v>
      </c>
      <c r="BL143" s="8">
        <f t="shared" si="81"/>
        <v>500000</v>
      </c>
      <c r="BM143" s="7" t="str">
        <f>IF(AND(BC143=0.03,0.2,BD143=0.01),"Terdaftar BPJS Kes &amp; Naker","Tidak Terdaftar")</f>
        <v>Tidak Terdaftar</v>
      </c>
      <c r="BN143" s="11"/>
      <c r="BO143" s="92">
        <f>352800/6</f>
        <v>58800</v>
      </c>
      <c r="BP143" s="9">
        <f t="shared" si="82"/>
        <v>0</v>
      </c>
      <c r="BQ143" t="str">
        <f>_xlfn.XLOOKUP(X143,'[2]NON TETAP'!$H:$H,'[2]NON TETAP'!$I:$I)</f>
        <v>GRAMEDIA ASRI MEDIA</v>
      </c>
    </row>
    <row r="144" spans="1:69" x14ac:dyDescent="0.3">
      <c r="A144" s="2">
        <v>143</v>
      </c>
      <c r="B144" s="5" t="s">
        <v>3337</v>
      </c>
      <c r="C144" s="6" t="s">
        <v>241</v>
      </c>
      <c r="D144" s="6"/>
      <c r="E144" s="6" t="s">
        <v>73</v>
      </c>
      <c r="F144" s="6" t="s">
        <v>73</v>
      </c>
      <c r="G144" s="6" t="s">
        <v>73</v>
      </c>
      <c r="H144" s="6"/>
      <c r="I144" s="6"/>
      <c r="J144" s="6"/>
      <c r="K144" s="6">
        <v>800193</v>
      </c>
      <c r="L144" s="6"/>
      <c r="M144" s="6" t="s">
        <v>3342</v>
      </c>
      <c r="N144" s="46" t="s">
        <v>3341</v>
      </c>
      <c r="O144" s="6">
        <v>1598659547</v>
      </c>
      <c r="P144" s="78" t="s">
        <v>3340</v>
      </c>
      <c r="Q144" s="6">
        <v>10149</v>
      </c>
      <c r="R144" s="6">
        <v>27149</v>
      </c>
      <c r="S144" s="5" t="str">
        <f>VLOOKUP(T144,'[1]Kode Posisi'!$A$3:$B$45,2,)</f>
        <v>Outsourcing Keamanan</v>
      </c>
      <c r="T144" s="36" t="s">
        <v>37</v>
      </c>
      <c r="U144" s="44" t="s">
        <v>1743</v>
      </c>
      <c r="V144" s="44" t="s">
        <v>3339</v>
      </c>
      <c r="W144" s="36" t="s">
        <v>113</v>
      </c>
      <c r="X144" s="36" t="s">
        <v>112</v>
      </c>
      <c r="Y144" s="36" t="s">
        <v>52</v>
      </c>
      <c r="Z144" s="79" t="s">
        <v>3338</v>
      </c>
      <c r="AA144" s="36" t="s">
        <v>3337</v>
      </c>
      <c r="AB144" s="47">
        <v>3206000</v>
      </c>
      <c r="AC144" s="41">
        <v>3206000</v>
      </c>
      <c r="AD144" s="47">
        <v>3025000</v>
      </c>
      <c r="AE144" s="16">
        <f t="shared" si="64"/>
        <v>181000</v>
      </c>
      <c r="AF144" s="16">
        <v>0</v>
      </c>
      <c r="AG144" s="16">
        <v>0</v>
      </c>
      <c r="AH144" s="16"/>
      <c r="AI144" s="16">
        <v>0</v>
      </c>
      <c r="AJ144" s="16"/>
      <c r="AK144" s="16">
        <v>0</v>
      </c>
      <c r="AL144" s="11">
        <f t="shared" si="65"/>
        <v>3206000</v>
      </c>
      <c r="AM144" s="16">
        <f t="shared" si="66"/>
        <v>328294.40000000002</v>
      </c>
      <c r="AN144" s="16">
        <f t="shared" si="67"/>
        <v>128240</v>
      </c>
      <c r="AO144" s="16">
        <f t="shared" ref="AO144:AO187" si="85">IF(BC144=0.03,AC144*0.0624,0)</f>
        <v>200054.39999999999</v>
      </c>
      <c r="AP144" s="16">
        <f t="shared" si="68"/>
        <v>118622</v>
      </c>
      <c r="AQ144" s="16">
        <f t="shared" si="69"/>
        <v>3534294.4</v>
      </c>
      <c r="AR144" s="16">
        <f t="shared" si="59"/>
        <v>212057.66399999999</v>
      </c>
      <c r="AS144" s="16">
        <f t="shared" si="70"/>
        <v>23326.34304</v>
      </c>
      <c r="AT144" s="16">
        <f t="shared" si="71"/>
        <v>-4241.1532799999995</v>
      </c>
      <c r="AU144" s="16">
        <f t="shared" si="72"/>
        <v>3742110.9107199996</v>
      </c>
      <c r="AV144" s="16">
        <f t="shared" si="73"/>
        <v>3746352.0639999998</v>
      </c>
      <c r="AW144" s="16">
        <f t="shared" si="74"/>
        <v>128240</v>
      </c>
      <c r="AX144" s="16" t="s">
        <v>235</v>
      </c>
      <c r="AY144" s="17"/>
      <c r="AZ144" s="17">
        <f t="shared" si="75"/>
        <v>0</v>
      </c>
      <c r="BA144" s="16">
        <f t="shared" si="76"/>
        <v>3077760</v>
      </c>
      <c r="BB144" s="16">
        <f t="shared" si="77"/>
        <v>3077760</v>
      </c>
      <c r="BC144" s="15">
        <v>0.03</v>
      </c>
      <c r="BD144" s="15">
        <v>0.01</v>
      </c>
      <c r="BE144" s="37">
        <f t="shared" si="78"/>
        <v>296234.39999999997</v>
      </c>
      <c r="BF144" s="38">
        <f t="shared" si="79"/>
        <v>182742</v>
      </c>
      <c r="BG144" s="37">
        <f t="shared" si="83"/>
        <v>151250</v>
      </c>
      <c r="BH144" s="37">
        <f t="shared" si="80"/>
        <v>160300</v>
      </c>
      <c r="BI144">
        <v>151250</v>
      </c>
      <c r="BL144" s="8">
        <f t="shared" si="81"/>
        <v>0</v>
      </c>
      <c r="BM144" s="7" t="str">
        <f t="shared" ref="BM144:BM164" si="86">IF(AND(BC144=0.03,BD144=0.01),"Terdaftar BPJS Kes &amp; Naker","Tidak Terdaftar")</f>
        <v>Terdaftar BPJS Kes &amp; Naker</v>
      </c>
      <c r="BN144" s="11">
        <f t="shared" ref="BN144:BN164" si="87">AC144*5.7%</f>
        <v>182742</v>
      </c>
      <c r="BO144" s="11">
        <f t="shared" ref="BO144:BO164" si="88">AC144*4.54%</f>
        <v>145552.40000000002</v>
      </c>
      <c r="BP144" s="9">
        <f t="shared" si="82"/>
        <v>0</v>
      </c>
      <c r="BQ144" t="str">
        <f>_xlfn.XLOOKUP(X144,'[2]NON TETAP'!$H:$H,'[2]NON TETAP'!$I:$I)</f>
        <v>GRAMEDIA ASRI MEDIA</v>
      </c>
    </row>
    <row r="145" spans="1:69" x14ac:dyDescent="0.3">
      <c r="A145" s="2">
        <v>144</v>
      </c>
      <c r="B145" s="4" t="s">
        <v>3336</v>
      </c>
      <c r="C145" s="6" t="s">
        <v>241</v>
      </c>
      <c r="D145" s="6"/>
      <c r="E145" s="6" t="s">
        <v>73</v>
      </c>
      <c r="F145" s="6" t="s">
        <v>73</v>
      </c>
      <c r="G145" s="6" t="s">
        <v>73</v>
      </c>
      <c r="H145" s="6"/>
      <c r="I145" s="2"/>
      <c r="J145" s="2"/>
      <c r="K145" s="6">
        <v>800194</v>
      </c>
      <c r="L145" s="6"/>
      <c r="M145" s="6">
        <v>25077450580</v>
      </c>
      <c r="N145" s="46" t="s">
        <v>3335</v>
      </c>
      <c r="O145" s="6">
        <v>875066174</v>
      </c>
      <c r="P145" s="78" t="s">
        <v>3334</v>
      </c>
      <c r="Q145" s="6">
        <v>10149</v>
      </c>
      <c r="R145" s="6">
        <v>27149</v>
      </c>
      <c r="S145" s="5" t="str">
        <f>VLOOKUP(T145,'[1]Kode Posisi'!$A$3:$B$45,2,)</f>
        <v>Outsourcing Keamanan</v>
      </c>
      <c r="T145" s="36" t="s">
        <v>37</v>
      </c>
      <c r="U145" s="44" t="s">
        <v>1743</v>
      </c>
      <c r="V145" s="44" t="s">
        <v>3333</v>
      </c>
      <c r="W145" s="36" t="s">
        <v>113</v>
      </c>
      <c r="X145" s="36" t="s">
        <v>112</v>
      </c>
      <c r="Y145" s="36" t="s">
        <v>52</v>
      </c>
      <c r="Z145" s="79" t="s">
        <v>3332</v>
      </c>
      <c r="AA145" s="36" t="s">
        <v>3331</v>
      </c>
      <c r="AB145" s="47">
        <v>3206000</v>
      </c>
      <c r="AC145" s="41">
        <v>3206000</v>
      </c>
      <c r="AD145" s="47">
        <v>3025000</v>
      </c>
      <c r="AE145" s="16">
        <f t="shared" si="64"/>
        <v>181000</v>
      </c>
      <c r="AF145" s="16">
        <v>0</v>
      </c>
      <c r="AG145" s="16">
        <v>0</v>
      </c>
      <c r="AH145" s="16"/>
      <c r="AI145" s="16">
        <v>0</v>
      </c>
      <c r="AJ145" s="16"/>
      <c r="AK145" s="16">
        <v>0</v>
      </c>
      <c r="AL145" s="11">
        <f t="shared" si="65"/>
        <v>3206000</v>
      </c>
      <c r="AM145" s="16">
        <f t="shared" si="66"/>
        <v>328294.40000000002</v>
      </c>
      <c r="AN145" s="16">
        <f t="shared" si="67"/>
        <v>128240</v>
      </c>
      <c r="AO145" s="16">
        <f t="shared" si="85"/>
        <v>200054.39999999999</v>
      </c>
      <c r="AP145" s="16">
        <f t="shared" si="68"/>
        <v>118622</v>
      </c>
      <c r="AQ145" s="16">
        <f t="shared" si="69"/>
        <v>3534294.4</v>
      </c>
      <c r="AR145" s="16">
        <f t="shared" si="59"/>
        <v>212057.66399999999</v>
      </c>
      <c r="AS145" s="16">
        <f t="shared" si="70"/>
        <v>23326.34304</v>
      </c>
      <c r="AT145" s="16">
        <f t="shared" si="71"/>
        <v>-4241.1532799999995</v>
      </c>
      <c r="AU145" s="16">
        <f t="shared" si="72"/>
        <v>3742110.9107199996</v>
      </c>
      <c r="AV145" s="16">
        <f t="shared" si="73"/>
        <v>3746352.0639999998</v>
      </c>
      <c r="AW145" s="16">
        <f t="shared" si="74"/>
        <v>128240</v>
      </c>
      <c r="AX145" s="16" t="s">
        <v>235</v>
      </c>
      <c r="AY145" s="17"/>
      <c r="AZ145" s="17">
        <f t="shared" si="75"/>
        <v>0</v>
      </c>
      <c r="BA145" s="16">
        <f t="shared" si="76"/>
        <v>3077760</v>
      </c>
      <c r="BB145" s="16">
        <f t="shared" si="77"/>
        <v>3077760</v>
      </c>
      <c r="BC145" s="15">
        <v>0.03</v>
      </c>
      <c r="BD145" s="15">
        <v>0.01</v>
      </c>
      <c r="BE145" s="37">
        <f t="shared" si="78"/>
        <v>296234.39999999997</v>
      </c>
      <c r="BF145" s="38">
        <f t="shared" si="79"/>
        <v>182742</v>
      </c>
      <c r="BG145" s="37">
        <f t="shared" si="83"/>
        <v>151250</v>
      </c>
      <c r="BH145" s="37">
        <f t="shared" si="80"/>
        <v>160300</v>
      </c>
      <c r="BI145">
        <v>151250</v>
      </c>
      <c r="BL145" s="8">
        <f t="shared" si="81"/>
        <v>0</v>
      </c>
      <c r="BM145" s="7" t="str">
        <f t="shared" si="86"/>
        <v>Terdaftar BPJS Kes &amp; Naker</v>
      </c>
      <c r="BN145" s="11">
        <f t="shared" si="87"/>
        <v>182742</v>
      </c>
      <c r="BO145" s="11">
        <f t="shared" si="88"/>
        <v>145552.40000000002</v>
      </c>
      <c r="BP145" s="9">
        <f t="shared" si="82"/>
        <v>0</v>
      </c>
      <c r="BQ145" t="str">
        <f>_xlfn.XLOOKUP(X145,'[2]NON TETAP'!$H:$H,'[2]NON TETAP'!$I:$I)</f>
        <v>GRAMEDIA ASRI MEDIA</v>
      </c>
    </row>
    <row r="146" spans="1:69" x14ac:dyDescent="0.3">
      <c r="A146" s="2">
        <v>145</v>
      </c>
      <c r="B146" s="5" t="s">
        <v>3325</v>
      </c>
      <c r="C146" s="6" t="s">
        <v>241</v>
      </c>
      <c r="D146" s="6"/>
      <c r="E146" s="6" t="s">
        <v>73</v>
      </c>
      <c r="F146" s="6" t="s">
        <v>73</v>
      </c>
      <c r="G146" s="6"/>
      <c r="H146" s="6"/>
      <c r="I146" s="6"/>
      <c r="J146" s="6"/>
      <c r="K146" s="6">
        <v>800197</v>
      </c>
      <c r="L146" s="6"/>
      <c r="M146" s="6" t="s">
        <v>3330</v>
      </c>
      <c r="N146" s="46" t="s">
        <v>3329</v>
      </c>
      <c r="O146" s="6">
        <v>1929385495</v>
      </c>
      <c r="P146" s="78" t="s">
        <v>3328</v>
      </c>
      <c r="Q146" s="6">
        <v>10148</v>
      </c>
      <c r="R146" s="6">
        <v>27148</v>
      </c>
      <c r="S146" s="5" t="str">
        <f>VLOOKUP(T146,'[1]Kode Posisi'!$A$3:$B$45,2,)</f>
        <v>Outsourcing Keamanan</v>
      </c>
      <c r="T146" s="36" t="s">
        <v>37</v>
      </c>
      <c r="U146" s="44" t="s">
        <v>1728</v>
      </c>
      <c r="V146" s="44" t="s">
        <v>3327</v>
      </c>
      <c r="W146" s="36" t="s">
        <v>131</v>
      </c>
      <c r="X146" s="36" t="s">
        <v>130</v>
      </c>
      <c r="Y146" s="36" t="s">
        <v>52</v>
      </c>
      <c r="Z146" s="79" t="s">
        <v>3326</v>
      </c>
      <c r="AA146" s="36" t="s">
        <v>3325</v>
      </c>
      <c r="AB146" s="47" t="s">
        <v>3324</v>
      </c>
      <c r="AC146" s="41">
        <v>3984000</v>
      </c>
      <c r="AD146" s="47">
        <v>3725000</v>
      </c>
      <c r="AE146" s="16">
        <f t="shared" si="64"/>
        <v>259000</v>
      </c>
      <c r="AF146" s="16">
        <v>0</v>
      </c>
      <c r="AG146" s="16">
        <v>0</v>
      </c>
      <c r="AH146" s="16"/>
      <c r="AI146" s="16">
        <v>0</v>
      </c>
      <c r="AJ146" s="16"/>
      <c r="AK146" s="16">
        <v>0</v>
      </c>
      <c r="AL146" s="11">
        <f t="shared" si="65"/>
        <v>0</v>
      </c>
      <c r="AM146" s="16">
        <f t="shared" si="66"/>
        <v>407961.59999999998</v>
      </c>
      <c r="AN146" s="16">
        <f t="shared" si="67"/>
        <v>159360</v>
      </c>
      <c r="AO146" s="16">
        <f t="shared" si="85"/>
        <v>248601.59999999998</v>
      </c>
      <c r="AP146" s="16">
        <f t="shared" si="68"/>
        <v>147408</v>
      </c>
      <c r="AQ146" s="16">
        <f t="shared" si="69"/>
        <v>407961.59999999998</v>
      </c>
      <c r="AR146" s="16">
        <f t="shared" si="59"/>
        <v>24477.695999999996</v>
      </c>
      <c r="AS146" s="16">
        <f t="shared" si="70"/>
        <v>2692.5465599999998</v>
      </c>
      <c r="AT146" s="16">
        <f t="shared" si="71"/>
        <v>-489.55391999999995</v>
      </c>
      <c r="AU146" s="16">
        <f t="shared" si="72"/>
        <v>431949.74208</v>
      </c>
      <c r="AV146" s="16">
        <f t="shared" si="73"/>
        <v>432439.29599999997</v>
      </c>
      <c r="AW146" s="16">
        <f t="shared" si="74"/>
        <v>159360</v>
      </c>
      <c r="AX146" s="16" t="s">
        <v>319</v>
      </c>
      <c r="AY146" s="17"/>
      <c r="AZ146" s="17">
        <f t="shared" si="75"/>
        <v>0</v>
      </c>
      <c r="BA146" s="16">
        <f t="shared" si="76"/>
        <v>-159360</v>
      </c>
      <c r="BB146" s="16">
        <f t="shared" si="77"/>
        <v>-159360</v>
      </c>
      <c r="BC146" s="15">
        <v>0.03</v>
      </c>
      <c r="BD146" s="15">
        <v>0.01</v>
      </c>
      <c r="BE146" s="37">
        <f t="shared" si="78"/>
        <v>368121.59999999998</v>
      </c>
      <c r="BF146" s="38">
        <f t="shared" si="79"/>
        <v>227088</v>
      </c>
      <c r="BG146" s="37">
        <f t="shared" si="83"/>
        <v>186250</v>
      </c>
      <c r="BH146" s="37">
        <f t="shared" si="80"/>
        <v>199200</v>
      </c>
      <c r="BI146">
        <v>186250</v>
      </c>
      <c r="BL146" s="8">
        <f t="shared" si="81"/>
        <v>0</v>
      </c>
      <c r="BM146" s="7" t="str">
        <f t="shared" si="86"/>
        <v>Terdaftar BPJS Kes &amp; Naker</v>
      </c>
      <c r="BN146" s="11">
        <f t="shared" si="87"/>
        <v>227088</v>
      </c>
      <c r="BO146" s="11">
        <f t="shared" si="88"/>
        <v>180873.60000000001</v>
      </c>
      <c r="BP146" s="9">
        <f t="shared" si="82"/>
        <v>0</v>
      </c>
      <c r="BQ146" t="str">
        <f>_xlfn.XLOOKUP(X146,'[2]NON TETAP'!$H:$H,'[2]NON TETAP'!$I:$I)</f>
        <v>GRAMEDIA ASRI MEDIA</v>
      </c>
    </row>
    <row r="147" spans="1:69" x14ac:dyDescent="0.3">
      <c r="A147" s="2">
        <v>146</v>
      </c>
      <c r="B147" s="5" t="s">
        <v>3323</v>
      </c>
      <c r="C147" s="6" t="s">
        <v>241</v>
      </c>
      <c r="D147" s="6"/>
      <c r="E147" s="6" t="s">
        <v>73</v>
      </c>
      <c r="F147" s="6" t="s">
        <v>73</v>
      </c>
      <c r="G147" s="6" t="s">
        <v>73</v>
      </c>
      <c r="H147" s="6"/>
      <c r="I147" s="6"/>
      <c r="J147" s="6"/>
      <c r="K147" s="6">
        <v>800198</v>
      </c>
      <c r="L147" s="6"/>
      <c r="M147" s="6" t="s">
        <v>3322</v>
      </c>
      <c r="N147" s="46" t="s">
        <v>3321</v>
      </c>
      <c r="O147" s="6">
        <v>1743324401</v>
      </c>
      <c r="P147" s="78" t="s">
        <v>3320</v>
      </c>
      <c r="Q147" s="6">
        <v>10161</v>
      </c>
      <c r="R147" s="6">
        <v>27161</v>
      </c>
      <c r="S147" s="5" t="str">
        <f>VLOOKUP(T147,'[1]Kode Posisi'!$A$3:$B$45,2,)</f>
        <v>Outsourcing Keamanan</v>
      </c>
      <c r="T147" s="36" t="s">
        <v>37</v>
      </c>
      <c r="U147" s="44" t="s">
        <v>1227</v>
      </c>
      <c r="V147" s="44" t="s">
        <v>3319</v>
      </c>
      <c r="W147" s="36" t="s">
        <v>1225</v>
      </c>
      <c r="X147" s="36" t="s">
        <v>427</v>
      </c>
      <c r="Y147" s="36" t="s">
        <v>1294</v>
      </c>
      <c r="Z147" s="79" t="s">
        <v>3318</v>
      </c>
      <c r="AA147" s="36" t="s">
        <v>3317</v>
      </c>
      <c r="AB147" s="47">
        <v>5248000</v>
      </c>
      <c r="AC147" s="41">
        <v>5248000</v>
      </c>
      <c r="AD147" s="47">
        <v>4975000</v>
      </c>
      <c r="AE147" s="16">
        <f t="shared" si="64"/>
        <v>273000</v>
      </c>
      <c r="AF147" s="16">
        <v>0</v>
      </c>
      <c r="AG147" s="16">
        <v>0</v>
      </c>
      <c r="AH147" s="16"/>
      <c r="AI147" s="16">
        <v>0</v>
      </c>
      <c r="AJ147" s="16"/>
      <c r="AK147" s="16">
        <v>0</v>
      </c>
      <c r="AL147" s="11">
        <f t="shared" si="65"/>
        <v>5248000</v>
      </c>
      <c r="AM147" s="16">
        <f t="shared" si="66"/>
        <v>537395.19999999995</v>
      </c>
      <c r="AN147" s="16">
        <f t="shared" si="67"/>
        <v>209920</v>
      </c>
      <c r="AO147" s="16">
        <f t="shared" si="85"/>
        <v>327475.20000000001</v>
      </c>
      <c r="AP147" s="16">
        <f t="shared" si="68"/>
        <v>194176</v>
      </c>
      <c r="AQ147" s="16">
        <f t="shared" si="69"/>
        <v>5785395.2000000002</v>
      </c>
      <c r="AR147" s="16">
        <f t="shared" si="59"/>
        <v>347123.712</v>
      </c>
      <c r="AS147" s="16">
        <f t="shared" si="70"/>
        <v>38183.608319999999</v>
      </c>
      <c r="AT147" s="16">
        <f t="shared" si="71"/>
        <v>-6942.4742400000005</v>
      </c>
      <c r="AU147" s="16">
        <f t="shared" si="72"/>
        <v>6125576.4377600001</v>
      </c>
      <c r="AV147" s="16">
        <f t="shared" si="73"/>
        <v>6132518.9120000005</v>
      </c>
      <c r="AW147" s="16">
        <f t="shared" si="74"/>
        <v>209920</v>
      </c>
      <c r="AX147" s="16" t="s">
        <v>286</v>
      </c>
      <c r="AY147" s="17"/>
      <c r="AZ147" s="17">
        <f t="shared" si="75"/>
        <v>2900</v>
      </c>
      <c r="BA147" s="16">
        <f t="shared" si="76"/>
        <v>5038080</v>
      </c>
      <c r="BB147" s="16">
        <f t="shared" si="77"/>
        <v>5035180</v>
      </c>
      <c r="BC147" s="15">
        <v>0.03</v>
      </c>
      <c r="BD147" s="15">
        <v>0.01</v>
      </c>
      <c r="BE147" s="37">
        <f t="shared" si="78"/>
        <v>484915.19999999995</v>
      </c>
      <c r="BF147" s="38">
        <f t="shared" si="79"/>
        <v>299136</v>
      </c>
      <c r="BG147" s="37">
        <f t="shared" si="83"/>
        <v>248750</v>
      </c>
      <c r="BH147" s="37">
        <f t="shared" si="80"/>
        <v>262400</v>
      </c>
      <c r="BI147">
        <v>248750</v>
      </c>
      <c r="BL147" s="8">
        <f t="shared" si="81"/>
        <v>0</v>
      </c>
      <c r="BM147" s="7" t="str">
        <f t="shared" si="86"/>
        <v>Terdaftar BPJS Kes &amp; Naker</v>
      </c>
      <c r="BN147" s="11">
        <f t="shared" si="87"/>
        <v>299136</v>
      </c>
      <c r="BO147" s="11">
        <f t="shared" si="88"/>
        <v>238259.20000000001</v>
      </c>
      <c r="BP147" s="9">
        <f t="shared" si="82"/>
        <v>0</v>
      </c>
      <c r="BQ147" t="str">
        <f>_xlfn.XLOOKUP(X147,'[2]NON TETAP'!$H:$H,'[2]NON TETAP'!$I:$I)</f>
        <v>GRAMEDIA ASRI MEDIA</v>
      </c>
    </row>
    <row r="148" spans="1:69" x14ac:dyDescent="0.3">
      <c r="A148" s="2">
        <v>147</v>
      </c>
      <c r="B148" s="5" t="s">
        <v>3311</v>
      </c>
      <c r="C148" s="6" t="s">
        <v>241</v>
      </c>
      <c r="D148" s="6"/>
      <c r="E148" s="6" t="s">
        <v>73</v>
      </c>
      <c r="F148" s="6" t="s">
        <v>73</v>
      </c>
      <c r="G148" s="6" t="s">
        <v>73</v>
      </c>
      <c r="H148" s="6"/>
      <c r="I148" s="6"/>
      <c r="J148" s="6"/>
      <c r="K148" s="6">
        <v>800199</v>
      </c>
      <c r="L148" s="6"/>
      <c r="M148" s="6" t="s">
        <v>3316</v>
      </c>
      <c r="N148" s="46" t="s">
        <v>3315</v>
      </c>
      <c r="O148" s="6">
        <v>1745601952</v>
      </c>
      <c r="P148" s="78" t="s">
        <v>3314</v>
      </c>
      <c r="Q148" s="6">
        <v>10161</v>
      </c>
      <c r="R148" s="6">
        <v>27161</v>
      </c>
      <c r="S148" s="5" t="str">
        <f>VLOOKUP(T148,'[1]Kode Posisi'!$A$3:$B$45,2,)</f>
        <v>Outsourcing Keamanan</v>
      </c>
      <c r="T148" s="36" t="s">
        <v>37</v>
      </c>
      <c r="U148" s="44" t="s">
        <v>1227</v>
      </c>
      <c r="V148" s="44" t="s">
        <v>3313</v>
      </c>
      <c r="W148" s="36" t="s">
        <v>1225</v>
      </c>
      <c r="X148" s="36" t="s">
        <v>427</v>
      </c>
      <c r="Y148" s="36" t="s">
        <v>1294</v>
      </c>
      <c r="Z148" s="79" t="s">
        <v>3312</v>
      </c>
      <c r="AA148" s="36" t="s">
        <v>3311</v>
      </c>
      <c r="AB148" s="47">
        <v>5248000</v>
      </c>
      <c r="AC148" s="41">
        <v>5248000</v>
      </c>
      <c r="AD148" s="47">
        <v>4975000</v>
      </c>
      <c r="AE148" s="16">
        <f t="shared" si="64"/>
        <v>273000</v>
      </c>
      <c r="AF148" s="16">
        <v>0</v>
      </c>
      <c r="AG148" s="16">
        <v>0</v>
      </c>
      <c r="AH148" s="16"/>
      <c r="AI148" s="16">
        <v>0</v>
      </c>
      <c r="AJ148" s="16"/>
      <c r="AK148" s="16">
        <v>0</v>
      </c>
      <c r="AL148" s="11">
        <f t="shared" si="65"/>
        <v>5248000</v>
      </c>
      <c r="AM148" s="16">
        <f t="shared" si="66"/>
        <v>537395.19999999995</v>
      </c>
      <c r="AN148" s="16">
        <f t="shared" si="67"/>
        <v>209920</v>
      </c>
      <c r="AO148" s="16">
        <f t="shared" si="85"/>
        <v>327475.20000000001</v>
      </c>
      <c r="AP148" s="16">
        <f t="shared" si="68"/>
        <v>194176</v>
      </c>
      <c r="AQ148" s="16">
        <f t="shared" si="69"/>
        <v>5785395.2000000002</v>
      </c>
      <c r="AR148" s="16">
        <f t="shared" si="59"/>
        <v>347123.712</v>
      </c>
      <c r="AS148" s="16">
        <f t="shared" si="70"/>
        <v>38183.608319999999</v>
      </c>
      <c r="AT148" s="16">
        <f t="shared" si="71"/>
        <v>-6942.4742400000005</v>
      </c>
      <c r="AU148" s="16">
        <f t="shared" si="72"/>
        <v>6125576.4377600001</v>
      </c>
      <c r="AV148" s="16">
        <f t="shared" si="73"/>
        <v>6132518.9120000005</v>
      </c>
      <c r="AW148" s="16">
        <f t="shared" si="74"/>
        <v>209920</v>
      </c>
      <c r="AX148" s="16" t="s">
        <v>235</v>
      </c>
      <c r="AY148" s="17"/>
      <c r="AZ148" s="17">
        <f t="shared" si="75"/>
        <v>2900</v>
      </c>
      <c r="BA148" s="16">
        <f t="shared" si="76"/>
        <v>5038080</v>
      </c>
      <c r="BB148" s="16">
        <f t="shared" si="77"/>
        <v>5035180</v>
      </c>
      <c r="BC148" s="15">
        <v>0.03</v>
      </c>
      <c r="BD148" s="15">
        <v>0.01</v>
      </c>
      <c r="BE148" s="37">
        <f t="shared" si="78"/>
        <v>484915.19999999995</v>
      </c>
      <c r="BF148" s="38">
        <f t="shared" si="79"/>
        <v>299136</v>
      </c>
      <c r="BG148" s="37">
        <f t="shared" si="83"/>
        <v>248750</v>
      </c>
      <c r="BH148" s="37">
        <f t="shared" si="80"/>
        <v>262400</v>
      </c>
      <c r="BI148">
        <v>248750</v>
      </c>
      <c r="BL148" s="8">
        <f t="shared" si="81"/>
        <v>0</v>
      </c>
      <c r="BM148" s="7" t="str">
        <f t="shared" si="86"/>
        <v>Terdaftar BPJS Kes &amp; Naker</v>
      </c>
      <c r="BN148" s="11">
        <f t="shared" si="87"/>
        <v>299136</v>
      </c>
      <c r="BO148" s="11">
        <f t="shared" si="88"/>
        <v>238259.20000000001</v>
      </c>
      <c r="BP148" s="9">
        <f t="shared" si="82"/>
        <v>0</v>
      </c>
      <c r="BQ148" t="str">
        <f>_xlfn.XLOOKUP(X148,'[2]NON TETAP'!$H:$H,'[2]NON TETAP'!$I:$I)</f>
        <v>GRAMEDIA ASRI MEDIA</v>
      </c>
    </row>
    <row r="149" spans="1:69" x14ac:dyDescent="0.3">
      <c r="A149" s="2">
        <v>148</v>
      </c>
      <c r="B149" s="5" t="s">
        <v>3305</v>
      </c>
      <c r="C149" s="6" t="s">
        <v>241</v>
      </c>
      <c r="D149" s="6"/>
      <c r="E149" s="6" t="s">
        <v>73</v>
      </c>
      <c r="F149" s="6" t="s">
        <v>73</v>
      </c>
      <c r="G149" s="6" t="s">
        <v>73</v>
      </c>
      <c r="H149" s="6"/>
      <c r="I149" s="6"/>
      <c r="J149" s="6"/>
      <c r="K149" s="6">
        <v>800200</v>
      </c>
      <c r="L149" s="6"/>
      <c r="M149" s="6" t="s">
        <v>3310</v>
      </c>
      <c r="N149" s="46" t="s">
        <v>3309</v>
      </c>
      <c r="O149" s="6">
        <v>3198791643</v>
      </c>
      <c r="P149" s="78" t="s">
        <v>3308</v>
      </c>
      <c r="Q149" s="6">
        <v>10161</v>
      </c>
      <c r="R149" s="6">
        <v>27161</v>
      </c>
      <c r="S149" s="5" t="str">
        <f>VLOOKUP(T149,'[1]Kode Posisi'!$A$3:$B$45,2,)</f>
        <v>Outsourcing Keamanan</v>
      </c>
      <c r="T149" s="36" t="s">
        <v>37</v>
      </c>
      <c r="U149" s="44" t="s">
        <v>1227</v>
      </c>
      <c r="V149" s="44" t="s">
        <v>3307</v>
      </c>
      <c r="W149" s="36" t="s">
        <v>1225</v>
      </c>
      <c r="X149" s="36" t="s">
        <v>427</v>
      </c>
      <c r="Y149" s="36" t="s">
        <v>52</v>
      </c>
      <c r="Z149" s="79" t="s">
        <v>3306</v>
      </c>
      <c r="AA149" s="36" t="s">
        <v>3305</v>
      </c>
      <c r="AB149" s="47">
        <v>5248000</v>
      </c>
      <c r="AC149" s="41">
        <v>5248000</v>
      </c>
      <c r="AD149" s="47">
        <v>4975000</v>
      </c>
      <c r="AE149" s="16">
        <f t="shared" si="64"/>
        <v>273000</v>
      </c>
      <c r="AF149" s="16">
        <v>0</v>
      </c>
      <c r="AG149" s="16">
        <v>0</v>
      </c>
      <c r="AH149" s="16"/>
      <c r="AI149" s="16">
        <v>0</v>
      </c>
      <c r="AJ149" s="16"/>
      <c r="AK149" s="16">
        <v>0</v>
      </c>
      <c r="AL149" s="11">
        <f t="shared" si="65"/>
        <v>5248000</v>
      </c>
      <c r="AM149" s="16">
        <f t="shared" si="66"/>
        <v>537395.19999999995</v>
      </c>
      <c r="AN149" s="16">
        <f t="shared" si="67"/>
        <v>209920</v>
      </c>
      <c r="AO149" s="16">
        <f t="shared" si="85"/>
        <v>327475.20000000001</v>
      </c>
      <c r="AP149" s="16">
        <f t="shared" si="68"/>
        <v>194176</v>
      </c>
      <c r="AQ149" s="16">
        <f t="shared" si="69"/>
        <v>5785395.2000000002</v>
      </c>
      <c r="AR149" s="16">
        <f t="shared" si="59"/>
        <v>347123.712</v>
      </c>
      <c r="AS149" s="16">
        <f t="shared" si="70"/>
        <v>38183.608319999999</v>
      </c>
      <c r="AT149" s="16">
        <f t="shared" si="71"/>
        <v>-6942.4742400000005</v>
      </c>
      <c r="AU149" s="16">
        <f t="shared" si="72"/>
        <v>6125576.4377600001</v>
      </c>
      <c r="AV149" s="16">
        <f t="shared" si="73"/>
        <v>6132518.9120000005</v>
      </c>
      <c r="AW149" s="16">
        <f t="shared" si="74"/>
        <v>209920</v>
      </c>
      <c r="AX149" s="16" t="s">
        <v>91</v>
      </c>
      <c r="AY149" s="17"/>
      <c r="AZ149" s="17">
        <f t="shared" si="75"/>
        <v>0</v>
      </c>
      <c r="BA149" s="16">
        <f t="shared" si="76"/>
        <v>5038080</v>
      </c>
      <c r="BB149" s="16">
        <f t="shared" si="77"/>
        <v>5038080</v>
      </c>
      <c r="BC149" s="15">
        <v>0.03</v>
      </c>
      <c r="BD149" s="15">
        <v>0.01</v>
      </c>
      <c r="BE149" s="37">
        <f t="shared" si="78"/>
        <v>484915.19999999995</v>
      </c>
      <c r="BF149" s="38">
        <f t="shared" si="79"/>
        <v>299136</v>
      </c>
      <c r="BG149" s="37">
        <f t="shared" si="83"/>
        <v>248750</v>
      </c>
      <c r="BH149" s="37">
        <f t="shared" si="80"/>
        <v>262400</v>
      </c>
      <c r="BI149">
        <v>248750</v>
      </c>
      <c r="BL149" s="8">
        <f t="shared" si="81"/>
        <v>0</v>
      </c>
      <c r="BM149" s="7" t="str">
        <f t="shared" si="86"/>
        <v>Terdaftar BPJS Kes &amp; Naker</v>
      </c>
      <c r="BN149" s="11">
        <f t="shared" si="87"/>
        <v>299136</v>
      </c>
      <c r="BO149" s="11">
        <f t="shared" si="88"/>
        <v>238259.20000000001</v>
      </c>
      <c r="BP149" s="9">
        <f t="shared" si="82"/>
        <v>0</v>
      </c>
      <c r="BQ149" t="str">
        <f>_xlfn.XLOOKUP(X149,'[2]NON TETAP'!$H:$H,'[2]NON TETAP'!$I:$I)</f>
        <v>GRAMEDIA ASRI MEDIA</v>
      </c>
    </row>
    <row r="150" spans="1:69" x14ac:dyDescent="0.3">
      <c r="A150" s="2">
        <v>149</v>
      </c>
      <c r="B150" s="5" t="s">
        <v>3304</v>
      </c>
      <c r="C150" s="6" t="s">
        <v>241</v>
      </c>
      <c r="D150" s="6"/>
      <c r="E150" s="6" t="s">
        <v>73</v>
      </c>
      <c r="F150" s="6" t="s">
        <v>73</v>
      </c>
      <c r="G150" s="6" t="s">
        <v>73</v>
      </c>
      <c r="H150" s="6"/>
      <c r="I150" s="6"/>
      <c r="J150" s="6"/>
      <c r="K150" s="6">
        <v>800201</v>
      </c>
      <c r="L150" s="6"/>
      <c r="M150" s="6" t="s">
        <v>3303</v>
      </c>
      <c r="N150" s="46" t="s">
        <v>3302</v>
      </c>
      <c r="O150" s="6">
        <v>358071682</v>
      </c>
      <c r="P150" s="78" t="s">
        <v>3301</v>
      </c>
      <c r="Q150" s="6">
        <v>10161</v>
      </c>
      <c r="R150" s="6">
        <v>27161</v>
      </c>
      <c r="S150" s="5" t="str">
        <f>VLOOKUP(T150,'[1]Kode Posisi'!$A$3:$B$45,2,)</f>
        <v>Outsourcing Keamanan</v>
      </c>
      <c r="T150" s="36" t="s">
        <v>37</v>
      </c>
      <c r="U150" s="44" t="s">
        <v>1227</v>
      </c>
      <c r="V150" s="44" t="s">
        <v>3300</v>
      </c>
      <c r="W150" s="36" t="s">
        <v>1225</v>
      </c>
      <c r="X150" s="36" t="s">
        <v>427</v>
      </c>
      <c r="Y150" s="36" t="s">
        <v>1294</v>
      </c>
      <c r="Z150" s="79" t="s">
        <v>3299</v>
      </c>
      <c r="AA150" s="36" t="s">
        <v>3298</v>
      </c>
      <c r="AB150" s="47">
        <v>5248000</v>
      </c>
      <c r="AC150" s="41">
        <v>5248000</v>
      </c>
      <c r="AD150" s="47">
        <v>4975000</v>
      </c>
      <c r="AE150" s="16">
        <f t="shared" si="64"/>
        <v>273000</v>
      </c>
      <c r="AF150" s="16">
        <v>0</v>
      </c>
      <c r="AG150" s="16">
        <v>0</v>
      </c>
      <c r="AH150" s="16"/>
      <c r="AI150" s="16">
        <v>0</v>
      </c>
      <c r="AJ150" s="16"/>
      <c r="AK150" s="16">
        <v>0</v>
      </c>
      <c r="AL150" s="11">
        <f t="shared" si="65"/>
        <v>5248000</v>
      </c>
      <c r="AM150" s="16">
        <f t="shared" si="66"/>
        <v>537395.19999999995</v>
      </c>
      <c r="AN150" s="16">
        <f t="shared" si="67"/>
        <v>209920</v>
      </c>
      <c r="AO150" s="16">
        <f t="shared" si="85"/>
        <v>327475.20000000001</v>
      </c>
      <c r="AP150" s="16">
        <f t="shared" si="68"/>
        <v>194176</v>
      </c>
      <c r="AQ150" s="16">
        <f t="shared" si="69"/>
        <v>5785395.2000000002</v>
      </c>
      <c r="AR150" s="16">
        <f t="shared" si="59"/>
        <v>347123.712</v>
      </c>
      <c r="AS150" s="16">
        <f t="shared" si="70"/>
        <v>38183.608319999999</v>
      </c>
      <c r="AT150" s="16">
        <f t="shared" si="71"/>
        <v>-6942.4742400000005</v>
      </c>
      <c r="AU150" s="16">
        <f t="shared" si="72"/>
        <v>6125576.4377600001</v>
      </c>
      <c r="AV150" s="16">
        <f t="shared" si="73"/>
        <v>6132518.9120000005</v>
      </c>
      <c r="AW150" s="16">
        <f t="shared" si="74"/>
        <v>209920</v>
      </c>
      <c r="AX150" s="16" t="s">
        <v>319</v>
      </c>
      <c r="AY150" s="17"/>
      <c r="AZ150" s="17">
        <f t="shared" si="75"/>
        <v>2900</v>
      </c>
      <c r="BA150" s="16">
        <f t="shared" si="76"/>
        <v>5038080</v>
      </c>
      <c r="BB150" s="16">
        <f t="shared" si="77"/>
        <v>5035180</v>
      </c>
      <c r="BC150" s="15">
        <v>0.03</v>
      </c>
      <c r="BD150" s="15">
        <v>0.01</v>
      </c>
      <c r="BE150" s="37">
        <f t="shared" si="78"/>
        <v>484915.19999999995</v>
      </c>
      <c r="BF150" s="38">
        <f t="shared" si="79"/>
        <v>299136</v>
      </c>
      <c r="BG150" s="37">
        <f t="shared" si="83"/>
        <v>248750</v>
      </c>
      <c r="BH150" s="37">
        <f t="shared" si="80"/>
        <v>262400</v>
      </c>
      <c r="BI150">
        <v>248750</v>
      </c>
      <c r="BL150" s="8">
        <f t="shared" si="81"/>
        <v>0</v>
      </c>
      <c r="BM150" s="7" t="str">
        <f t="shared" si="86"/>
        <v>Terdaftar BPJS Kes &amp; Naker</v>
      </c>
      <c r="BN150" s="11">
        <f t="shared" si="87"/>
        <v>299136</v>
      </c>
      <c r="BO150" s="11">
        <f t="shared" si="88"/>
        <v>238259.20000000001</v>
      </c>
      <c r="BP150" s="9">
        <f t="shared" si="82"/>
        <v>0</v>
      </c>
      <c r="BQ150" t="str">
        <f>_xlfn.XLOOKUP(X150,'[2]NON TETAP'!$H:$H,'[2]NON TETAP'!$I:$I)</f>
        <v>GRAMEDIA ASRI MEDIA</v>
      </c>
    </row>
    <row r="151" spans="1:69" x14ac:dyDescent="0.3">
      <c r="A151" s="2">
        <v>150</v>
      </c>
      <c r="B151" s="5" t="s">
        <v>3297</v>
      </c>
      <c r="C151" s="6" t="s">
        <v>241</v>
      </c>
      <c r="D151" s="6"/>
      <c r="E151" s="6" t="s">
        <v>73</v>
      </c>
      <c r="F151" s="6" t="s">
        <v>73</v>
      </c>
      <c r="G151" s="6" t="s">
        <v>73</v>
      </c>
      <c r="H151" s="6"/>
      <c r="I151" s="6"/>
      <c r="J151" s="6"/>
      <c r="K151" s="6">
        <v>800203</v>
      </c>
      <c r="L151" s="6"/>
      <c r="M151" s="6" t="s">
        <v>3296</v>
      </c>
      <c r="N151" s="46" t="s">
        <v>3295</v>
      </c>
      <c r="O151" s="6">
        <v>579398512</v>
      </c>
      <c r="P151" s="78" t="s">
        <v>3294</v>
      </c>
      <c r="Q151" s="6">
        <v>10161</v>
      </c>
      <c r="R151" s="6">
        <v>27161</v>
      </c>
      <c r="S151" s="5" t="str">
        <f>VLOOKUP(T151,'[1]Kode Posisi'!$A$3:$B$45,2,)</f>
        <v>Outsourcing Keamanan</v>
      </c>
      <c r="T151" s="36" t="s">
        <v>37</v>
      </c>
      <c r="U151" s="44" t="s">
        <v>1227</v>
      </c>
      <c r="V151" s="44" t="s">
        <v>3293</v>
      </c>
      <c r="W151" s="36" t="s">
        <v>1225</v>
      </c>
      <c r="X151" s="36" t="s">
        <v>427</v>
      </c>
      <c r="Y151" s="36" t="s">
        <v>1294</v>
      </c>
      <c r="Z151" s="79" t="s">
        <v>3292</v>
      </c>
      <c r="AA151" s="36" t="s">
        <v>3291</v>
      </c>
      <c r="AB151" s="47">
        <v>5248000</v>
      </c>
      <c r="AC151" s="41">
        <v>5248000</v>
      </c>
      <c r="AD151" s="47">
        <v>4975000</v>
      </c>
      <c r="AE151" s="16">
        <f t="shared" si="64"/>
        <v>273000</v>
      </c>
      <c r="AF151" s="16">
        <v>0</v>
      </c>
      <c r="AG151" s="16">
        <v>0</v>
      </c>
      <c r="AH151" s="16"/>
      <c r="AI151" s="16">
        <v>0</v>
      </c>
      <c r="AJ151" s="16"/>
      <c r="AK151" s="16">
        <v>0</v>
      </c>
      <c r="AL151" s="11">
        <f t="shared" si="65"/>
        <v>5248000</v>
      </c>
      <c r="AM151" s="16">
        <f t="shared" si="66"/>
        <v>537395.19999999995</v>
      </c>
      <c r="AN151" s="16">
        <f t="shared" si="67"/>
        <v>209920</v>
      </c>
      <c r="AO151" s="16">
        <f t="shared" si="85"/>
        <v>327475.20000000001</v>
      </c>
      <c r="AP151" s="16">
        <f t="shared" si="68"/>
        <v>194176</v>
      </c>
      <c r="AQ151" s="16">
        <f t="shared" si="69"/>
        <v>5785395.2000000002</v>
      </c>
      <c r="AR151" s="16">
        <f t="shared" si="59"/>
        <v>347123.712</v>
      </c>
      <c r="AS151" s="16">
        <f t="shared" si="70"/>
        <v>38183.608319999999</v>
      </c>
      <c r="AT151" s="16">
        <f t="shared" si="71"/>
        <v>-6942.4742400000005</v>
      </c>
      <c r="AU151" s="16">
        <f t="shared" si="72"/>
        <v>6125576.4377600001</v>
      </c>
      <c r="AV151" s="16">
        <f t="shared" si="73"/>
        <v>6132518.9120000005</v>
      </c>
      <c r="AW151" s="16">
        <f t="shared" si="74"/>
        <v>209920</v>
      </c>
      <c r="AX151" s="16" t="s">
        <v>235</v>
      </c>
      <c r="AY151" s="17"/>
      <c r="AZ151" s="17">
        <f t="shared" si="75"/>
        <v>2900</v>
      </c>
      <c r="BA151" s="16">
        <f t="shared" si="76"/>
        <v>5038080</v>
      </c>
      <c r="BB151" s="16">
        <f t="shared" si="77"/>
        <v>5035180</v>
      </c>
      <c r="BC151" s="15">
        <v>0.03</v>
      </c>
      <c r="BD151" s="15">
        <v>0.01</v>
      </c>
      <c r="BE151" s="37">
        <f t="shared" si="78"/>
        <v>484915.19999999995</v>
      </c>
      <c r="BF151" s="38">
        <f t="shared" si="79"/>
        <v>299136</v>
      </c>
      <c r="BG151" s="37">
        <f t="shared" si="83"/>
        <v>248750</v>
      </c>
      <c r="BH151" s="37">
        <f t="shared" si="80"/>
        <v>262400</v>
      </c>
      <c r="BI151">
        <v>248750</v>
      </c>
      <c r="BL151" s="8">
        <f t="shared" si="81"/>
        <v>0</v>
      </c>
      <c r="BM151" s="7" t="str">
        <f t="shared" si="86"/>
        <v>Terdaftar BPJS Kes &amp; Naker</v>
      </c>
      <c r="BN151" s="11">
        <f t="shared" si="87"/>
        <v>299136</v>
      </c>
      <c r="BO151" s="11">
        <f t="shared" si="88"/>
        <v>238259.20000000001</v>
      </c>
      <c r="BP151" s="9">
        <f t="shared" si="82"/>
        <v>0</v>
      </c>
      <c r="BQ151" t="str">
        <f>_xlfn.XLOOKUP(X151,'[2]NON TETAP'!$H:$H,'[2]NON TETAP'!$I:$I)</f>
        <v>GRAMEDIA ASRI MEDIA</v>
      </c>
    </row>
    <row r="152" spans="1:69" x14ac:dyDescent="0.3">
      <c r="A152" s="2">
        <v>151</v>
      </c>
      <c r="B152" s="5" t="s">
        <v>3290</v>
      </c>
      <c r="C152" s="6" t="s">
        <v>241</v>
      </c>
      <c r="D152" s="6"/>
      <c r="E152" s="6" t="s">
        <v>73</v>
      </c>
      <c r="F152" s="6" t="s">
        <v>73</v>
      </c>
      <c r="G152" s="6" t="s">
        <v>73</v>
      </c>
      <c r="H152" s="6"/>
      <c r="I152" s="6"/>
      <c r="J152" s="6"/>
      <c r="K152" s="6">
        <v>800204</v>
      </c>
      <c r="L152" s="6"/>
      <c r="M152" s="6" t="s">
        <v>3289</v>
      </c>
      <c r="N152" s="46" t="s">
        <v>3288</v>
      </c>
      <c r="O152" s="6">
        <v>34256891</v>
      </c>
      <c r="P152" s="78" t="s">
        <v>3287</v>
      </c>
      <c r="Q152" s="6">
        <v>10161</v>
      </c>
      <c r="R152" s="6">
        <v>27161</v>
      </c>
      <c r="S152" s="5" t="str">
        <f>VLOOKUP(T152,'[1]Kode Posisi'!$A$3:$B$45,2,)</f>
        <v>Outsourcing Keamanan</v>
      </c>
      <c r="T152" s="36" t="s">
        <v>37</v>
      </c>
      <c r="U152" s="44" t="s">
        <v>1227</v>
      </c>
      <c r="V152" s="44" t="s">
        <v>3286</v>
      </c>
      <c r="W152" s="36" t="s">
        <v>1225</v>
      </c>
      <c r="X152" s="36" t="s">
        <v>427</v>
      </c>
      <c r="Y152" s="36" t="s">
        <v>1294</v>
      </c>
      <c r="Z152" s="79" t="s">
        <v>3285</v>
      </c>
      <c r="AA152" s="36" t="s">
        <v>3284</v>
      </c>
      <c r="AB152" s="47">
        <v>5248000</v>
      </c>
      <c r="AC152" s="41">
        <v>5248000</v>
      </c>
      <c r="AD152" s="47">
        <v>4975000</v>
      </c>
      <c r="AE152" s="16">
        <f t="shared" si="64"/>
        <v>273000</v>
      </c>
      <c r="AF152" s="16">
        <v>0</v>
      </c>
      <c r="AG152" s="16">
        <v>0</v>
      </c>
      <c r="AH152" s="16"/>
      <c r="AI152" s="16">
        <v>0</v>
      </c>
      <c r="AJ152" s="16"/>
      <c r="AK152" s="16">
        <v>0</v>
      </c>
      <c r="AL152" s="11">
        <f t="shared" si="65"/>
        <v>5248000</v>
      </c>
      <c r="AM152" s="16">
        <f t="shared" si="66"/>
        <v>537395.19999999995</v>
      </c>
      <c r="AN152" s="16">
        <f t="shared" si="67"/>
        <v>209920</v>
      </c>
      <c r="AO152" s="16">
        <f t="shared" si="85"/>
        <v>327475.20000000001</v>
      </c>
      <c r="AP152" s="16">
        <f t="shared" si="68"/>
        <v>194176</v>
      </c>
      <c r="AQ152" s="16">
        <f t="shared" si="69"/>
        <v>5785395.2000000002</v>
      </c>
      <c r="AR152" s="16">
        <f t="shared" si="59"/>
        <v>347123.712</v>
      </c>
      <c r="AS152" s="16">
        <f t="shared" si="70"/>
        <v>38183.608319999999</v>
      </c>
      <c r="AT152" s="16">
        <f t="shared" si="71"/>
        <v>-6942.4742400000005</v>
      </c>
      <c r="AU152" s="16">
        <f t="shared" si="72"/>
        <v>6125576.4377600001</v>
      </c>
      <c r="AV152" s="16">
        <f t="shared" si="73"/>
        <v>6132518.9120000005</v>
      </c>
      <c r="AW152" s="16">
        <f t="shared" si="74"/>
        <v>209920</v>
      </c>
      <c r="AX152" s="16" t="s">
        <v>235</v>
      </c>
      <c r="AY152" s="17"/>
      <c r="AZ152" s="17">
        <f t="shared" si="75"/>
        <v>2900</v>
      </c>
      <c r="BA152" s="16">
        <f t="shared" si="76"/>
        <v>5038080</v>
      </c>
      <c r="BB152" s="16">
        <f t="shared" si="77"/>
        <v>5035180</v>
      </c>
      <c r="BC152" s="15">
        <v>0.03</v>
      </c>
      <c r="BD152" s="15">
        <v>0.01</v>
      </c>
      <c r="BE152" s="37">
        <f t="shared" si="78"/>
        <v>484915.19999999995</v>
      </c>
      <c r="BF152" s="38">
        <f t="shared" si="79"/>
        <v>299136</v>
      </c>
      <c r="BG152" s="37">
        <f t="shared" si="83"/>
        <v>248750</v>
      </c>
      <c r="BH152" s="37">
        <f t="shared" si="80"/>
        <v>262400</v>
      </c>
      <c r="BI152">
        <v>248750</v>
      </c>
      <c r="BJ152" s="2">
        <v>248750</v>
      </c>
      <c r="BL152" s="8">
        <f t="shared" si="81"/>
        <v>0</v>
      </c>
      <c r="BM152" s="7" t="str">
        <f t="shared" si="86"/>
        <v>Terdaftar BPJS Kes &amp; Naker</v>
      </c>
      <c r="BN152" s="11">
        <f t="shared" si="87"/>
        <v>299136</v>
      </c>
      <c r="BO152" s="11">
        <f t="shared" si="88"/>
        <v>238259.20000000001</v>
      </c>
      <c r="BP152" s="9">
        <f t="shared" si="82"/>
        <v>0</v>
      </c>
      <c r="BQ152" t="str">
        <f>_xlfn.XLOOKUP(X152,'[2]NON TETAP'!$H:$H,'[2]NON TETAP'!$I:$I)</f>
        <v>GRAMEDIA ASRI MEDIA</v>
      </c>
    </row>
    <row r="153" spans="1:69" x14ac:dyDescent="0.3">
      <c r="A153" s="2">
        <v>152</v>
      </c>
      <c r="B153" s="5" t="s">
        <v>3278</v>
      </c>
      <c r="C153" s="6" t="s">
        <v>241</v>
      </c>
      <c r="D153" s="6"/>
      <c r="E153" s="6" t="s">
        <v>73</v>
      </c>
      <c r="F153" s="6" t="s">
        <v>73</v>
      </c>
      <c r="G153" s="6" t="s">
        <v>73</v>
      </c>
      <c r="H153" s="6"/>
      <c r="I153" s="6"/>
      <c r="J153" s="6"/>
      <c r="K153" s="6">
        <v>800205</v>
      </c>
      <c r="L153" s="6"/>
      <c r="M153" s="6" t="s">
        <v>3283</v>
      </c>
      <c r="N153" s="46" t="s">
        <v>3282</v>
      </c>
      <c r="O153" s="6">
        <v>2242222187</v>
      </c>
      <c r="P153" s="78" t="s">
        <v>3281</v>
      </c>
      <c r="Q153" s="6">
        <v>10161</v>
      </c>
      <c r="R153" s="6">
        <v>27161</v>
      </c>
      <c r="S153" s="5" t="str">
        <f>VLOOKUP(T153,'[1]Kode Posisi'!$A$3:$B$45,2,)</f>
        <v>Outsourcing Keamanan</v>
      </c>
      <c r="T153" s="36" t="s">
        <v>37</v>
      </c>
      <c r="U153" s="44" t="s">
        <v>1227</v>
      </c>
      <c r="V153" s="44" t="s">
        <v>3280</v>
      </c>
      <c r="W153" s="36" t="s">
        <v>1225</v>
      </c>
      <c r="X153" s="36" t="s">
        <v>427</v>
      </c>
      <c r="Y153" s="36" t="s">
        <v>1294</v>
      </c>
      <c r="Z153" s="79" t="s">
        <v>3279</v>
      </c>
      <c r="AA153" s="36" t="s">
        <v>3278</v>
      </c>
      <c r="AB153" s="47">
        <v>5248000</v>
      </c>
      <c r="AC153" s="41">
        <v>5248000</v>
      </c>
      <c r="AD153" s="47">
        <v>4975000</v>
      </c>
      <c r="AE153" s="16">
        <f t="shared" si="64"/>
        <v>273000</v>
      </c>
      <c r="AF153" s="16">
        <v>0</v>
      </c>
      <c r="AG153" s="16">
        <v>0</v>
      </c>
      <c r="AH153" s="16"/>
      <c r="AI153" s="16">
        <v>0</v>
      </c>
      <c r="AJ153" s="16"/>
      <c r="AK153" s="16">
        <v>0</v>
      </c>
      <c r="AL153" s="11">
        <f t="shared" si="65"/>
        <v>5248000</v>
      </c>
      <c r="AM153" s="16">
        <f t="shared" si="66"/>
        <v>537395.19999999995</v>
      </c>
      <c r="AN153" s="16">
        <f t="shared" si="67"/>
        <v>209920</v>
      </c>
      <c r="AO153" s="16">
        <f t="shared" si="85"/>
        <v>327475.20000000001</v>
      </c>
      <c r="AP153" s="16">
        <f t="shared" si="68"/>
        <v>194176</v>
      </c>
      <c r="AQ153" s="16">
        <f t="shared" si="69"/>
        <v>5785395.2000000002</v>
      </c>
      <c r="AR153" s="16">
        <f t="shared" si="59"/>
        <v>347123.712</v>
      </c>
      <c r="AS153" s="16">
        <f t="shared" si="70"/>
        <v>38183.608319999999</v>
      </c>
      <c r="AT153" s="16">
        <f t="shared" si="71"/>
        <v>-6942.4742400000005</v>
      </c>
      <c r="AU153" s="16">
        <f t="shared" si="72"/>
        <v>6125576.4377600001</v>
      </c>
      <c r="AV153" s="16">
        <f t="shared" si="73"/>
        <v>6132518.9120000005</v>
      </c>
      <c r="AW153" s="16">
        <f t="shared" si="74"/>
        <v>209920</v>
      </c>
      <c r="AX153" s="16" t="s">
        <v>235</v>
      </c>
      <c r="AY153" s="17"/>
      <c r="AZ153" s="17">
        <f t="shared" si="75"/>
        <v>2900</v>
      </c>
      <c r="BA153" s="16">
        <f t="shared" si="76"/>
        <v>5038080</v>
      </c>
      <c r="BB153" s="16">
        <f t="shared" si="77"/>
        <v>5035180</v>
      </c>
      <c r="BC153" s="15">
        <v>0.03</v>
      </c>
      <c r="BD153" s="15">
        <v>0.01</v>
      </c>
      <c r="BE153" s="37">
        <f t="shared" si="78"/>
        <v>484915.19999999995</v>
      </c>
      <c r="BF153" s="38">
        <f t="shared" si="79"/>
        <v>299136</v>
      </c>
      <c r="BG153" s="37">
        <f t="shared" si="83"/>
        <v>248750</v>
      </c>
      <c r="BH153" s="37">
        <f t="shared" si="80"/>
        <v>262400</v>
      </c>
      <c r="BI153">
        <v>248750</v>
      </c>
      <c r="BL153" s="8">
        <f t="shared" si="81"/>
        <v>0</v>
      </c>
      <c r="BM153" s="7" t="str">
        <f t="shared" si="86"/>
        <v>Terdaftar BPJS Kes &amp; Naker</v>
      </c>
      <c r="BN153" s="11">
        <f t="shared" si="87"/>
        <v>299136</v>
      </c>
      <c r="BO153" s="11">
        <f t="shared" si="88"/>
        <v>238259.20000000001</v>
      </c>
      <c r="BP153" s="9">
        <f t="shared" si="82"/>
        <v>0</v>
      </c>
      <c r="BQ153" t="str">
        <f>_xlfn.XLOOKUP(X153,'[2]NON TETAP'!$H:$H,'[2]NON TETAP'!$I:$I)</f>
        <v>GRAMEDIA ASRI MEDIA</v>
      </c>
    </row>
    <row r="154" spans="1:69" x14ac:dyDescent="0.3">
      <c r="A154" s="2">
        <v>153</v>
      </c>
      <c r="B154" s="5" t="s">
        <v>3277</v>
      </c>
      <c r="C154" s="6" t="s">
        <v>241</v>
      </c>
      <c r="D154" s="6"/>
      <c r="E154" s="6" t="s">
        <v>73</v>
      </c>
      <c r="F154" s="6" t="s">
        <v>73</v>
      </c>
      <c r="G154" s="6"/>
      <c r="H154" s="6"/>
      <c r="I154" s="6"/>
      <c r="J154" s="6"/>
      <c r="K154" s="6">
        <v>800206</v>
      </c>
      <c r="L154" s="6"/>
      <c r="M154" s="6" t="s">
        <v>3276</v>
      </c>
      <c r="N154" s="46" t="s">
        <v>3275</v>
      </c>
      <c r="O154" s="6">
        <v>863054302</v>
      </c>
      <c r="P154" s="78" t="s">
        <v>3274</v>
      </c>
      <c r="Q154" s="6">
        <v>10176</v>
      </c>
      <c r="R154" s="6">
        <v>27176</v>
      </c>
      <c r="S154" s="5" t="str">
        <f>VLOOKUP(T154,'[1]Kode Posisi'!$A$3:$B$45,2,)</f>
        <v>Outsourcing Keamanan</v>
      </c>
      <c r="T154" s="36" t="s">
        <v>37</v>
      </c>
      <c r="U154" s="44" t="s">
        <v>1221</v>
      </c>
      <c r="V154" s="44" t="s">
        <v>3273</v>
      </c>
      <c r="W154" s="36" t="s">
        <v>1219</v>
      </c>
      <c r="X154" s="36" t="s">
        <v>1218</v>
      </c>
      <c r="Y154" s="36" t="s">
        <v>52</v>
      </c>
      <c r="Z154" s="79">
        <v>7805732423</v>
      </c>
      <c r="AA154" s="36" t="s">
        <v>3272</v>
      </c>
      <c r="AB154" s="47">
        <v>4743000</v>
      </c>
      <c r="AC154" s="41">
        <v>4743000</v>
      </c>
      <c r="AD154" s="47">
        <v>4461000</v>
      </c>
      <c r="AE154" s="16">
        <f t="shared" si="64"/>
        <v>282000</v>
      </c>
      <c r="AF154" s="16">
        <v>0</v>
      </c>
      <c r="AG154" s="16">
        <v>0</v>
      </c>
      <c r="AH154" s="16"/>
      <c r="AI154" s="16">
        <v>0</v>
      </c>
      <c r="AJ154" s="16"/>
      <c r="AK154" s="16">
        <v>0</v>
      </c>
      <c r="AL154" s="11">
        <f t="shared" si="65"/>
        <v>4743000</v>
      </c>
      <c r="AM154" s="16">
        <f t="shared" si="66"/>
        <v>485683.20000000001</v>
      </c>
      <c r="AN154" s="16">
        <f t="shared" si="67"/>
        <v>189720</v>
      </c>
      <c r="AO154" s="16">
        <f t="shared" si="85"/>
        <v>295963.2</v>
      </c>
      <c r="AP154" s="16">
        <f t="shared" si="68"/>
        <v>175491</v>
      </c>
      <c r="AQ154" s="16">
        <f t="shared" si="69"/>
        <v>5228683.2</v>
      </c>
      <c r="AR154" s="16">
        <f t="shared" si="59"/>
        <v>313720.99200000003</v>
      </c>
      <c r="AS154" s="16">
        <f t="shared" si="70"/>
        <v>34509.309120000005</v>
      </c>
      <c r="AT154" s="16">
        <f t="shared" si="71"/>
        <v>-6274.4198400000005</v>
      </c>
      <c r="AU154" s="16">
        <f t="shared" si="72"/>
        <v>5536129.7721600002</v>
      </c>
      <c r="AV154" s="16">
        <f t="shared" si="73"/>
        <v>5542404.1919999998</v>
      </c>
      <c r="AW154" s="16">
        <f t="shared" si="74"/>
        <v>189720</v>
      </c>
      <c r="AX154" s="16" t="s">
        <v>91</v>
      </c>
      <c r="AY154" s="17"/>
      <c r="AZ154" s="17">
        <f t="shared" si="75"/>
        <v>0</v>
      </c>
      <c r="BA154" s="16">
        <f t="shared" si="76"/>
        <v>4553280</v>
      </c>
      <c r="BB154" s="16">
        <f t="shared" si="77"/>
        <v>4553280</v>
      </c>
      <c r="BC154" s="15">
        <v>0.03</v>
      </c>
      <c r="BD154" s="15">
        <v>0.01</v>
      </c>
      <c r="BE154" s="37">
        <f t="shared" si="78"/>
        <v>438253.19999999995</v>
      </c>
      <c r="BF154" s="38">
        <f t="shared" si="79"/>
        <v>270351</v>
      </c>
      <c r="BG154" s="37">
        <f t="shared" si="83"/>
        <v>223050</v>
      </c>
      <c r="BH154" s="37">
        <f t="shared" si="80"/>
        <v>237150</v>
      </c>
      <c r="BI154">
        <v>223050</v>
      </c>
      <c r="BL154" s="8">
        <f t="shared" si="81"/>
        <v>0</v>
      </c>
      <c r="BM154" s="7" t="str">
        <f t="shared" si="86"/>
        <v>Terdaftar BPJS Kes &amp; Naker</v>
      </c>
      <c r="BN154" s="11">
        <f t="shared" si="87"/>
        <v>270351</v>
      </c>
      <c r="BO154" s="11">
        <f t="shared" si="88"/>
        <v>215332.2</v>
      </c>
      <c r="BP154" s="9">
        <f t="shared" si="82"/>
        <v>0</v>
      </c>
      <c r="BQ154" t="str">
        <f>_xlfn.XLOOKUP(X154,'[2]NON TETAP'!$H:$H,'[2]NON TETAP'!$I:$I)</f>
        <v>GRAMEDIA ASRI MEDIA</v>
      </c>
    </row>
    <row r="155" spans="1:69" x14ac:dyDescent="0.3">
      <c r="A155" s="2">
        <v>154</v>
      </c>
      <c r="B155" s="5" t="s">
        <v>3266</v>
      </c>
      <c r="C155" s="6" t="s">
        <v>241</v>
      </c>
      <c r="D155" s="6"/>
      <c r="E155" s="6" t="s">
        <v>73</v>
      </c>
      <c r="F155" s="6" t="s">
        <v>73</v>
      </c>
      <c r="G155" s="6"/>
      <c r="H155" s="6"/>
      <c r="I155" s="6"/>
      <c r="J155" s="6"/>
      <c r="K155" s="6">
        <v>800208</v>
      </c>
      <c r="L155" s="6"/>
      <c r="M155" s="6" t="s">
        <v>3271</v>
      </c>
      <c r="N155" s="46" t="s">
        <v>3270</v>
      </c>
      <c r="O155" s="6">
        <v>2435236514</v>
      </c>
      <c r="P155" s="78" t="s">
        <v>3269</v>
      </c>
      <c r="Q155" s="6">
        <v>10210</v>
      </c>
      <c r="R155" s="6">
        <v>27210</v>
      </c>
      <c r="S155" s="5" t="str">
        <f>VLOOKUP(T155,'[1]Kode Posisi'!$A$3:$B$45,2,)</f>
        <v>Outsourcing Keamanan</v>
      </c>
      <c r="T155" s="36" t="s">
        <v>2850</v>
      </c>
      <c r="U155" s="44" t="s">
        <v>1684</v>
      </c>
      <c r="V155" s="44" t="s">
        <v>3268</v>
      </c>
      <c r="W155" s="36" t="s">
        <v>1682</v>
      </c>
      <c r="X155" s="36" t="s">
        <v>1681</v>
      </c>
      <c r="Y155" s="36" t="s">
        <v>1294</v>
      </c>
      <c r="Z155" s="79" t="s">
        <v>3267</v>
      </c>
      <c r="AA155" s="36" t="s">
        <v>3266</v>
      </c>
      <c r="AB155" s="47">
        <v>4035000</v>
      </c>
      <c r="AC155" s="41">
        <v>4035000</v>
      </c>
      <c r="AD155" s="47">
        <v>3877000</v>
      </c>
      <c r="AE155" s="16">
        <f t="shared" si="64"/>
        <v>158000</v>
      </c>
      <c r="AF155" s="16">
        <v>0</v>
      </c>
      <c r="AG155" s="16">
        <v>100000</v>
      </c>
      <c r="AH155" s="16"/>
      <c r="AI155" s="16">
        <v>0</v>
      </c>
      <c r="AJ155" s="16"/>
      <c r="AK155" s="16">
        <v>0</v>
      </c>
      <c r="AL155" s="11">
        <f t="shared" si="65"/>
        <v>4135000</v>
      </c>
      <c r="AM155" s="16">
        <f t="shared" si="66"/>
        <v>413184</v>
      </c>
      <c r="AN155" s="16">
        <f t="shared" si="67"/>
        <v>161400</v>
      </c>
      <c r="AO155" s="16">
        <f t="shared" si="85"/>
        <v>251784</v>
      </c>
      <c r="AP155" s="16">
        <f t="shared" si="68"/>
        <v>149295</v>
      </c>
      <c r="AQ155" s="16">
        <f t="shared" si="69"/>
        <v>4548184</v>
      </c>
      <c r="AR155" s="16">
        <f t="shared" si="59"/>
        <v>272891.03999999998</v>
      </c>
      <c r="AS155" s="16">
        <f t="shared" si="70"/>
        <v>30018.014399999996</v>
      </c>
      <c r="AT155" s="16">
        <f t="shared" si="71"/>
        <v>-5457.8207999999995</v>
      </c>
      <c r="AU155" s="16">
        <f t="shared" si="72"/>
        <v>4815617.2192000002</v>
      </c>
      <c r="AV155" s="16">
        <f t="shared" si="73"/>
        <v>4821075.04</v>
      </c>
      <c r="AW155" s="16">
        <f t="shared" si="74"/>
        <v>161400</v>
      </c>
      <c r="AX155" s="16" t="s">
        <v>319</v>
      </c>
      <c r="AY155" s="17"/>
      <c r="AZ155" s="17">
        <f t="shared" si="75"/>
        <v>2900</v>
      </c>
      <c r="BA155" s="16">
        <f t="shared" si="76"/>
        <v>3973600</v>
      </c>
      <c r="BB155" s="16">
        <f t="shared" si="77"/>
        <v>3970700</v>
      </c>
      <c r="BC155" s="15">
        <v>0.03</v>
      </c>
      <c r="BD155" s="15">
        <v>0.01</v>
      </c>
      <c r="BE155" s="37">
        <f t="shared" si="78"/>
        <v>372834</v>
      </c>
      <c r="BF155" s="38">
        <f t="shared" si="79"/>
        <v>229995</v>
      </c>
      <c r="BG155" s="37">
        <f t="shared" si="83"/>
        <v>193850</v>
      </c>
      <c r="BH155" s="37">
        <f t="shared" si="80"/>
        <v>201750</v>
      </c>
      <c r="BI155">
        <v>193850</v>
      </c>
      <c r="BL155" s="8">
        <f t="shared" si="81"/>
        <v>100000</v>
      </c>
      <c r="BM155" s="7" t="str">
        <f t="shared" si="86"/>
        <v>Terdaftar BPJS Kes &amp; Naker</v>
      </c>
      <c r="BN155" s="11">
        <f t="shared" si="87"/>
        <v>229995</v>
      </c>
      <c r="BO155" s="11">
        <f t="shared" si="88"/>
        <v>183189</v>
      </c>
      <c r="BP155" s="9">
        <f t="shared" si="82"/>
        <v>0</v>
      </c>
      <c r="BQ155" t="str">
        <f>_xlfn.XLOOKUP(X155,'[2]NON TETAP'!$H:$H,'[2]NON TETAP'!$I:$I)</f>
        <v>WIDIA ASRI MEDIA</v>
      </c>
    </row>
    <row r="156" spans="1:69" x14ac:dyDescent="0.3">
      <c r="A156" s="2">
        <v>155</v>
      </c>
      <c r="B156" s="5" t="s">
        <v>3260</v>
      </c>
      <c r="C156" s="6" t="s">
        <v>241</v>
      </c>
      <c r="D156" s="6"/>
      <c r="E156" s="6" t="s">
        <v>73</v>
      </c>
      <c r="F156" s="6" t="s">
        <v>73</v>
      </c>
      <c r="G156" s="6"/>
      <c r="H156" s="6"/>
      <c r="I156" s="6"/>
      <c r="J156" s="6"/>
      <c r="K156" s="6">
        <v>800209</v>
      </c>
      <c r="L156" s="6"/>
      <c r="M156" s="6" t="s">
        <v>3265</v>
      </c>
      <c r="N156" s="46" t="s">
        <v>3264</v>
      </c>
      <c r="O156" s="6">
        <v>1895982603</v>
      </c>
      <c r="P156" s="78" t="s">
        <v>3263</v>
      </c>
      <c r="Q156" s="6">
        <v>10210</v>
      </c>
      <c r="R156" s="6">
        <v>27210</v>
      </c>
      <c r="S156" s="5" t="str">
        <f>VLOOKUP(T156,'[1]Kode Posisi'!$A$3:$B$45,2,)</f>
        <v>Outsourcing Keamanan</v>
      </c>
      <c r="T156" s="36" t="s">
        <v>37</v>
      </c>
      <c r="U156" s="44" t="s">
        <v>1684</v>
      </c>
      <c r="V156" s="44" t="s">
        <v>3262</v>
      </c>
      <c r="W156" s="36" t="s">
        <v>1682</v>
      </c>
      <c r="X156" s="36" t="s">
        <v>1681</v>
      </c>
      <c r="Y156" s="36" t="s">
        <v>1294</v>
      </c>
      <c r="Z156" s="79" t="s">
        <v>3261</v>
      </c>
      <c r="AA156" s="36" t="s">
        <v>3260</v>
      </c>
      <c r="AB156" s="47">
        <v>4035000</v>
      </c>
      <c r="AC156" s="41">
        <v>4035000</v>
      </c>
      <c r="AD156" s="47">
        <v>3877000</v>
      </c>
      <c r="AE156" s="16">
        <f t="shared" si="64"/>
        <v>158000</v>
      </c>
      <c r="AF156" s="16">
        <v>0</v>
      </c>
      <c r="AG156" s="16">
        <v>0</v>
      </c>
      <c r="AH156" s="16"/>
      <c r="AI156" s="16">
        <v>0</v>
      </c>
      <c r="AJ156" s="16"/>
      <c r="AK156" s="16">
        <v>0</v>
      </c>
      <c r="AL156" s="11">
        <f t="shared" si="65"/>
        <v>4035000</v>
      </c>
      <c r="AM156" s="16">
        <f t="shared" si="66"/>
        <v>413184</v>
      </c>
      <c r="AN156" s="16">
        <f t="shared" si="67"/>
        <v>161400</v>
      </c>
      <c r="AO156" s="16">
        <f t="shared" si="85"/>
        <v>251784</v>
      </c>
      <c r="AP156" s="16">
        <f t="shared" si="68"/>
        <v>149295</v>
      </c>
      <c r="AQ156" s="16">
        <f t="shared" si="69"/>
        <v>4448184</v>
      </c>
      <c r="AR156" s="16">
        <f t="shared" si="59"/>
        <v>266891.03999999998</v>
      </c>
      <c r="AS156" s="16">
        <f t="shared" si="70"/>
        <v>29358.014399999996</v>
      </c>
      <c r="AT156" s="16">
        <f t="shared" si="71"/>
        <v>-5337.8207999999995</v>
      </c>
      <c r="AU156" s="16">
        <f t="shared" si="72"/>
        <v>4709737.2192000002</v>
      </c>
      <c r="AV156" s="16">
        <f t="shared" si="73"/>
        <v>4715075.04</v>
      </c>
      <c r="AW156" s="16">
        <f t="shared" si="74"/>
        <v>161400</v>
      </c>
      <c r="AX156" s="16" t="s">
        <v>243</v>
      </c>
      <c r="AY156" s="17"/>
      <c r="AZ156" s="17">
        <f t="shared" si="75"/>
        <v>2900</v>
      </c>
      <c r="BA156" s="16">
        <f t="shared" si="76"/>
        <v>3873600</v>
      </c>
      <c r="BB156" s="16">
        <f t="shared" si="77"/>
        <v>3870700</v>
      </c>
      <c r="BC156" s="15">
        <v>0.03</v>
      </c>
      <c r="BD156" s="15">
        <v>0.01</v>
      </c>
      <c r="BE156" s="37">
        <f t="shared" si="78"/>
        <v>372834</v>
      </c>
      <c r="BF156" s="38">
        <f t="shared" si="79"/>
        <v>229995</v>
      </c>
      <c r="BG156" s="37">
        <f t="shared" si="83"/>
        <v>193850</v>
      </c>
      <c r="BH156" s="37">
        <f t="shared" si="80"/>
        <v>201750</v>
      </c>
      <c r="BI156">
        <v>193850</v>
      </c>
      <c r="BL156" s="8">
        <f t="shared" si="81"/>
        <v>0</v>
      </c>
      <c r="BM156" s="7" t="str">
        <f t="shared" si="86"/>
        <v>Terdaftar BPJS Kes &amp; Naker</v>
      </c>
      <c r="BN156" s="11">
        <f t="shared" si="87"/>
        <v>229995</v>
      </c>
      <c r="BO156" s="11">
        <f t="shared" si="88"/>
        <v>183189</v>
      </c>
      <c r="BP156" s="9">
        <f t="shared" si="82"/>
        <v>0</v>
      </c>
      <c r="BQ156" t="str">
        <f>_xlfn.XLOOKUP(X156,'[2]NON TETAP'!$H:$H,'[2]NON TETAP'!$I:$I)</f>
        <v>WIDIA ASRI MEDIA</v>
      </c>
    </row>
    <row r="157" spans="1:69" x14ac:dyDescent="0.3">
      <c r="A157" s="2">
        <v>156</v>
      </c>
      <c r="B157" s="5" t="s">
        <v>3254</v>
      </c>
      <c r="C157" s="6" t="s">
        <v>241</v>
      </c>
      <c r="D157" s="6"/>
      <c r="E157" s="6" t="s">
        <v>73</v>
      </c>
      <c r="F157" s="6" t="s">
        <v>73</v>
      </c>
      <c r="G157" s="6"/>
      <c r="H157" s="6"/>
      <c r="I157" s="6"/>
      <c r="J157" s="6"/>
      <c r="K157" s="6">
        <v>800210</v>
      </c>
      <c r="L157" s="6"/>
      <c r="M157" s="6" t="s">
        <v>3259</v>
      </c>
      <c r="N157" s="46" t="s">
        <v>3258</v>
      </c>
      <c r="O157" s="6">
        <v>1507104178</v>
      </c>
      <c r="P157" s="78" t="s">
        <v>3257</v>
      </c>
      <c r="Q157" s="6">
        <v>10210</v>
      </c>
      <c r="R157" s="6">
        <v>27210</v>
      </c>
      <c r="S157" s="5" t="str">
        <f>VLOOKUP(T157,'[1]Kode Posisi'!$A$3:$B$45,2,)</f>
        <v>Outsourcing Keamanan</v>
      </c>
      <c r="T157" s="36" t="s">
        <v>37</v>
      </c>
      <c r="U157" s="44" t="s">
        <v>1684</v>
      </c>
      <c r="V157" s="44" t="s">
        <v>3256</v>
      </c>
      <c r="W157" s="36" t="s">
        <v>1682</v>
      </c>
      <c r="X157" s="36" t="s">
        <v>1681</v>
      </c>
      <c r="Y157" s="36" t="s">
        <v>1294</v>
      </c>
      <c r="Z157" s="79" t="s">
        <v>3255</v>
      </c>
      <c r="AA157" s="36" t="s">
        <v>3254</v>
      </c>
      <c r="AB157" s="47">
        <v>4035000</v>
      </c>
      <c r="AC157" s="41">
        <v>4035000</v>
      </c>
      <c r="AD157" s="47">
        <v>3877000</v>
      </c>
      <c r="AE157" s="16">
        <f t="shared" si="64"/>
        <v>158000</v>
      </c>
      <c r="AF157" s="16">
        <v>0</v>
      </c>
      <c r="AG157" s="16">
        <v>0</v>
      </c>
      <c r="AH157" s="16"/>
      <c r="AI157" s="16">
        <v>0</v>
      </c>
      <c r="AJ157" s="16"/>
      <c r="AK157" s="16">
        <v>0</v>
      </c>
      <c r="AL157" s="11">
        <f t="shared" si="65"/>
        <v>4035000</v>
      </c>
      <c r="AM157" s="16">
        <f t="shared" si="66"/>
        <v>413184</v>
      </c>
      <c r="AN157" s="16">
        <f t="shared" si="67"/>
        <v>161400</v>
      </c>
      <c r="AO157" s="16">
        <f t="shared" si="85"/>
        <v>251784</v>
      </c>
      <c r="AP157" s="16">
        <f t="shared" si="68"/>
        <v>149295</v>
      </c>
      <c r="AQ157" s="16">
        <f t="shared" si="69"/>
        <v>4448184</v>
      </c>
      <c r="AR157" s="16">
        <f t="shared" si="59"/>
        <v>266891.03999999998</v>
      </c>
      <c r="AS157" s="16">
        <f t="shared" si="70"/>
        <v>29358.014399999996</v>
      </c>
      <c r="AT157" s="16">
        <f t="shared" si="71"/>
        <v>-5337.8207999999995</v>
      </c>
      <c r="AU157" s="16">
        <f t="shared" si="72"/>
        <v>4709737.2192000002</v>
      </c>
      <c r="AV157" s="16">
        <f t="shared" si="73"/>
        <v>4715075.04</v>
      </c>
      <c r="AW157" s="16">
        <f t="shared" si="74"/>
        <v>161400</v>
      </c>
      <c r="AX157" s="16" t="s">
        <v>286</v>
      </c>
      <c r="AY157" s="17"/>
      <c r="AZ157" s="17">
        <f t="shared" si="75"/>
        <v>2900</v>
      </c>
      <c r="BA157" s="16">
        <f t="shared" si="76"/>
        <v>3873600</v>
      </c>
      <c r="BB157" s="16">
        <f t="shared" si="77"/>
        <v>3870700</v>
      </c>
      <c r="BC157" s="15">
        <v>0.03</v>
      </c>
      <c r="BD157" s="15">
        <v>0.01</v>
      </c>
      <c r="BE157" s="37">
        <f t="shared" si="78"/>
        <v>372834</v>
      </c>
      <c r="BF157" s="38">
        <f t="shared" si="79"/>
        <v>229995</v>
      </c>
      <c r="BG157" s="37">
        <f t="shared" si="83"/>
        <v>193850</v>
      </c>
      <c r="BH157" s="37">
        <f t="shared" si="80"/>
        <v>201750</v>
      </c>
      <c r="BI157">
        <v>193850</v>
      </c>
      <c r="BL157" s="8">
        <f t="shared" si="81"/>
        <v>0</v>
      </c>
      <c r="BM157" s="7" t="str">
        <f t="shared" si="86"/>
        <v>Terdaftar BPJS Kes &amp; Naker</v>
      </c>
      <c r="BN157" s="11">
        <f t="shared" si="87"/>
        <v>229995</v>
      </c>
      <c r="BO157" s="11">
        <f t="shared" si="88"/>
        <v>183189</v>
      </c>
      <c r="BP157" s="9">
        <f t="shared" si="82"/>
        <v>0</v>
      </c>
      <c r="BQ157" t="str">
        <f>_xlfn.XLOOKUP(X157,'[2]NON TETAP'!$H:$H,'[2]NON TETAP'!$I:$I)</f>
        <v>WIDIA ASRI MEDIA</v>
      </c>
    </row>
    <row r="158" spans="1:69" x14ac:dyDescent="0.3">
      <c r="A158" s="2">
        <v>157</v>
      </c>
      <c r="B158" s="5" t="s">
        <v>3248</v>
      </c>
      <c r="C158" s="6" t="s">
        <v>241</v>
      </c>
      <c r="D158" s="6"/>
      <c r="E158" s="6" t="s">
        <v>73</v>
      </c>
      <c r="F158" s="6" t="s">
        <v>73</v>
      </c>
      <c r="G158" s="6"/>
      <c r="H158" s="6"/>
      <c r="I158" s="6"/>
      <c r="J158" s="6"/>
      <c r="K158" s="6">
        <v>800212</v>
      </c>
      <c r="L158" s="6"/>
      <c r="M158" s="6" t="s">
        <v>3253</v>
      </c>
      <c r="N158" s="46" t="s">
        <v>3252</v>
      </c>
      <c r="O158" s="6">
        <v>1241177905</v>
      </c>
      <c r="P158" s="78" t="s">
        <v>3251</v>
      </c>
      <c r="Q158" s="6">
        <v>10210</v>
      </c>
      <c r="R158" s="6">
        <v>27210</v>
      </c>
      <c r="S158" s="5" t="str">
        <f>VLOOKUP(T158,'[1]Kode Posisi'!$A$3:$B$45,2,)</f>
        <v>Outsourcing Keamanan</v>
      </c>
      <c r="T158" s="36" t="s">
        <v>37</v>
      </c>
      <c r="U158" s="44" t="s">
        <v>1684</v>
      </c>
      <c r="V158" s="44" t="s">
        <v>3250</v>
      </c>
      <c r="W158" s="36" t="s">
        <v>1682</v>
      </c>
      <c r="X158" s="36" t="s">
        <v>1681</v>
      </c>
      <c r="Y158" s="36" t="s">
        <v>1294</v>
      </c>
      <c r="Z158" s="79" t="s">
        <v>3249</v>
      </c>
      <c r="AA158" s="36" t="s">
        <v>3248</v>
      </c>
      <c r="AB158" s="47">
        <v>4035000</v>
      </c>
      <c r="AC158" s="41">
        <v>4035000</v>
      </c>
      <c r="AD158" s="47">
        <v>3877000</v>
      </c>
      <c r="AE158" s="16">
        <f t="shared" si="64"/>
        <v>158000</v>
      </c>
      <c r="AF158" s="16">
        <v>0</v>
      </c>
      <c r="AG158" s="16">
        <v>0</v>
      </c>
      <c r="AH158" s="16"/>
      <c r="AI158" s="16">
        <v>0</v>
      </c>
      <c r="AJ158" s="16"/>
      <c r="AK158" s="16">
        <v>0</v>
      </c>
      <c r="AL158" s="11">
        <f t="shared" si="65"/>
        <v>4035000</v>
      </c>
      <c r="AM158" s="16">
        <f t="shared" si="66"/>
        <v>413184</v>
      </c>
      <c r="AN158" s="16">
        <f t="shared" si="67"/>
        <v>161400</v>
      </c>
      <c r="AO158" s="16">
        <f t="shared" si="85"/>
        <v>251784</v>
      </c>
      <c r="AP158" s="16">
        <f t="shared" si="68"/>
        <v>149295</v>
      </c>
      <c r="AQ158" s="16">
        <f t="shared" si="69"/>
        <v>4448184</v>
      </c>
      <c r="AR158" s="16">
        <f t="shared" si="59"/>
        <v>266891.03999999998</v>
      </c>
      <c r="AS158" s="16">
        <f t="shared" si="70"/>
        <v>29358.014399999996</v>
      </c>
      <c r="AT158" s="16">
        <f t="shared" si="71"/>
        <v>-5337.8207999999995</v>
      </c>
      <c r="AU158" s="16">
        <f t="shared" si="72"/>
        <v>4709737.2192000002</v>
      </c>
      <c r="AV158" s="16">
        <f t="shared" si="73"/>
        <v>4715075.04</v>
      </c>
      <c r="AW158" s="16">
        <f t="shared" si="74"/>
        <v>161400</v>
      </c>
      <c r="AX158" s="16" t="s">
        <v>235</v>
      </c>
      <c r="AY158" s="17"/>
      <c r="AZ158" s="17">
        <f t="shared" si="75"/>
        <v>2900</v>
      </c>
      <c r="BA158" s="16">
        <f t="shared" si="76"/>
        <v>3873600</v>
      </c>
      <c r="BB158" s="16">
        <f t="shared" si="77"/>
        <v>3870700</v>
      </c>
      <c r="BC158" s="15">
        <v>0.03</v>
      </c>
      <c r="BD158" s="15">
        <v>0.01</v>
      </c>
      <c r="BE158" s="37">
        <f t="shared" si="78"/>
        <v>372834</v>
      </c>
      <c r="BF158" s="38">
        <f t="shared" si="79"/>
        <v>229995</v>
      </c>
      <c r="BG158" s="37">
        <f t="shared" si="83"/>
        <v>193850</v>
      </c>
      <c r="BH158" s="37">
        <f t="shared" si="80"/>
        <v>201750</v>
      </c>
      <c r="BI158">
        <v>193850</v>
      </c>
      <c r="BL158" s="8">
        <f t="shared" si="81"/>
        <v>0</v>
      </c>
      <c r="BM158" s="7" t="str">
        <f t="shared" si="86"/>
        <v>Terdaftar BPJS Kes &amp; Naker</v>
      </c>
      <c r="BN158" s="11">
        <f t="shared" si="87"/>
        <v>229995</v>
      </c>
      <c r="BO158" s="11">
        <f t="shared" si="88"/>
        <v>183189</v>
      </c>
      <c r="BP158" s="9">
        <f t="shared" si="82"/>
        <v>0</v>
      </c>
      <c r="BQ158" t="str">
        <f>_xlfn.XLOOKUP(X158,'[2]NON TETAP'!$H:$H,'[2]NON TETAP'!$I:$I)</f>
        <v>WIDIA ASRI MEDIA</v>
      </c>
    </row>
    <row r="159" spans="1:69" x14ac:dyDescent="0.3">
      <c r="A159" s="2">
        <v>158</v>
      </c>
      <c r="B159" s="5" t="s">
        <v>3247</v>
      </c>
      <c r="C159" s="6" t="s">
        <v>241</v>
      </c>
      <c r="D159" s="6"/>
      <c r="E159" s="6" t="s">
        <v>73</v>
      </c>
      <c r="F159" s="6" t="s">
        <v>73</v>
      </c>
      <c r="G159" s="6"/>
      <c r="H159" s="6"/>
      <c r="I159" s="6"/>
      <c r="J159" s="6"/>
      <c r="K159" s="6">
        <v>800213</v>
      </c>
      <c r="L159" s="6"/>
      <c r="M159" s="6" t="s">
        <v>3246</v>
      </c>
      <c r="N159" s="46" t="s">
        <v>3245</v>
      </c>
      <c r="O159" s="6">
        <v>2320264271</v>
      </c>
      <c r="P159" s="78" t="s">
        <v>3244</v>
      </c>
      <c r="Q159" s="6">
        <v>10239</v>
      </c>
      <c r="R159" s="6">
        <v>27239</v>
      </c>
      <c r="S159" s="5" t="str">
        <f>VLOOKUP(T159,'[1]Kode Posisi'!$A$3:$B$45,2,)</f>
        <v>Outsourcing Keamanan</v>
      </c>
      <c r="T159" s="36" t="s">
        <v>2850</v>
      </c>
      <c r="U159" s="44" t="s">
        <v>1262</v>
      </c>
      <c r="V159" s="44" t="s">
        <v>3243</v>
      </c>
      <c r="W159" s="36" t="s">
        <v>1008</v>
      </c>
      <c r="X159" s="36" t="s">
        <v>1260</v>
      </c>
      <c r="Y159" s="36" t="s">
        <v>198</v>
      </c>
      <c r="Z159" s="79" t="s">
        <v>3242</v>
      </c>
      <c r="AA159" s="36" t="s">
        <v>3241</v>
      </c>
      <c r="AB159" s="47">
        <v>3899000</v>
      </c>
      <c r="AC159" s="47">
        <v>3899000</v>
      </c>
      <c r="AD159" s="47">
        <v>3899000</v>
      </c>
      <c r="AE159" s="16">
        <f t="shared" si="64"/>
        <v>0</v>
      </c>
      <c r="AF159" s="16">
        <v>0</v>
      </c>
      <c r="AG159" s="16">
        <v>0</v>
      </c>
      <c r="AH159" s="16"/>
      <c r="AI159" s="16">
        <v>0</v>
      </c>
      <c r="AJ159" s="16"/>
      <c r="AK159" s="16">
        <v>0</v>
      </c>
      <c r="AL159" s="11">
        <f t="shared" si="65"/>
        <v>3899000</v>
      </c>
      <c r="AM159" s="16">
        <f t="shared" si="66"/>
        <v>399257.59999999998</v>
      </c>
      <c r="AN159" s="16">
        <f t="shared" si="67"/>
        <v>155960</v>
      </c>
      <c r="AO159" s="16">
        <f t="shared" si="85"/>
        <v>243297.59999999998</v>
      </c>
      <c r="AP159" s="16">
        <f t="shared" si="68"/>
        <v>144263</v>
      </c>
      <c r="AQ159" s="16">
        <f t="shared" si="69"/>
        <v>4298257.5999999996</v>
      </c>
      <c r="AR159" s="16">
        <f t="shared" si="59"/>
        <v>257895.45599999998</v>
      </c>
      <c r="AS159" s="16">
        <f t="shared" si="70"/>
        <v>28368.500159999996</v>
      </c>
      <c r="AT159" s="16">
        <f t="shared" si="71"/>
        <v>-5157.9091199999993</v>
      </c>
      <c r="AU159" s="16">
        <f t="shared" si="72"/>
        <v>4550995.1468799999</v>
      </c>
      <c r="AV159" s="16">
        <f t="shared" si="73"/>
        <v>4556153.0559999999</v>
      </c>
      <c r="AW159" s="16">
        <f t="shared" si="74"/>
        <v>155960</v>
      </c>
      <c r="AX159" s="16" t="s">
        <v>235</v>
      </c>
      <c r="AY159" s="17"/>
      <c r="AZ159" s="17">
        <f t="shared" si="75"/>
        <v>2900</v>
      </c>
      <c r="BA159" s="16">
        <f t="shared" si="76"/>
        <v>3743040</v>
      </c>
      <c r="BB159" s="16">
        <f t="shared" si="77"/>
        <v>3740140</v>
      </c>
      <c r="BC159" s="15">
        <v>0.03</v>
      </c>
      <c r="BD159" s="15">
        <v>0.01</v>
      </c>
      <c r="BE159" s="37">
        <f t="shared" si="78"/>
        <v>360267.6</v>
      </c>
      <c r="BF159" s="38">
        <f t="shared" si="79"/>
        <v>222243</v>
      </c>
      <c r="BG159" s="37">
        <f t="shared" si="83"/>
        <v>194950</v>
      </c>
      <c r="BH159" s="37">
        <f t="shared" si="80"/>
        <v>194950</v>
      </c>
      <c r="BI159">
        <v>194950</v>
      </c>
      <c r="BJ159" s="2">
        <v>194950</v>
      </c>
      <c r="BL159" s="8">
        <f t="shared" si="81"/>
        <v>0</v>
      </c>
      <c r="BM159" s="7" t="str">
        <f t="shared" si="86"/>
        <v>Terdaftar BPJS Kes &amp; Naker</v>
      </c>
      <c r="BN159" s="11">
        <f t="shared" si="87"/>
        <v>222243</v>
      </c>
      <c r="BO159" s="11">
        <f t="shared" si="88"/>
        <v>177014.6</v>
      </c>
      <c r="BP159" s="9">
        <f t="shared" si="82"/>
        <v>0</v>
      </c>
      <c r="BQ159" t="str">
        <f>_xlfn.XLOOKUP(X159,'[2]NON TETAP'!$H:$H,'[2]NON TETAP'!$I:$I)</f>
        <v>GRAMEDIA ASRI MEDIA</v>
      </c>
    </row>
    <row r="160" spans="1:69" x14ac:dyDescent="0.3">
      <c r="A160" s="2">
        <v>159</v>
      </c>
      <c r="B160" s="5" t="s">
        <v>3235</v>
      </c>
      <c r="C160" s="6" t="s">
        <v>241</v>
      </c>
      <c r="D160" s="6"/>
      <c r="E160" s="6" t="s">
        <v>73</v>
      </c>
      <c r="F160" s="6" t="s">
        <v>73</v>
      </c>
      <c r="G160" s="6"/>
      <c r="H160" s="6"/>
      <c r="I160" s="6"/>
      <c r="J160" s="6"/>
      <c r="K160" s="6">
        <v>800214</v>
      </c>
      <c r="L160" s="6"/>
      <c r="M160" s="6" t="s">
        <v>3240</v>
      </c>
      <c r="N160" s="46" t="s">
        <v>3239</v>
      </c>
      <c r="O160" s="6">
        <v>1901590615</v>
      </c>
      <c r="P160" s="78" t="s">
        <v>3238</v>
      </c>
      <c r="Q160" s="6">
        <v>10239</v>
      </c>
      <c r="R160" s="6">
        <v>27239</v>
      </c>
      <c r="S160" s="5" t="str">
        <f>VLOOKUP(T160,'[1]Kode Posisi'!$A$3:$B$45,2,)</f>
        <v>Outsourcing Keamanan</v>
      </c>
      <c r="T160" s="36" t="s">
        <v>37</v>
      </c>
      <c r="U160" s="44" t="s">
        <v>1262</v>
      </c>
      <c r="V160" s="44" t="s">
        <v>3237</v>
      </c>
      <c r="W160" s="36" t="s">
        <v>1008</v>
      </c>
      <c r="X160" s="36" t="s">
        <v>1260</v>
      </c>
      <c r="Y160" s="36" t="s">
        <v>198</v>
      </c>
      <c r="Z160" s="79" t="s">
        <v>3236</v>
      </c>
      <c r="AA160" s="36" t="s">
        <v>3235</v>
      </c>
      <c r="AB160" s="47">
        <v>3899000</v>
      </c>
      <c r="AC160" s="47">
        <v>3899000</v>
      </c>
      <c r="AD160" s="47">
        <v>3899000</v>
      </c>
      <c r="AE160" s="16">
        <f t="shared" si="64"/>
        <v>0</v>
      </c>
      <c r="AF160" s="16">
        <v>0</v>
      </c>
      <c r="AG160" s="16">
        <v>0</v>
      </c>
      <c r="AH160" s="16"/>
      <c r="AI160" s="16">
        <v>0</v>
      </c>
      <c r="AJ160" s="16"/>
      <c r="AK160" s="16">
        <v>0</v>
      </c>
      <c r="AL160" s="11">
        <f t="shared" si="65"/>
        <v>3899000</v>
      </c>
      <c r="AM160" s="16">
        <f t="shared" si="66"/>
        <v>399257.59999999998</v>
      </c>
      <c r="AN160" s="16">
        <f t="shared" si="67"/>
        <v>155960</v>
      </c>
      <c r="AO160" s="16">
        <f t="shared" si="85"/>
        <v>243297.59999999998</v>
      </c>
      <c r="AP160" s="16">
        <f t="shared" si="68"/>
        <v>144263</v>
      </c>
      <c r="AQ160" s="16">
        <f t="shared" si="69"/>
        <v>4298257.5999999996</v>
      </c>
      <c r="AR160" s="16">
        <f t="shared" si="59"/>
        <v>257895.45599999998</v>
      </c>
      <c r="AS160" s="16">
        <f t="shared" si="70"/>
        <v>28368.500159999996</v>
      </c>
      <c r="AT160" s="16">
        <f t="shared" si="71"/>
        <v>-5157.9091199999993</v>
      </c>
      <c r="AU160" s="16">
        <f t="shared" si="72"/>
        <v>4550995.1468799999</v>
      </c>
      <c r="AV160" s="16">
        <f t="shared" si="73"/>
        <v>4556153.0559999999</v>
      </c>
      <c r="AW160" s="16">
        <f t="shared" si="74"/>
        <v>155960</v>
      </c>
      <c r="AX160" s="16" t="s">
        <v>286</v>
      </c>
      <c r="AY160" s="17"/>
      <c r="AZ160" s="17">
        <f t="shared" si="75"/>
        <v>2900</v>
      </c>
      <c r="BA160" s="16">
        <f t="shared" si="76"/>
        <v>3743040</v>
      </c>
      <c r="BB160" s="16">
        <f t="shared" si="77"/>
        <v>3740140</v>
      </c>
      <c r="BC160" s="15">
        <v>0.03</v>
      </c>
      <c r="BD160" s="15">
        <v>0.01</v>
      </c>
      <c r="BE160" s="37">
        <f t="shared" si="78"/>
        <v>360267.6</v>
      </c>
      <c r="BF160" s="38">
        <f t="shared" si="79"/>
        <v>222243</v>
      </c>
      <c r="BG160" s="37">
        <f t="shared" si="83"/>
        <v>194950</v>
      </c>
      <c r="BH160" s="37">
        <f t="shared" si="80"/>
        <v>194950</v>
      </c>
      <c r="BI160">
        <v>194950</v>
      </c>
      <c r="BL160" s="8">
        <f t="shared" si="81"/>
        <v>0</v>
      </c>
      <c r="BM160" s="7" t="str">
        <f t="shared" si="86"/>
        <v>Terdaftar BPJS Kes &amp; Naker</v>
      </c>
      <c r="BN160" s="11">
        <f t="shared" si="87"/>
        <v>222243</v>
      </c>
      <c r="BO160" s="11">
        <f t="shared" si="88"/>
        <v>177014.6</v>
      </c>
      <c r="BP160" s="9">
        <f t="shared" si="82"/>
        <v>0</v>
      </c>
      <c r="BQ160" t="str">
        <f>_xlfn.XLOOKUP(X160,'[2]NON TETAP'!$H:$H,'[2]NON TETAP'!$I:$I)</f>
        <v>GRAMEDIA ASRI MEDIA</v>
      </c>
    </row>
    <row r="161" spans="1:69" x14ac:dyDescent="0.3">
      <c r="A161" s="2">
        <v>160</v>
      </c>
      <c r="B161" s="5" t="s">
        <v>3229</v>
      </c>
      <c r="C161" s="6" t="s">
        <v>241</v>
      </c>
      <c r="D161" s="6"/>
      <c r="E161" s="6" t="s">
        <v>73</v>
      </c>
      <c r="F161" s="6" t="s">
        <v>73</v>
      </c>
      <c r="G161" s="6"/>
      <c r="H161" s="6"/>
      <c r="I161" s="6"/>
      <c r="J161" s="6"/>
      <c r="K161" s="6">
        <v>800215</v>
      </c>
      <c r="L161" s="6"/>
      <c r="M161" s="6" t="s">
        <v>3234</v>
      </c>
      <c r="N161" s="46" t="s">
        <v>3233</v>
      </c>
      <c r="O161" s="6">
        <v>218558687</v>
      </c>
      <c r="P161" s="78" t="s">
        <v>3232</v>
      </c>
      <c r="Q161" s="6">
        <v>10239</v>
      </c>
      <c r="R161" s="6">
        <v>27239</v>
      </c>
      <c r="S161" s="5" t="str">
        <f>VLOOKUP(T161,'[1]Kode Posisi'!$A$3:$B$45,2,)</f>
        <v>Outsourcing Keamanan</v>
      </c>
      <c r="T161" s="36" t="s">
        <v>37</v>
      </c>
      <c r="U161" s="44" t="s">
        <v>1262</v>
      </c>
      <c r="V161" s="44" t="s">
        <v>3231</v>
      </c>
      <c r="W161" s="36" t="s">
        <v>1008</v>
      </c>
      <c r="X161" s="36" t="s">
        <v>1260</v>
      </c>
      <c r="Y161" s="36" t="s">
        <v>198</v>
      </c>
      <c r="Z161" s="79" t="s">
        <v>3230</v>
      </c>
      <c r="AA161" s="36" t="s">
        <v>3229</v>
      </c>
      <c r="AB161" s="47">
        <v>3899000</v>
      </c>
      <c r="AC161" s="47">
        <v>3899000</v>
      </c>
      <c r="AD161" s="47">
        <v>3899000</v>
      </c>
      <c r="AE161" s="16">
        <f t="shared" si="64"/>
        <v>0</v>
      </c>
      <c r="AF161" s="16">
        <v>0</v>
      </c>
      <c r="AG161" s="16">
        <v>0</v>
      </c>
      <c r="AH161" s="16"/>
      <c r="AI161" s="16">
        <v>0</v>
      </c>
      <c r="AJ161" s="16"/>
      <c r="AK161" s="16">
        <v>0</v>
      </c>
      <c r="AL161" s="11">
        <f t="shared" si="65"/>
        <v>3899000</v>
      </c>
      <c r="AM161" s="16">
        <f t="shared" si="66"/>
        <v>399257.59999999998</v>
      </c>
      <c r="AN161" s="16">
        <f t="shared" si="67"/>
        <v>155960</v>
      </c>
      <c r="AO161" s="16">
        <f t="shared" si="85"/>
        <v>243297.59999999998</v>
      </c>
      <c r="AP161" s="16">
        <f t="shared" si="68"/>
        <v>144263</v>
      </c>
      <c r="AQ161" s="16">
        <f t="shared" si="69"/>
        <v>4298257.5999999996</v>
      </c>
      <c r="AR161" s="16">
        <f t="shared" si="59"/>
        <v>257895.45599999998</v>
      </c>
      <c r="AS161" s="16">
        <f t="shared" si="70"/>
        <v>28368.500159999996</v>
      </c>
      <c r="AT161" s="16">
        <f t="shared" si="71"/>
        <v>-5157.9091199999993</v>
      </c>
      <c r="AU161" s="16">
        <f t="shared" si="72"/>
        <v>4550995.1468799999</v>
      </c>
      <c r="AV161" s="16">
        <f t="shared" si="73"/>
        <v>4556153.0559999999</v>
      </c>
      <c r="AW161" s="16">
        <f t="shared" si="74"/>
        <v>155960</v>
      </c>
      <c r="AX161" s="16" t="s">
        <v>91</v>
      </c>
      <c r="AY161" s="17"/>
      <c r="AZ161" s="17">
        <f t="shared" si="75"/>
        <v>2900</v>
      </c>
      <c r="BA161" s="16">
        <f t="shared" si="76"/>
        <v>3743040</v>
      </c>
      <c r="BB161" s="16">
        <f t="shared" si="77"/>
        <v>3740140</v>
      </c>
      <c r="BC161" s="15">
        <v>0.03</v>
      </c>
      <c r="BD161" s="15">
        <v>0.01</v>
      </c>
      <c r="BE161" s="37">
        <f t="shared" si="78"/>
        <v>360267.6</v>
      </c>
      <c r="BF161" s="38">
        <f t="shared" si="79"/>
        <v>222243</v>
      </c>
      <c r="BG161" s="37">
        <f t="shared" si="83"/>
        <v>194950</v>
      </c>
      <c r="BH161" s="37">
        <f t="shared" si="80"/>
        <v>194950</v>
      </c>
      <c r="BI161">
        <v>194950</v>
      </c>
      <c r="BL161" s="8">
        <f t="shared" si="81"/>
        <v>0</v>
      </c>
      <c r="BM161" s="7" t="str">
        <f t="shared" si="86"/>
        <v>Terdaftar BPJS Kes &amp; Naker</v>
      </c>
      <c r="BN161" s="11">
        <f t="shared" si="87"/>
        <v>222243</v>
      </c>
      <c r="BO161" s="11">
        <f t="shared" si="88"/>
        <v>177014.6</v>
      </c>
      <c r="BP161" s="9">
        <f t="shared" si="82"/>
        <v>0</v>
      </c>
      <c r="BQ161" t="str">
        <f>_xlfn.XLOOKUP(X161,'[2]NON TETAP'!$H:$H,'[2]NON TETAP'!$I:$I)</f>
        <v>GRAMEDIA ASRI MEDIA</v>
      </c>
    </row>
    <row r="162" spans="1:69" x14ac:dyDescent="0.3">
      <c r="A162" s="2">
        <v>161</v>
      </c>
      <c r="B162" s="5" t="s">
        <v>1659</v>
      </c>
      <c r="C162" s="6" t="s">
        <v>241</v>
      </c>
      <c r="D162" s="6"/>
      <c r="E162" s="6" t="s">
        <v>73</v>
      </c>
      <c r="F162" s="6" t="s">
        <v>73</v>
      </c>
      <c r="G162" s="6"/>
      <c r="H162" s="6"/>
      <c r="I162" s="6"/>
      <c r="J162" s="6"/>
      <c r="K162" s="6">
        <v>800216</v>
      </c>
      <c r="L162" s="6"/>
      <c r="M162" s="6" t="s">
        <v>3228</v>
      </c>
      <c r="N162" s="46" t="s">
        <v>3227</v>
      </c>
      <c r="O162" s="6">
        <v>217394875</v>
      </c>
      <c r="P162" s="78" t="s">
        <v>3226</v>
      </c>
      <c r="Q162" s="6">
        <v>10239</v>
      </c>
      <c r="R162" s="6">
        <v>27239</v>
      </c>
      <c r="S162" s="5" t="str">
        <f>VLOOKUP(T162,'[1]Kode Posisi'!$A$3:$B$45,2,)</f>
        <v>Outsourcing Keamanan</v>
      </c>
      <c r="T162" s="36" t="s">
        <v>37</v>
      </c>
      <c r="U162" s="44" t="s">
        <v>1262</v>
      </c>
      <c r="V162" s="44" t="s">
        <v>3225</v>
      </c>
      <c r="W162" s="36" t="s">
        <v>1008</v>
      </c>
      <c r="X162" s="36" t="s">
        <v>1260</v>
      </c>
      <c r="Y162" s="36" t="s">
        <v>198</v>
      </c>
      <c r="Z162" s="79" t="s">
        <v>3224</v>
      </c>
      <c r="AA162" s="36" t="s">
        <v>1659</v>
      </c>
      <c r="AB162" s="47">
        <v>3899000</v>
      </c>
      <c r="AC162" s="47">
        <v>3899000</v>
      </c>
      <c r="AD162" s="47">
        <v>3899000</v>
      </c>
      <c r="AE162" s="16">
        <f t="shared" si="64"/>
        <v>0</v>
      </c>
      <c r="AF162" s="16">
        <v>0</v>
      </c>
      <c r="AG162" s="16">
        <v>0</v>
      </c>
      <c r="AH162" s="16"/>
      <c r="AI162" s="16">
        <v>0</v>
      </c>
      <c r="AJ162" s="16"/>
      <c r="AK162" s="16">
        <v>0</v>
      </c>
      <c r="AL162" s="11">
        <f t="shared" si="65"/>
        <v>3899000</v>
      </c>
      <c r="AM162" s="16">
        <f t="shared" si="66"/>
        <v>399257.59999999998</v>
      </c>
      <c r="AN162" s="16">
        <f t="shared" si="67"/>
        <v>155960</v>
      </c>
      <c r="AO162" s="16">
        <f t="shared" si="85"/>
        <v>243297.59999999998</v>
      </c>
      <c r="AP162" s="16">
        <f t="shared" si="68"/>
        <v>144263</v>
      </c>
      <c r="AQ162" s="16">
        <f t="shared" si="69"/>
        <v>4298257.5999999996</v>
      </c>
      <c r="AR162" s="16">
        <f t="shared" si="59"/>
        <v>257895.45599999998</v>
      </c>
      <c r="AS162" s="16">
        <f t="shared" si="70"/>
        <v>28368.500159999996</v>
      </c>
      <c r="AT162" s="16">
        <f t="shared" si="71"/>
        <v>-5157.9091199999993</v>
      </c>
      <c r="AU162" s="16">
        <f t="shared" si="72"/>
        <v>4550995.1468799999</v>
      </c>
      <c r="AV162" s="16">
        <f t="shared" si="73"/>
        <v>4556153.0559999999</v>
      </c>
      <c r="AW162" s="16">
        <f t="shared" si="74"/>
        <v>155960</v>
      </c>
      <c r="AX162" s="16" t="s">
        <v>235</v>
      </c>
      <c r="AY162" s="17"/>
      <c r="AZ162" s="17">
        <f t="shared" si="75"/>
        <v>2900</v>
      </c>
      <c r="BA162" s="16">
        <f t="shared" si="76"/>
        <v>3743040</v>
      </c>
      <c r="BB162" s="16">
        <f t="shared" si="77"/>
        <v>3740140</v>
      </c>
      <c r="BC162" s="15">
        <v>0.03</v>
      </c>
      <c r="BD162" s="15">
        <v>0.01</v>
      </c>
      <c r="BE162" s="37">
        <f t="shared" si="78"/>
        <v>360267.6</v>
      </c>
      <c r="BF162" s="38">
        <f t="shared" si="79"/>
        <v>222243</v>
      </c>
      <c r="BG162" s="37">
        <f t="shared" si="83"/>
        <v>194950</v>
      </c>
      <c r="BH162" s="37">
        <f t="shared" si="80"/>
        <v>194950</v>
      </c>
      <c r="BI162">
        <v>194950</v>
      </c>
      <c r="BL162" s="8">
        <f t="shared" si="81"/>
        <v>0</v>
      </c>
      <c r="BM162" s="7" t="str">
        <f t="shared" si="86"/>
        <v>Terdaftar BPJS Kes &amp; Naker</v>
      </c>
      <c r="BN162" s="11">
        <f t="shared" si="87"/>
        <v>222243</v>
      </c>
      <c r="BO162" s="11">
        <f t="shared" si="88"/>
        <v>177014.6</v>
      </c>
      <c r="BP162" s="9">
        <f t="shared" si="82"/>
        <v>0</v>
      </c>
      <c r="BQ162" t="str">
        <f>_xlfn.XLOOKUP(X162,'[2]NON TETAP'!$H:$H,'[2]NON TETAP'!$I:$I)</f>
        <v>GRAMEDIA ASRI MEDIA</v>
      </c>
    </row>
    <row r="163" spans="1:69" x14ac:dyDescent="0.3">
      <c r="A163" s="2">
        <v>162</v>
      </c>
      <c r="B163" s="5" t="s">
        <v>3218</v>
      </c>
      <c r="C163" s="6" t="s">
        <v>241</v>
      </c>
      <c r="D163" s="6"/>
      <c r="E163" s="6" t="s">
        <v>73</v>
      </c>
      <c r="F163" s="6" t="s">
        <v>73</v>
      </c>
      <c r="G163" s="6"/>
      <c r="H163" s="6"/>
      <c r="I163" s="6"/>
      <c r="J163" s="6"/>
      <c r="K163" s="6">
        <v>800219</v>
      </c>
      <c r="L163" s="6"/>
      <c r="M163" s="6" t="s">
        <v>3223</v>
      </c>
      <c r="N163" s="46" t="s">
        <v>3222</v>
      </c>
      <c r="O163" s="6">
        <v>2295901091</v>
      </c>
      <c r="P163" s="78" t="s">
        <v>3221</v>
      </c>
      <c r="Q163" s="6">
        <v>10239</v>
      </c>
      <c r="R163" s="6">
        <v>27239</v>
      </c>
      <c r="S163" s="5" t="str">
        <f>VLOOKUP(T163,'[1]Kode Posisi'!$A$3:$B$45,2,)</f>
        <v>Outsourcing Keamanan</v>
      </c>
      <c r="T163" s="36" t="s">
        <v>37</v>
      </c>
      <c r="U163" s="44" t="s">
        <v>1262</v>
      </c>
      <c r="V163" s="44" t="s">
        <v>3220</v>
      </c>
      <c r="W163" s="36" t="s">
        <v>1008</v>
      </c>
      <c r="X163" s="36" t="s">
        <v>1260</v>
      </c>
      <c r="Y163" s="36" t="s">
        <v>198</v>
      </c>
      <c r="Z163" s="79" t="s">
        <v>3219</v>
      </c>
      <c r="AA163" s="36" t="s">
        <v>3218</v>
      </c>
      <c r="AB163" s="47">
        <v>3899000</v>
      </c>
      <c r="AC163" s="47">
        <v>3899000</v>
      </c>
      <c r="AD163" s="47">
        <v>3899000</v>
      </c>
      <c r="AE163" s="16">
        <f t="shared" si="64"/>
        <v>0</v>
      </c>
      <c r="AF163" s="16">
        <v>0</v>
      </c>
      <c r="AG163" s="16">
        <v>0</v>
      </c>
      <c r="AH163" s="16"/>
      <c r="AI163" s="16">
        <v>0</v>
      </c>
      <c r="AJ163" s="16"/>
      <c r="AK163" s="16">
        <v>0</v>
      </c>
      <c r="AL163" s="11">
        <f t="shared" si="65"/>
        <v>3899000</v>
      </c>
      <c r="AM163" s="16">
        <f t="shared" si="66"/>
        <v>399257.59999999998</v>
      </c>
      <c r="AN163" s="16">
        <f t="shared" si="67"/>
        <v>155960</v>
      </c>
      <c r="AO163" s="16">
        <f t="shared" si="85"/>
        <v>243297.59999999998</v>
      </c>
      <c r="AP163" s="16">
        <f t="shared" si="68"/>
        <v>144263</v>
      </c>
      <c r="AQ163" s="16">
        <f t="shared" si="69"/>
        <v>4298257.5999999996</v>
      </c>
      <c r="AR163" s="16">
        <f t="shared" si="59"/>
        <v>257895.45599999998</v>
      </c>
      <c r="AS163" s="16">
        <f t="shared" si="70"/>
        <v>28368.500159999996</v>
      </c>
      <c r="AT163" s="16">
        <f t="shared" si="71"/>
        <v>-5157.9091199999993</v>
      </c>
      <c r="AU163" s="16">
        <f t="shared" si="72"/>
        <v>4550995.1468799999</v>
      </c>
      <c r="AV163" s="16">
        <f t="shared" si="73"/>
        <v>4556153.0559999999</v>
      </c>
      <c r="AW163" s="16">
        <f t="shared" si="74"/>
        <v>155960</v>
      </c>
      <c r="AX163" s="16" t="s">
        <v>286</v>
      </c>
      <c r="AY163" s="17"/>
      <c r="AZ163" s="17">
        <f t="shared" si="75"/>
        <v>2900</v>
      </c>
      <c r="BA163" s="16">
        <f t="shared" si="76"/>
        <v>3743040</v>
      </c>
      <c r="BB163" s="16">
        <f t="shared" si="77"/>
        <v>3740140</v>
      </c>
      <c r="BC163" s="15">
        <v>0.03</v>
      </c>
      <c r="BD163" s="15">
        <v>0.01</v>
      </c>
      <c r="BE163" s="37">
        <f t="shared" si="78"/>
        <v>360267.6</v>
      </c>
      <c r="BF163" s="38">
        <f t="shared" si="79"/>
        <v>222243</v>
      </c>
      <c r="BG163" s="37">
        <f t="shared" si="83"/>
        <v>194950</v>
      </c>
      <c r="BH163" s="37">
        <f t="shared" si="80"/>
        <v>194950</v>
      </c>
      <c r="BI163">
        <v>194950</v>
      </c>
      <c r="BL163" s="8">
        <f t="shared" si="81"/>
        <v>0</v>
      </c>
      <c r="BM163" s="7" t="str">
        <f t="shared" si="86"/>
        <v>Terdaftar BPJS Kes &amp; Naker</v>
      </c>
      <c r="BN163" s="11">
        <f t="shared" si="87"/>
        <v>222243</v>
      </c>
      <c r="BO163" s="11">
        <f t="shared" si="88"/>
        <v>177014.6</v>
      </c>
      <c r="BP163" s="9">
        <f t="shared" si="82"/>
        <v>0</v>
      </c>
      <c r="BQ163" t="str">
        <f>_xlfn.XLOOKUP(X163,'[2]NON TETAP'!$H:$H,'[2]NON TETAP'!$I:$I)</f>
        <v>GRAMEDIA ASRI MEDIA</v>
      </c>
    </row>
    <row r="164" spans="1:69" x14ac:dyDescent="0.3">
      <c r="A164" s="2">
        <v>163</v>
      </c>
      <c r="B164" s="5" t="s">
        <v>3212</v>
      </c>
      <c r="C164" s="6" t="s">
        <v>241</v>
      </c>
      <c r="D164" s="6"/>
      <c r="E164" s="6" t="s">
        <v>73</v>
      </c>
      <c r="F164" s="6" t="s">
        <v>73</v>
      </c>
      <c r="G164" s="6"/>
      <c r="H164" s="6"/>
      <c r="I164" s="6"/>
      <c r="J164" s="6"/>
      <c r="K164" s="6">
        <v>800220</v>
      </c>
      <c r="L164" s="6"/>
      <c r="M164" s="6" t="s">
        <v>3217</v>
      </c>
      <c r="N164" s="46" t="s">
        <v>3216</v>
      </c>
      <c r="O164" s="6">
        <v>1114393061</v>
      </c>
      <c r="P164" s="78" t="s">
        <v>3215</v>
      </c>
      <c r="Q164" s="6">
        <v>10239</v>
      </c>
      <c r="R164" s="6">
        <v>27239</v>
      </c>
      <c r="S164" s="5" t="str">
        <f>VLOOKUP(T164,'[1]Kode Posisi'!$A$3:$B$45,2,)</f>
        <v>Outsourcing Keamanan</v>
      </c>
      <c r="T164" s="36" t="s">
        <v>37</v>
      </c>
      <c r="U164" s="44" t="s">
        <v>1262</v>
      </c>
      <c r="V164" s="44" t="s">
        <v>3214</v>
      </c>
      <c r="W164" s="36" t="s">
        <v>1008</v>
      </c>
      <c r="X164" s="36" t="s">
        <v>1260</v>
      </c>
      <c r="Y164" s="36" t="s">
        <v>198</v>
      </c>
      <c r="Z164" s="79" t="s">
        <v>3213</v>
      </c>
      <c r="AA164" s="36" t="s">
        <v>3212</v>
      </c>
      <c r="AB164" s="47">
        <v>3899000</v>
      </c>
      <c r="AC164" s="47">
        <v>3899000</v>
      </c>
      <c r="AD164" s="47">
        <v>3899000</v>
      </c>
      <c r="AE164" s="16">
        <f t="shared" si="64"/>
        <v>0</v>
      </c>
      <c r="AF164" s="16">
        <v>0</v>
      </c>
      <c r="AG164" s="16">
        <v>0</v>
      </c>
      <c r="AH164" s="16"/>
      <c r="AI164" s="16">
        <v>0</v>
      </c>
      <c r="AJ164" s="16"/>
      <c r="AK164" s="16">
        <v>0</v>
      </c>
      <c r="AL164" s="11">
        <f t="shared" si="65"/>
        <v>3899000</v>
      </c>
      <c r="AM164" s="16">
        <f t="shared" si="66"/>
        <v>399257.59999999998</v>
      </c>
      <c r="AN164" s="16">
        <f t="shared" si="67"/>
        <v>155960</v>
      </c>
      <c r="AO164" s="16">
        <f t="shared" si="85"/>
        <v>243297.59999999998</v>
      </c>
      <c r="AP164" s="16">
        <f t="shared" si="68"/>
        <v>144263</v>
      </c>
      <c r="AQ164" s="16">
        <f t="shared" si="69"/>
        <v>4298257.5999999996</v>
      </c>
      <c r="AR164" s="16">
        <f t="shared" ref="AR164:AR227" si="89">SUM(AQ164*0.06)</f>
        <v>257895.45599999998</v>
      </c>
      <c r="AS164" s="16">
        <f t="shared" si="70"/>
        <v>28368.500159999996</v>
      </c>
      <c r="AT164" s="16">
        <f t="shared" si="71"/>
        <v>-5157.9091199999993</v>
      </c>
      <c r="AU164" s="16">
        <f t="shared" si="72"/>
        <v>4550995.1468799999</v>
      </c>
      <c r="AV164" s="16">
        <f t="shared" si="73"/>
        <v>4556153.0559999999</v>
      </c>
      <c r="AW164" s="16">
        <f t="shared" si="74"/>
        <v>155960</v>
      </c>
      <c r="AX164" s="16" t="s">
        <v>235</v>
      </c>
      <c r="AY164" s="17"/>
      <c r="AZ164" s="17">
        <f t="shared" si="75"/>
        <v>2900</v>
      </c>
      <c r="BA164" s="16">
        <f t="shared" si="76"/>
        <v>3743040</v>
      </c>
      <c r="BB164" s="16">
        <f t="shared" si="77"/>
        <v>3740140</v>
      </c>
      <c r="BC164" s="15">
        <v>0.03</v>
      </c>
      <c r="BD164" s="15">
        <v>0.01</v>
      </c>
      <c r="BE164" s="37">
        <f t="shared" si="78"/>
        <v>360267.6</v>
      </c>
      <c r="BF164" s="38">
        <f t="shared" si="79"/>
        <v>222243</v>
      </c>
      <c r="BG164" s="37">
        <f t="shared" si="83"/>
        <v>194950</v>
      </c>
      <c r="BH164" s="37">
        <f t="shared" si="80"/>
        <v>194950</v>
      </c>
      <c r="BI164">
        <v>194950</v>
      </c>
      <c r="BL164" s="8">
        <f t="shared" si="81"/>
        <v>0</v>
      </c>
      <c r="BM164" s="7" t="str">
        <f t="shared" si="86"/>
        <v>Terdaftar BPJS Kes &amp; Naker</v>
      </c>
      <c r="BN164" s="11">
        <f t="shared" si="87"/>
        <v>222243</v>
      </c>
      <c r="BO164" s="11">
        <f t="shared" si="88"/>
        <v>177014.6</v>
      </c>
      <c r="BP164" s="9">
        <f t="shared" si="82"/>
        <v>0</v>
      </c>
      <c r="BQ164" t="str">
        <f>_xlfn.XLOOKUP(X164,'[2]NON TETAP'!$H:$H,'[2]NON TETAP'!$I:$I)</f>
        <v>GRAMEDIA ASRI MEDIA</v>
      </c>
    </row>
    <row r="165" spans="1:69" x14ac:dyDescent="0.3">
      <c r="A165" s="2">
        <v>164</v>
      </c>
      <c r="B165" s="5" t="s">
        <v>3211</v>
      </c>
      <c r="C165" s="6" t="s">
        <v>241</v>
      </c>
      <c r="D165" s="6"/>
      <c r="E165" s="6" t="s">
        <v>73</v>
      </c>
      <c r="F165" s="6" t="s">
        <v>73</v>
      </c>
      <c r="G165" s="6"/>
      <c r="H165" s="6"/>
      <c r="I165" s="6"/>
      <c r="J165" s="6"/>
      <c r="K165" s="6">
        <v>800221</v>
      </c>
      <c r="L165" s="6"/>
      <c r="M165" s="6"/>
      <c r="N165" s="46" t="s">
        <v>1133</v>
      </c>
      <c r="O165" s="6"/>
      <c r="P165" s="36" t="s">
        <v>3210</v>
      </c>
      <c r="Q165" s="6">
        <v>10239</v>
      </c>
      <c r="R165" s="6">
        <v>27239</v>
      </c>
      <c r="S165" s="5" t="str">
        <f>VLOOKUP(T165,'[1]Kode Posisi'!$A$3:$B$45,2,)</f>
        <v>Outsourcing Keamanan</v>
      </c>
      <c r="T165" s="36" t="s">
        <v>2743</v>
      </c>
      <c r="U165" s="44" t="s">
        <v>1262</v>
      </c>
      <c r="V165" s="44" t="s">
        <v>3209</v>
      </c>
      <c r="W165" s="36" t="s">
        <v>1008</v>
      </c>
      <c r="X165" s="36" t="s">
        <v>1260</v>
      </c>
      <c r="Y165" s="36" t="s">
        <v>1294</v>
      </c>
      <c r="Z165" s="79" t="s">
        <v>3208</v>
      </c>
      <c r="AA165" s="36" t="s">
        <v>3207</v>
      </c>
      <c r="AB165" s="47">
        <v>3899000</v>
      </c>
      <c r="AC165" s="47">
        <v>3899000</v>
      </c>
      <c r="AD165" s="47">
        <v>3899000</v>
      </c>
      <c r="AE165" s="16">
        <f t="shared" si="64"/>
        <v>0</v>
      </c>
      <c r="AF165" s="16">
        <v>0</v>
      </c>
      <c r="AG165" s="16">
        <v>500000</v>
      </c>
      <c r="AH165" s="16"/>
      <c r="AI165" s="16">
        <v>0</v>
      </c>
      <c r="AJ165" s="16"/>
      <c r="AK165" s="16">
        <v>0</v>
      </c>
      <c r="AL165" s="11">
        <f t="shared" si="65"/>
        <v>4399000</v>
      </c>
      <c r="AM165" s="16">
        <f t="shared" si="66"/>
        <v>0</v>
      </c>
      <c r="AN165" s="16">
        <f t="shared" si="67"/>
        <v>0</v>
      </c>
      <c r="AO165" s="16">
        <f t="shared" si="85"/>
        <v>0</v>
      </c>
      <c r="AP165" s="16">
        <f t="shared" si="68"/>
        <v>0</v>
      </c>
      <c r="AQ165" s="16">
        <f t="shared" si="69"/>
        <v>4399000</v>
      </c>
      <c r="AR165" s="16">
        <f t="shared" si="89"/>
        <v>263940</v>
      </c>
      <c r="AS165" s="16">
        <f t="shared" si="70"/>
        <v>29033.4</v>
      </c>
      <c r="AT165" s="16">
        <f t="shared" si="71"/>
        <v>-5278.8</v>
      </c>
      <c r="AU165" s="16">
        <f t="shared" si="72"/>
        <v>4657661.2</v>
      </c>
      <c r="AV165" s="16">
        <f t="shared" si="73"/>
        <v>4662940</v>
      </c>
      <c r="AW165" s="16">
        <f t="shared" si="74"/>
        <v>0</v>
      </c>
      <c r="AX165" s="16" t="s">
        <v>235</v>
      </c>
      <c r="AY165" s="17"/>
      <c r="AZ165" s="17">
        <f t="shared" si="75"/>
        <v>2900</v>
      </c>
      <c r="BA165" s="16">
        <f t="shared" si="76"/>
        <v>4399000</v>
      </c>
      <c r="BB165" s="16">
        <f t="shared" si="77"/>
        <v>4396100</v>
      </c>
      <c r="BC165" s="15"/>
      <c r="BD165" s="15"/>
      <c r="BE165" s="37">
        <f t="shared" si="78"/>
        <v>0</v>
      </c>
      <c r="BF165" s="38">
        <f t="shared" si="79"/>
        <v>0</v>
      </c>
      <c r="BG165" s="37">
        <f t="shared" si="83"/>
        <v>194950</v>
      </c>
      <c r="BH165" s="37">
        <f t="shared" si="80"/>
        <v>0</v>
      </c>
      <c r="BI165">
        <v>0</v>
      </c>
      <c r="BL165" s="8">
        <f t="shared" si="81"/>
        <v>500000</v>
      </c>
      <c r="BM165" s="7" t="str">
        <f>IF(AND(BC165=0.03,0.2,BD165=0.01),"Terdaftar BPJS Kes &amp; Naker","Tidak Terdaftar")</f>
        <v>Tidak Terdaftar</v>
      </c>
      <c r="BN165" s="11"/>
      <c r="BO165" s="11"/>
      <c r="BP165" s="9">
        <f t="shared" si="82"/>
        <v>0</v>
      </c>
      <c r="BQ165" t="str">
        <f>_xlfn.XLOOKUP(X165,'[2]NON TETAP'!$H:$H,'[2]NON TETAP'!$I:$I)</f>
        <v>GRAMEDIA ASRI MEDIA</v>
      </c>
    </row>
    <row r="166" spans="1:69" x14ac:dyDescent="0.3">
      <c r="A166" s="2">
        <v>165</v>
      </c>
      <c r="B166" s="5" t="s">
        <v>3201</v>
      </c>
      <c r="C166" s="6" t="s">
        <v>241</v>
      </c>
      <c r="D166" s="6"/>
      <c r="E166" s="6" t="s">
        <v>73</v>
      </c>
      <c r="F166" s="6" t="s">
        <v>73</v>
      </c>
      <c r="G166" s="6"/>
      <c r="H166" s="6"/>
      <c r="I166" s="6"/>
      <c r="J166" s="6"/>
      <c r="K166" s="6">
        <v>800222</v>
      </c>
      <c r="L166" s="6"/>
      <c r="M166" s="6" t="s">
        <v>3206</v>
      </c>
      <c r="N166" s="46" t="s">
        <v>3205</v>
      </c>
      <c r="O166" s="6">
        <v>3302638806</v>
      </c>
      <c r="P166" s="78" t="s">
        <v>3204</v>
      </c>
      <c r="Q166" s="6">
        <v>10490</v>
      </c>
      <c r="R166" s="6">
        <v>27490</v>
      </c>
      <c r="S166" s="5" t="str">
        <f>VLOOKUP(T166,'[1]Kode Posisi'!$A$3:$B$45,2,)</f>
        <v>Outsourcing Keamanan</v>
      </c>
      <c r="T166" s="36" t="s">
        <v>37</v>
      </c>
      <c r="U166" s="44" t="s">
        <v>3191</v>
      </c>
      <c r="V166" s="44" t="s">
        <v>3203</v>
      </c>
      <c r="W166" s="36" t="s">
        <v>3189</v>
      </c>
      <c r="X166" s="36" t="s">
        <v>3188</v>
      </c>
      <c r="Y166" s="36" t="s">
        <v>52</v>
      </c>
      <c r="Z166" s="79" t="s">
        <v>3202</v>
      </c>
      <c r="AA166" s="36" t="s">
        <v>3201</v>
      </c>
      <c r="AB166" s="47">
        <v>4738000</v>
      </c>
      <c r="AC166" s="41">
        <v>4738000</v>
      </c>
      <c r="AD166" s="47">
        <v>4483000</v>
      </c>
      <c r="AE166" s="16">
        <f t="shared" si="64"/>
        <v>255000</v>
      </c>
      <c r="AF166" s="16">
        <v>0</v>
      </c>
      <c r="AG166" s="16">
        <v>0</v>
      </c>
      <c r="AH166" s="16">
        <v>200000</v>
      </c>
      <c r="AI166" s="16">
        <v>0</v>
      </c>
      <c r="AJ166" s="16"/>
      <c r="AK166" s="16">
        <v>0</v>
      </c>
      <c r="AL166" s="11">
        <f t="shared" si="65"/>
        <v>4938000</v>
      </c>
      <c r="AM166" s="16">
        <f t="shared" si="66"/>
        <v>485171.20000000001</v>
      </c>
      <c r="AN166" s="16">
        <f t="shared" si="67"/>
        <v>189520</v>
      </c>
      <c r="AO166" s="16">
        <f t="shared" si="85"/>
        <v>295651.20000000001</v>
      </c>
      <c r="AP166" s="16">
        <f t="shared" si="68"/>
        <v>175306</v>
      </c>
      <c r="AQ166" s="16">
        <f t="shared" si="69"/>
        <v>5423171.2000000002</v>
      </c>
      <c r="AR166" s="16">
        <f t="shared" si="89"/>
        <v>325390.272</v>
      </c>
      <c r="AS166" s="16">
        <f t="shared" si="70"/>
        <v>35792.929920000002</v>
      </c>
      <c r="AT166" s="16">
        <f t="shared" si="71"/>
        <v>-6507.8054400000001</v>
      </c>
      <c r="AU166" s="16">
        <f t="shared" si="72"/>
        <v>5742053.6665599998</v>
      </c>
      <c r="AV166" s="16">
        <f t="shared" si="73"/>
        <v>5748561.4720000001</v>
      </c>
      <c r="AW166" s="16">
        <f t="shared" si="74"/>
        <v>189520</v>
      </c>
      <c r="AX166" s="16" t="s">
        <v>286</v>
      </c>
      <c r="AY166" s="17"/>
      <c r="AZ166" s="17">
        <f t="shared" si="75"/>
        <v>0</v>
      </c>
      <c r="BA166" s="16">
        <f t="shared" si="76"/>
        <v>4748480</v>
      </c>
      <c r="BB166" s="16">
        <f t="shared" si="77"/>
        <v>4748480</v>
      </c>
      <c r="BC166" s="15">
        <v>0.03</v>
      </c>
      <c r="BD166" s="15">
        <v>0.01</v>
      </c>
      <c r="BE166" s="37">
        <f t="shared" si="78"/>
        <v>437791.19999999995</v>
      </c>
      <c r="BF166" s="38">
        <f t="shared" si="79"/>
        <v>270066</v>
      </c>
      <c r="BG166" s="37">
        <f t="shared" si="83"/>
        <v>224150</v>
      </c>
      <c r="BH166" s="37">
        <f t="shared" si="80"/>
        <v>236900</v>
      </c>
      <c r="BI166">
        <v>224150</v>
      </c>
      <c r="BL166" s="8">
        <f t="shared" si="81"/>
        <v>200000</v>
      </c>
      <c r="BM166" s="7" t="str">
        <f t="shared" ref="BM166:BM187" si="90">IF(AND(BC166=0.03,BD166=0.01),"Terdaftar BPJS Kes &amp; Naker","Tidak Terdaftar")</f>
        <v>Terdaftar BPJS Kes &amp; Naker</v>
      </c>
      <c r="BN166" s="11">
        <f t="shared" ref="BN166:BN187" si="91">AC166*5.7%</f>
        <v>270066</v>
      </c>
      <c r="BO166" s="11">
        <f t="shared" ref="BO166:BO187" si="92">AC166*4.54%</f>
        <v>215105.2</v>
      </c>
      <c r="BP166" s="9">
        <f t="shared" si="82"/>
        <v>0</v>
      </c>
      <c r="BQ166" t="str">
        <f>_xlfn.XLOOKUP(X166,'[2]NON TETAP'!$H:$H,'[2]NON TETAP'!$I:$I)</f>
        <v>GRAMEDIA ASRI MEDIA</v>
      </c>
    </row>
    <row r="167" spans="1:69" x14ac:dyDescent="0.3">
      <c r="A167" s="2">
        <v>166</v>
      </c>
      <c r="B167" s="5" t="s">
        <v>3195</v>
      </c>
      <c r="C167" s="6" t="s">
        <v>241</v>
      </c>
      <c r="D167" s="6"/>
      <c r="E167" s="6" t="s">
        <v>73</v>
      </c>
      <c r="F167" s="6" t="s">
        <v>73</v>
      </c>
      <c r="G167" s="6"/>
      <c r="H167" s="6"/>
      <c r="I167" s="6"/>
      <c r="J167" s="6"/>
      <c r="K167" s="6">
        <v>800223</v>
      </c>
      <c r="L167" s="6"/>
      <c r="M167" s="6" t="s">
        <v>3200</v>
      </c>
      <c r="N167" s="46" t="s">
        <v>3199</v>
      </c>
      <c r="O167" s="6">
        <v>2935091193</v>
      </c>
      <c r="P167" s="78" t="s">
        <v>3198</v>
      </c>
      <c r="Q167" s="6">
        <v>10490</v>
      </c>
      <c r="R167" s="6">
        <v>27490</v>
      </c>
      <c r="S167" s="5" t="str">
        <f>VLOOKUP(T167,'[1]Kode Posisi'!$A$3:$B$45,2,)</f>
        <v>Outsourcing Keamanan</v>
      </c>
      <c r="T167" s="36" t="s">
        <v>37</v>
      </c>
      <c r="U167" s="44" t="s">
        <v>3191</v>
      </c>
      <c r="V167" s="44" t="s">
        <v>3197</v>
      </c>
      <c r="W167" s="36" t="s">
        <v>3189</v>
      </c>
      <c r="X167" s="36" t="s">
        <v>3188</v>
      </c>
      <c r="Y167" s="36" t="s">
        <v>52</v>
      </c>
      <c r="Z167" s="79" t="s">
        <v>3196</v>
      </c>
      <c r="AA167" s="36" t="s">
        <v>3195</v>
      </c>
      <c r="AB167" s="47">
        <v>4738000</v>
      </c>
      <c r="AC167" s="41">
        <v>4738000</v>
      </c>
      <c r="AD167" s="47">
        <v>4483000</v>
      </c>
      <c r="AE167" s="16">
        <f t="shared" si="64"/>
        <v>255000</v>
      </c>
      <c r="AF167" s="16">
        <v>0</v>
      </c>
      <c r="AG167" s="16">
        <v>0</v>
      </c>
      <c r="AH167" s="16">
        <v>200000</v>
      </c>
      <c r="AI167" s="16">
        <v>0</v>
      </c>
      <c r="AJ167" s="16"/>
      <c r="AK167" s="16">
        <v>0</v>
      </c>
      <c r="AL167" s="11">
        <f t="shared" si="65"/>
        <v>4938000</v>
      </c>
      <c r="AM167" s="16">
        <f t="shared" si="66"/>
        <v>485171.20000000001</v>
      </c>
      <c r="AN167" s="16">
        <f t="shared" si="67"/>
        <v>189520</v>
      </c>
      <c r="AO167" s="16">
        <f t="shared" si="85"/>
        <v>295651.20000000001</v>
      </c>
      <c r="AP167" s="16">
        <f t="shared" si="68"/>
        <v>175306</v>
      </c>
      <c r="AQ167" s="16">
        <f t="shared" si="69"/>
        <v>5423171.2000000002</v>
      </c>
      <c r="AR167" s="16">
        <f t="shared" si="89"/>
        <v>325390.272</v>
      </c>
      <c r="AS167" s="16">
        <f t="shared" si="70"/>
        <v>35792.929920000002</v>
      </c>
      <c r="AT167" s="16">
        <f t="shared" si="71"/>
        <v>-6507.8054400000001</v>
      </c>
      <c r="AU167" s="16">
        <f t="shared" si="72"/>
        <v>5742053.6665599998</v>
      </c>
      <c r="AV167" s="16">
        <f t="shared" si="73"/>
        <v>5748561.4720000001</v>
      </c>
      <c r="AW167" s="16">
        <f t="shared" si="74"/>
        <v>189520</v>
      </c>
      <c r="AX167" s="16" t="s">
        <v>319</v>
      </c>
      <c r="AY167" s="17"/>
      <c r="AZ167" s="17">
        <f t="shared" si="75"/>
        <v>0</v>
      </c>
      <c r="BA167" s="16">
        <f t="shared" si="76"/>
        <v>4748480</v>
      </c>
      <c r="BB167" s="16">
        <f t="shared" si="77"/>
        <v>4748480</v>
      </c>
      <c r="BC167" s="15">
        <v>0.03</v>
      </c>
      <c r="BD167" s="15">
        <v>0.01</v>
      </c>
      <c r="BE167" s="37">
        <f t="shared" si="78"/>
        <v>437791.19999999995</v>
      </c>
      <c r="BF167" s="38">
        <f t="shared" si="79"/>
        <v>270066</v>
      </c>
      <c r="BG167" s="37">
        <f t="shared" si="83"/>
        <v>224150</v>
      </c>
      <c r="BH167" s="37">
        <f t="shared" si="80"/>
        <v>236900</v>
      </c>
      <c r="BI167">
        <v>224150</v>
      </c>
      <c r="BL167" s="8">
        <f t="shared" si="81"/>
        <v>200000</v>
      </c>
      <c r="BM167" s="7" t="str">
        <f t="shared" si="90"/>
        <v>Terdaftar BPJS Kes &amp; Naker</v>
      </c>
      <c r="BN167" s="11">
        <f t="shared" si="91"/>
        <v>270066</v>
      </c>
      <c r="BO167" s="11">
        <f t="shared" si="92"/>
        <v>215105.2</v>
      </c>
      <c r="BP167" s="9">
        <f t="shared" si="82"/>
        <v>0</v>
      </c>
      <c r="BQ167" t="str">
        <f>_xlfn.XLOOKUP(X167,'[2]NON TETAP'!$H:$H,'[2]NON TETAP'!$I:$I)</f>
        <v>GRAMEDIA ASRI MEDIA</v>
      </c>
    </row>
    <row r="168" spans="1:69" x14ac:dyDescent="0.3">
      <c r="A168" s="2">
        <v>167</v>
      </c>
      <c r="B168" s="5" t="s">
        <v>3186</v>
      </c>
      <c r="C168" s="6" t="s">
        <v>241</v>
      </c>
      <c r="D168" s="6"/>
      <c r="E168" s="6" t="s">
        <v>73</v>
      </c>
      <c r="F168" s="6" t="s">
        <v>73</v>
      </c>
      <c r="G168" s="6"/>
      <c r="H168" s="6"/>
      <c r="I168" s="6"/>
      <c r="J168" s="6"/>
      <c r="K168" s="6">
        <v>800224</v>
      </c>
      <c r="L168" s="6"/>
      <c r="M168" s="6" t="s">
        <v>3194</v>
      </c>
      <c r="N168" s="46" t="s">
        <v>3193</v>
      </c>
      <c r="O168" s="6">
        <v>2432682189</v>
      </c>
      <c r="P168" s="78" t="s">
        <v>3192</v>
      </c>
      <c r="Q168" s="6">
        <v>10490</v>
      </c>
      <c r="R168" s="6">
        <v>27490</v>
      </c>
      <c r="S168" s="5" t="str">
        <f>VLOOKUP(T168,'[1]Kode Posisi'!$A$3:$B$45,2,)</f>
        <v>Outsourcing Keamanan</v>
      </c>
      <c r="T168" s="36" t="s">
        <v>37</v>
      </c>
      <c r="U168" s="44" t="s">
        <v>3191</v>
      </c>
      <c r="V168" s="44" t="s">
        <v>3190</v>
      </c>
      <c r="W168" s="36" t="s">
        <v>3189</v>
      </c>
      <c r="X168" s="36" t="s">
        <v>3188</v>
      </c>
      <c r="Y168" s="36" t="s">
        <v>52</v>
      </c>
      <c r="Z168" s="79" t="s">
        <v>3187</v>
      </c>
      <c r="AA168" s="36" t="s">
        <v>3186</v>
      </c>
      <c r="AB168" s="47">
        <v>4738000</v>
      </c>
      <c r="AC168" s="41">
        <v>4738000</v>
      </c>
      <c r="AD168" s="47">
        <v>4483000</v>
      </c>
      <c r="AE168" s="16">
        <f t="shared" si="64"/>
        <v>255000</v>
      </c>
      <c r="AF168" s="16">
        <v>0</v>
      </c>
      <c r="AG168" s="16">
        <v>0</v>
      </c>
      <c r="AH168" s="16">
        <v>200000</v>
      </c>
      <c r="AI168" s="16">
        <v>0</v>
      </c>
      <c r="AJ168" s="16"/>
      <c r="AK168" s="16">
        <v>0</v>
      </c>
      <c r="AL168" s="11">
        <f t="shared" si="65"/>
        <v>4938000</v>
      </c>
      <c r="AM168" s="16">
        <f t="shared" si="66"/>
        <v>485171.20000000001</v>
      </c>
      <c r="AN168" s="16">
        <f t="shared" si="67"/>
        <v>189520</v>
      </c>
      <c r="AO168" s="16">
        <f t="shared" si="85"/>
        <v>295651.20000000001</v>
      </c>
      <c r="AP168" s="16">
        <f t="shared" si="68"/>
        <v>175306</v>
      </c>
      <c r="AQ168" s="16">
        <f t="shared" si="69"/>
        <v>5423171.2000000002</v>
      </c>
      <c r="AR168" s="16">
        <f t="shared" si="89"/>
        <v>325390.272</v>
      </c>
      <c r="AS168" s="16">
        <f t="shared" si="70"/>
        <v>35792.929920000002</v>
      </c>
      <c r="AT168" s="16">
        <f t="shared" si="71"/>
        <v>-6507.8054400000001</v>
      </c>
      <c r="AU168" s="16">
        <f t="shared" si="72"/>
        <v>5742053.6665599998</v>
      </c>
      <c r="AV168" s="16">
        <f t="shared" si="73"/>
        <v>5748561.4720000001</v>
      </c>
      <c r="AW168" s="16">
        <f t="shared" si="74"/>
        <v>189520</v>
      </c>
      <c r="AX168" s="16" t="s">
        <v>286</v>
      </c>
      <c r="AY168" s="17"/>
      <c r="AZ168" s="17">
        <f t="shared" si="75"/>
        <v>0</v>
      </c>
      <c r="BA168" s="16">
        <f t="shared" si="76"/>
        <v>4748480</v>
      </c>
      <c r="BB168" s="16">
        <f t="shared" si="77"/>
        <v>4748480</v>
      </c>
      <c r="BC168" s="15">
        <v>0.03</v>
      </c>
      <c r="BD168" s="15">
        <v>0.01</v>
      </c>
      <c r="BE168" s="37">
        <f t="shared" si="78"/>
        <v>437791.19999999995</v>
      </c>
      <c r="BF168" s="38">
        <f t="shared" si="79"/>
        <v>270066</v>
      </c>
      <c r="BG168" s="37">
        <f t="shared" si="83"/>
        <v>224150</v>
      </c>
      <c r="BH168" s="37">
        <f t="shared" si="80"/>
        <v>236900</v>
      </c>
      <c r="BI168">
        <v>224150</v>
      </c>
      <c r="BL168" s="8">
        <f t="shared" si="81"/>
        <v>200000</v>
      </c>
      <c r="BM168" s="7" t="str">
        <f t="shared" si="90"/>
        <v>Terdaftar BPJS Kes &amp; Naker</v>
      </c>
      <c r="BN168" s="11">
        <f t="shared" si="91"/>
        <v>270066</v>
      </c>
      <c r="BO168" s="11">
        <f t="shared" si="92"/>
        <v>215105.2</v>
      </c>
      <c r="BP168" s="9">
        <f t="shared" si="82"/>
        <v>0</v>
      </c>
      <c r="BQ168" t="str">
        <f>_xlfn.XLOOKUP(X168,'[2]NON TETAP'!$H:$H,'[2]NON TETAP'!$I:$I)</f>
        <v>GRAMEDIA ASRI MEDIA</v>
      </c>
    </row>
    <row r="169" spans="1:69" x14ac:dyDescent="0.3">
      <c r="A169" s="2">
        <v>168</v>
      </c>
      <c r="B169" s="5" t="s">
        <v>3180</v>
      </c>
      <c r="C169" s="6" t="s">
        <v>241</v>
      </c>
      <c r="D169" s="6"/>
      <c r="E169" s="6" t="s">
        <v>73</v>
      </c>
      <c r="F169" s="6" t="s">
        <v>73</v>
      </c>
      <c r="G169" s="6"/>
      <c r="H169" s="6"/>
      <c r="I169" s="6"/>
      <c r="J169" s="6"/>
      <c r="K169" s="6">
        <v>800225</v>
      </c>
      <c r="L169" s="6"/>
      <c r="M169" s="6" t="s">
        <v>3185</v>
      </c>
      <c r="N169" s="46" t="s">
        <v>3184</v>
      </c>
      <c r="O169" s="6">
        <v>1150690656</v>
      </c>
      <c r="P169" s="78" t="s">
        <v>3183</v>
      </c>
      <c r="Q169" s="6">
        <v>10104</v>
      </c>
      <c r="R169" s="6">
        <v>27104</v>
      </c>
      <c r="S169" s="5" t="str">
        <f>VLOOKUP(T169,'[1]Kode Posisi'!$A$3:$B$45,2,)</f>
        <v>Outsourcing Keamanan</v>
      </c>
      <c r="T169" s="36" t="s">
        <v>37</v>
      </c>
      <c r="U169" s="44" t="s">
        <v>1632</v>
      </c>
      <c r="V169" s="44" t="s">
        <v>3182</v>
      </c>
      <c r="W169" s="36" t="s">
        <v>1630</v>
      </c>
      <c r="X169" s="36" t="s">
        <v>14</v>
      </c>
      <c r="Y169" s="36" t="s">
        <v>52</v>
      </c>
      <c r="Z169" s="79" t="s">
        <v>3181</v>
      </c>
      <c r="AA169" s="36" t="s">
        <v>3180</v>
      </c>
      <c r="AB169" s="47">
        <v>4738000</v>
      </c>
      <c r="AC169" s="41">
        <v>4738000</v>
      </c>
      <c r="AD169" s="47">
        <v>4483000</v>
      </c>
      <c r="AE169" s="16">
        <f t="shared" si="64"/>
        <v>255000</v>
      </c>
      <c r="AF169" s="16">
        <v>0</v>
      </c>
      <c r="AG169" s="16">
        <v>0</v>
      </c>
      <c r="AH169" s="16"/>
      <c r="AI169" s="16">
        <v>0</v>
      </c>
      <c r="AJ169" s="16"/>
      <c r="AK169" s="16">
        <v>0</v>
      </c>
      <c r="AL169" s="11">
        <f t="shared" si="65"/>
        <v>4738000</v>
      </c>
      <c r="AM169" s="16">
        <f t="shared" si="66"/>
        <v>485171.20000000001</v>
      </c>
      <c r="AN169" s="16">
        <f t="shared" si="67"/>
        <v>189520</v>
      </c>
      <c r="AO169" s="16">
        <f t="shared" si="85"/>
        <v>295651.20000000001</v>
      </c>
      <c r="AP169" s="16">
        <f t="shared" si="68"/>
        <v>175306</v>
      </c>
      <c r="AQ169" s="16">
        <f t="shared" si="69"/>
        <v>5223171.2</v>
      </c>
      <c r="AR169" s="16">
        <f t="shared" si="89"/>
        <v>313390.272</v>
      </c>
      <c r="AS169" s="16">
        <f t="shared" si="70"/>
        <v>34472.929920000002</v>
      </c>
      <c r="AT169" s="16">
        <f t="shared" si="71"/>
        <v>-6267.8054400000001</v>
      </c>
      <c r="AU169" s="16">
        <f t="shared" si="72"/>
        <v>5530293.6665599998</v>
      </c>
      <c r="AV169" s="16">
        <f t="shared" si="73"/>
        <v>5536561.4720000001</v>
      </c>
      <c r="AW169" s="16">
        <f t="shared" si="74"/>
        <v>189520</v>
      </c>
      <c r="AX169" s="16" t="s">
        <v>286</v>
      </c>
      <c r="AY169" s="17"/>
      <c r="AZ169" s="17">
        <f t="shared" si="75"/>
        <v>0</v>
      </c>
      <c r="BA169" s="16">
        <f t="shared" si="76"/>
        <v>4548480</v>
      </c>
      <c r="BB169" s="16">
        <f t="shared" si="77"/>
        <v>4548480</v>
      </c>
      <c r="BC169" s="15">
        <v>0.03</v>
      </c>
      <c r="BD169" s="15">
        <v>0.01</v>
      </c>
      <c r="BE169" s="37">
        <f t="shared" si="78"/>
        <v>437791.19999999995</v>
      </c>
      <c r="BF169" s="38">
        <f t="shared" si="79"/>
        <v>270066</v>
      </c>
      <c r="BG169" s="37">
        <f t="shared" si="83"/>
        <v>224150</v>
      </c>
      <c r="BH169" s="37">
        <f t="shared" si="80"/>
        <v>236900</v>
      </c>
      <c r="BI169">
        <v>224150</v>
      </c>
      <c r="BL169" s="8">
        <f t="shared" si="81"/>
        <v>0</v>
      </c>
      <c r="BM169" s="7" t="str">
        <f t="shared" si="90"/>
        <v>Terdaftar BPJS Kes &amp; Naker</v>
      </c>
      <c r="BN169" s="11">
        <f t="shared" si="91"/>
        <v>270066</v>
      </c>
      <c r="BO169" s="11">
        <f t="shared" si="92"/>
        <v>215105.2</v>
      </c>
      <c r="BP169" s="9">
        <f t="shared" si="82"/>
        <v>0</v>
      </c>
      <c r="BQ169" t="str">
        <f>_xlfn.XLOOKUP(X169,'[2]NON TETAP'!$H:$H,'[2]NON TETAP'!$I:$I)</f>
        <v>GRAMEDIA ASRI MEDIA</v>
      </c>
    </row>
    <row r="170" spans="1:69" x14ac:dyDescent="0.3">
      <c r="A170" s="2">
        <v>169</v>
      </c>
      <c r="B170" s="5" t="s">
        <v>3174</v>
      </c>
      <c r="C170" s="6" t="s">
        <v>241</v>
      </c>
      <c r="D170" s="6"/>
      <c r="E170" s="6" t="s">
        <v>73</v>
      </c>
      <c r="F170" s="6" t="s">
        <v>73</v>
      </c>
      <c r="G170" s="6"/>
      <c r="H170" s="6"/>
      <c r="I170" s="6"/>
      <c r="J170" s="6"/>
      <c r="K170" s="6">
        <v>800226</v>
      </c>
      <c r="L170" s="6"/>
      <c r="M170" s="6" t="s">
        <v>3179</v>
      </c>
      <c r="N170" s="46" t="s">
        <v>3178</v>
      </c>
      <c r="O170" s="6">
        <v>1328363223</v>
      </c>
      <c r="P170" s="78" t="s">
        <v>3177</v>
      </c>
      <c r="Q170" s="6">
        <v>10104</v>
      </c>
      <c r="R170" s="6">
        <v>27104</v>
      </c>
      <c r="S170" s="5" t="str">
        <f>VLOOKUP(T170,'[1]Kode Posisi'!$A$3:$B$45,2,)</f>
        <v>Outsourcing Keamanan</v>
      </c>
      <c r="T170" s="36" t="s">
        <v>37</v>
      </c>
      <c r="U170" s="44" t="s">
        <v>1632</v>
      </c>
      <c r="V170" s="44" t="s">
        <v>3176</v>
      </c>
      <c r="W170" s="36" t="s">
        <v>1630</v>
      </c>
      <c r="X170" s="36" t="s">
        <v>14</v>
      </c>
      <c r="Y170" s="36" t="s">
        <v>52</v>
      </c>
      <c r="Z170" s="79" t="s">
        <v>3175</v>
      </c>
      <c r="AA170" s="36" t="s">
        <v>3174</v>
      </c>
      <c r="AB170" s="47">
        <v>4738000</v>
      </c>
      <c r="AC170" s="41">
        <v>4738000</v>
      </c>
      <c r="AD170" s="47">
        <v>4483000</v>
      </c>
      <c r="AE170" s="16">
        <f t="shared" si="64"/>
        <v>255000</v>
      </c>
      <c r="AF170" s="16">
        <v>0</v>
      </c>
      <c r="AG170" s="16">
        <v>0</v>
      </c>
      <c r="AH170" s="16"/>
      <c r="AI170" s="16">
        <v>401656.06936416181</v>
      </c>
      <c r="AJ170" s="16"/>
      <c r="AK170" s="16">
        <v>0</v>
      </c>
      <c r="AL170" s="11">
        <f t="shared" si="65"/>
        <v>5139656.0693641622</v>
      </c>
      <c r="AM170" s="16">
        <f t="shared" si="66"/>
        <v>485171.20000000001</v>
      </c>
      <c r="AN170" s="16">
        <f t="shared" si="67"/>
        <v>189520</v>
      </c>
      <c r="AO170" s="16">
        <f t="shared" si="85"/>
        <v>295651.20000000001</v>
      </c>
      <c r="AP170" s="16">
        <f t="shared" si="68"/>
        <v>175306</v>
      </c>
      <c r="AQ170" s="16">
        <f t="shared" si="69"/>
        <v>5624827.2693641623</v>
      </c>
      <c r="AR170" s="16">
        <f t="shared" si="89"/>
        <v>337489.63616184972</v>
      </c>
      <c r="AS170" s="16">
        <f t="shared" si="70"/>
        <v>37123.85997780347</v>
      </c>
      <c r="AT170" s="16">
        <f t="shared" si="71"/>
        <v>-6749.7927232369948</v>
      </c>
      <c r="AU170" s="16">
        <f t="shared" si="72"/>
        <v>5955567.1128027756</v>
      </c>
      <c r="AV170" s="16">
        <f t="shared" si="73"/>
        <v>5962316.9055260122</v>
      </c>
      <c r="AW170" s="16">
        <f t="shared" si="74"/>
        <v>189520</v>
      </c>
      <c r="AX170" s="16" t="s">
        <v>243</v>
      </c>
      <c r="AY170" s="17"/>
      <c r="AZ170" s="17">
        <f t="shared" si="75"/>
        <v>0</v>
      </c>
      <c r="BA170" s="16">
        <f t="shared" si="76"/>
        <v>4950136.0693641622</v>
      </c>
      <c r="BB170" s="16">
        <f t="shared" si="77"/>
        <v>4950136.0693641622</v>
      </c>
      <c r="BC170" s="15">
        <v>0.03</v>
      </c>
      <c r="BD170" s="15">
        <v>0.01</v>
      </c>
      <c r="BE170" s="37">
        <f t="shared" si="78"/>
        <v>437791.19999999995</v>
      </c>
      <c r="BF170" s="38">
        <f t="shared" si="79"/>
        <v>270066</v>
      </c>
      <c r="BG170" s="37">
        <f t="shared" si="83"/>
        <v>224150</v>
      </c>
      <c r="BH170" s="37">
        <f t="shared" si="80"/>
        <v>236900</v>
      </c>
      <c r="BI170">
        <v>224150</v>
      </c>
      <c r="BL170" s="8">
        <f t="shared" si="81"/>
        <v>401656.06936416181</v>
      </c>
      <c r="BM170" s="7" t="str">
        <f t="shared" si="90"/>
        <v>Terdaftar BPJS Kes &amp; Naker</v>
      </c>
      <c r="BN170" s="11">
        <f t="shared" si="91"/>
        <v>270066</v>
      </c>
      <c r="BO170" s="11">
        <f t="shared" si="92"/>
        <v>215105.2</v>
      </c>
      <c r="BP170" s="9">
        <f t="shared" si="82"/>
        <v>0</v>
      </c>
      <c r="BQ170" t="str">
        <f>_xlfn.XLOOKUP(X170,'[2]NON TETAP'!$H:$H,'[2]NON TETAP'!$I:$I)</f>
        <v>GRAMEDIA ASRI MEDIA</v>
      </c>
    </row>
    <row r="171" spans="1:69" x14ac:dyDescent="0.3">
      <c r="A171" s="2">
        <v>170</v>
      </c>
      <c r="B171" s="5" t="s">
        <v>3168</v>
      </c>
      <c r="C171" s="6" t="s">
        <v>241</v>
      </c>
      <c r="D171" s="6"/>
      <c r="E171" s="6" t="s">
        <v>73</v>
      </c>
      <c r="F171" s="6" t="s">
        <v>73</v>
      </c>
      <c r="G171" s="6"/>
      <c r="H171" s="6"/>
      <c r="I171" s="6"/>
      <c r="J171" s="6"/>
      <c r="K171" s="6">
        <v>800227</v>
      </c>
      <c r="L171" s="6"/>
      <c r="M171" s="6" t="s">
        <v>3173</v>
      </c>
      <c r="N171" s="46" t="s">
        <v>3172</v>
      </c>
      <c r="O171" s="6">
        <v>2183567196</v>
      </c>
      <c r="P171" s="78" t="s">
        <v>3171</v>
      </c>
      <c r="Q171" s="6">
        <v>10104</v>
      </c>
      <c r="R171" s="6">
        <v>27104</v>
      </c>
      <c r="S171" s="5" t="str">
        <f>VLOOKUP(T171,'[1]Kode Posisi'!$A$3:$B$45,2,)</f>
        <v>Outsourcing Keamanan</v>
      </c>
      <c r="T171" s="36" t="s">
        <v>37</v>
      </c>
      <c r="U171" s="44" t="s">
        <v>1632</v>
      </c>
      <c r="V171" s="44" t="s">
        <v>3170</v>
      </c>
      <c r="W171" s="36" t="s">
        <v>1630</v>
      </c>
      <c r="X171" s="36" t="s">
        <v>14</v>
      </c>
      <c r="Y171" s="36" t="s">
        <v>52</v>
      </c>
      <c r="Z171" s="79" t="s">
        <v>3169</v>
      </c>
      <c r="AA171" s="36" t="s">
        <v>3168</v>
      </c>
      <c r="AB171" s="47">
        <v>4738000</v>
      </c>
      <c r="AC171" s="41">
        <v>4738000</v>
      </c>
      <c r="AD171" s="47">
        <v>4483000</v>
      </c>
      <c r="AE171" s="16">
        <f t="shared" si="64"/>
        <v>255000</v>
      </c>
      <c r="AF171" s="16">
        <v>0</v>
      </c>
      <c r="AG171" s="16">
        <v>0</v>
      </c>
      <c r="AH171" s="16"/>
      <c r="AI171" s="16">
        <v>0</v>
      </c>
      <c r="AJ171" s="16"/>
      <c r="AK171" s="16">
        <v>0</v>
      </c>
      <c r="AL171" s="11">
        <f t="shared" si="65"/>
        <v>4738000</v>
      </c>
      <c r="AM171" s="16">
        <f t="shared" si="66"/>
        <v>485171.20000000001</v>
      </c>
      <c r="AN171" s="16">
        <f t="shared" si="67"/>
        <v>189520</v>
      </c>
      <c r="AO171" s="16">
        <f t="shared" si="85"/>
        <v>295651.20000000001</v>
      </c>
      <c r="AP171" s="16">
        <f t="shared" si="68"/>
        <v>175306</v>
      </c>
      <c r="AQ171" s="16">
        <f t="shared" si="69"/>
        <v>5223171.2</v>
      </c>
      <c r="AR171" s="16">
        <f t="shared" si="89"/>
        <v>313390.272</v>
      </c>
      <c r="AS171" s="16">
        <f t="shared" si="70"/>
        <v>34472.929920000002</v>
      </c>
      <c r="AT171" s="16">
        <f t="shared" si="71"/>
        <v>-6267.8054400000001</v>
      </c>
      <c r="AU171" s="16">
        <f t="shared" si="72"/>
        <v>5530293.6665599998</v>
      </c>
      <c r="AV171" s="16">
        <f t="shared" si="73"/>
        <v>5536561.4720000001</v>
      </c>
      <c r="AW171" s="16">
        <f t="shared" si="74"/>
        <v>189520</v>
      </c>
      <c r="AX171" s="16" t="s">
        <v>235</v>
      </c>
      <c r="AY171" s="17"/>
      <c r="AZ171" s="17">
        <f t="shared" si="75"/>
        <v>0</v>
      </c>
      <c r="BA171" s="16">
        <f t="shared" si="76"/>
        <v>4548480</v>
      </c>
      <c r="BB171" s="16">
        <f t="shared" si="77"/>
        <v>4548480</v>
      </c>
      <c r="BC171" s="15">
        <v>0.03</v>
      </c>
      <c r="BD171" s="15">
        <v>0.01</v>
      </c>
      <c r="BE171" s="37">
        <f t="shared" si="78"/>
        <v>437791.19999999995</v>
      </c>
      <c r="BF171" s="38">
        <f t="shared" si="79"/>
        <v>270066</v>
      </c>
      <c r="BG171" s="37">
        <f t="shared" si="83"/>
        <v>224150</v>
      </c>
      <c r="BH171" s="37">
        <f t="shared" si="80"/>
        <v>236900</v>
      </c>
      <c r="BI171">
        <v>224150</v>
      </c>
      <c r="BL171" s="8">
        <f t="shared" si="81"/>
        <v>0</v>
      </c>
      <c r="BM171" s="7" t="str">
        <f t="shared" si="90"/>
        <v>Terdaftar BPJS Kes &amp; Naker</v>
      </c>
      <c r="BN171" s="11">
        <f t="shared" si="91"/>
        <v>270066</v>
      </c>
      <c r="BO171" s="11">
        <f t="shared" si="92"/>
        <v>215105.2</v>
      </c>
      <c r="BP171" s="9">
        <f t="shared" si="82"/>
        <v>0</v>
      </c>
      <c r="BQ171" t="str">
        <f>_xlfn.XLOOKUP(X171,'[2]NON TETAP'!$H:$H,'[2]NON TETAP'!$I:$I)</f>
        <v>GRAMEDIA ASRI MEDIA</v>
      </c>
    </row>
    <row r="172" spans="1:69" x14ac:dyDescent="0.3">
      <c r="A172" s="2">
        <v>171</v>
      </c>
      <c r="B172" s="5" t="s">
        <v>3162</v>
      </c>
      <c r="C172" s="6" t="s">
        <v>241</v>
      </c>
      <c r="D172" s="6"/>
      <c r="E172" s="6" t="s">
        <v>73</v>
      </c>
      <c r="F172" s="6" t="s">
        <v>73</v>
      </c>
      <c r="G172" s="6"/>
      <c r="H172" s="6"/>
      <c r="I172" s="6"/>
      <c r="J172" s="6"/>
      <c r="K172" s="6">
        <v>800228</v>
      </c>
      <c r="L172" s="6"/>
      <c r="M172" s="6" t="s">
        <v>3167</v>
      </c>
      <c r="N172" s="46" t="s">
        <v>3166</v>
      </c>
      <c r="O172" s="6">
        <v>1328343849</v>
      </c>
      <c r="P172" s="78" t="s">
        <v>3165</v>
      </c>
      <c r="Q172" s="6">
        <v>10104</v>
      </c>
      <c r="R172" s="6">
        <v>27104</v>
      </c>
      <c r="S172" s="5" t="str">
        <f>VLOOKUP(T172,'[1]Kode Posisi'!$A$3:$B$45,2,)</f>
        <v>Outsourcing Keamanan</v>
      </c>
      <c r="T172" s="36" t="s">
        <v>37</v>
      </c>
      <c r="U172" s="44" t="s">
        <v>1632</v>
      </c>
      <c r="V172" s="44" t="s">
        <v>3164</v>
      </c>
      <c r="W172" s="36" t="s">
        <v>1630</v>
      </c>
      <c r="X172" s="36" t="s">
        <v>14</v>
      </c>
      <c r="Y172" s="36" t="s">
        <v>52</v>
      </c>
      <c r="Z172" s="79" t="s">
        <v>3163</v>
      </c>
      <c r="AA172" s="36" t="s">
        <v>3162</v>
      </c>
      <c r="AB172" s="47">
        <v>4738000</v>
      </c>
      <c r="AC172" s="41">
        <v>4738000</v>
      </c>
      <c r="AD172" s="47">
        <v>4483000</v>
      </c>
      <c r="AE172" s="16">
        <f t="shared" si="64"/>
        <v>255000</v>
      </c>
      <c r="AF172" s="16">
        <v>0</v>
      </c>
      <c r="AG172" s="16">
        <v>0</v>
      </c>
      <c r="AH172" s="16"/>
      <c r="AI172" s="16">
        <v>699658.95953757223</v>
      </c>
      <c r="AJ172" s="16"/>
      <c r="AK172" s="16">
        <v>0</v>
      </c>
      <c r="AL172" s="11">
        <f t="shared" si="65"/>
        <v>5437658.9595375722</v>
      </c>
      <c r="AM172" s="16">
        <f t="shared" si="66"/>
        <v>485171.20000000001</v>
      </c>
      <c r="AN172" s="16">
        <f t="shared" si="67"/>
        <v>189520</v>
      </c>
      <c r="AO172" s="16">
        <f t="shared" si="85"/>
        <v>295651.20000000001</v>
      </c>
      <c r="AP172" s="16">
        <f t="shared" si="68"/>
        <v>175306</v>
      </c>
      <c r="AQ172" s="16">
        <f t="shared" si="69"/>
        <v>5922830.1595375724</v>
      </c>
      <c r="AR172" s="16">
        <f t="shared" si="89"/>
        <v>355369.80957225431</v>
      </c>
      <c r="AS172" s="16">
        <f t="shared" si="70"/>
        <v>39090.679052947977</v>
      </c>
      <c r="AT172" s="16">
        <f t="shared" si="71"/>
        <v>-7107.3961914450865</v>
      </c>
      <c r="AU172" s="16">
        <f t="shared" si="72"/>
        <v>6271092.5729183815</v>
      </c>
      <c r="AV172" s="16">
        <f t="shared" si="73"/>
        <v>6278199.9691098267</v>
      </c>
      <c r="AW172" s="16">
        <f t="shared" si="74"/>
        <v>189520</v>
      </c>
      <c r="AX172" s="16" t="s">
        <v>286</v>
      </c>
      <c r="AY172" s="17"/>
      <c r="AZ172" s="17">
        <f t="shared" si="75"/>
        <v>0</v>
      </c>
      <c r="BA172" s="16">
        <f t="shared" si="76"/>
        <v>5248138.9595375722</v>
      </c>
      <c r="BB172" s="16">
        <f t="shared" si="77"/>
        <v>5248138.9595375722</v>
      </c>
      <c r="BC172" s="15">
        <v>0.03</v>
      </c>
      <c r="BD172" s="15">
        <v>0.01</v>
      </c>
      <c r="BE172" s="37">
        <f t="shared" si="78"/>
        <v>437791.19999999995</v>
      </c>
      <c r="BF172" s="38">
        <f t="shared" si="79"/>
        <v>270066</v>
      </c>
      <c r="BG172" s="37">
        <f t="shared" si="83"/>
        <v>224150</v>
      </c>
      <c r="BH172" s="37">
        <f t="shared" si="80"/>
        <v>236900</v>
      </c>
      <c r="BI172">
        <v>224150</v>
      </c>
      <c r="BL172" s="8">
        <f t="shared" si="81"/>
        <v>699658.95953757223</v>
      </c>
      <c r="BM172" s="7" t="str">
        <f t="shared" si="90"/>
        <v>Terdaftar BPJS Kes &amp; Naker</v>
      </c>
      <c r="BN172" s="11">
        <f t="shared" si="91"/>
        <v>270066</v>
      </c>
      <c r="BO172" s="11">
        <f t="shared" si="92"/>
        <v>215105.2</v>
      </c>
      <c r="BP172" s="9">
        <f t="shared" si="82"/>
        <v>0</v>
      </c>
      <c r="BQ172" t="str">
        <f>_xlfn.XLOOKUP(X172,'[2]NON TETAP'!$H:$H,'[2]NON TETAP'!$I:$I)</f>
        <v>GRAMEDIA ASRI MEDIA</v>
      </c>
    </row>
    <row r="173" spans="1:69" x14ac:dyDescent="0.3">
      <c r="A173" s="2">
        <v>172</v>
      </c>
      <c r="B173" s="5" t="s">
        <v>3156</v>
      </c>
      <c r="C173" s="6" t="s">
        <v>241</v>
      </c>
      <c r="D173" s="6"/>
      <c r="E173" s="6" t="s">
        <v>73</v>
      </c>
      <c r="F173" s="6" t="s">
        <v>73</v>
      </c>
      <c r="G173" s="6"/>
      <c r="H173" s="6"/>
      <c r="I173" s="6"/>
      <c r="J173" s="6"/>
      <c r="K173" s="6">
        <v>800229</v>
      </c>
      <c r="L173" s="6"/>
      <c r="M173" s="6" t="s">
        <v>3161</v>
      </c>
      <c r="N173" s="46" t="s">
        <v>3160</v>
      </c>
      <c r="O173" s="6">
        <v>1445736227</v>
      </c>
      <c r="P173" s="78" t="s">
        <v>3159</v>
      </c>
      <c r="Q173" s="6">
        <v>10104</v>
      </c>
      <c r="R173" s="6">
        <v>27104</v>
      </c>
      <c r="S173" s="5" t="str">
        <f>VLOOKUP(T173,'[1]Kode Posisi'!$A$3:$B$45,2,)</f>
        <v>Outsourcing Keamanan</v>
      </c>
      <c r="T173" s="36" t="s">
        <v>37</v>
      </c>
      <c r="U173" s="44" t="s">
        <v>1632</v>
      </c>
      <c r="V173" s="44" t="s">
        <v>3158</v>
      </c>
      <c r="W173" s="36" t="s">
        <v>1630</v>
      </c>
      <c r="X173" s="36" t="s">
        <v>14</v>
      </c>
      <c r="Y173" s="36" t="s">
        <v>52</v>
      </c>
      <c r="Z173" s="79" t="s">
        <v>3157</v>
      </c>
      <c r="AA173" s="36" t="s">
        <v>3156</v>
      </c>
      <c r="AB173" s="47">
        <v>4738000</v>
      </c>
      <c r="AC173" s="41">
        <v>4738000</v>
      </c>
      <c r="AD173" s="47">
        <v>4483000</v>
      </c>
      <c r="AE173" s="16">
        <f t="shared" si="64"/>
        <v>255000</v>
      </c>
      <c r="AF173" s="16">
        <v>0</v>
      </c>
      <c r="AG173" s="16">
        <v>0</v>
      </c>
      <c r="AH173" s="16"/>
      <c r="AI173" s="16">
        <v>0</v>
      </c>
      <c r="AJ173" s="16"/>
      <c r="AK173" s="16">
        <v>0</v>
      </c>
      <c r="AL173" s="11">
        <f t="shared" si="65"/>
        <v>4738000</v>
      </c>
      <c r="AM173" s="16">
        <f t="shared" si="66"/>
        <v>485171.20000000001</v>
      </c>
      <c r="AN173" s="16">
        <f t="shared" si="67"/>
        <v>189520</v>
      </c>
      <c r="AO173" s="16">
        <f t="shared" si="85"/>
        <v>295651.20000000001</v>
      </c>
      <c r="AP173" s="16">
        <f t="shared" si="68"/>
        <v>175306</v>
      </c>
      <c r="AQ173" s="16">
        <f t="shared" si="69"/>
        <v>5223171.2</v>
      </c>
      <c r="AR173" s="16">
        <f t="shared" si="89"/>
        <v>313390.272</v>
      </c>
      <c r="AS173" s="16">
        <f t="shared" si="70"/>
        <v>34472.929920000002</v>
      </c>
      <c r="AT173" s="16">
        <f t="shared" si="71"/>
        <v>-6267.8054400000001</v>
      </c>
      <c r="AU173" s="16">
        <f t="shared" si="72"/>
        <v>5530293.6665599998</v>
      </c>
      <c r="AV173" s="16">
        <f t="shared" si="73"/>
        <v>5536561.4720000001</v>
      </c>
      <c r="AW173" s="16">
        <f t="shared" si="74"/>
        <v>189520</v>
      </c>
      <c r="AX173" s="16" t="s">
        <v>235</v>
      </c>
      <c r="AY173" s="17"/>
      <c r="AZ173" s="17">
        <f t="shared" si="75"/>
        <v>0</v>
      </c>
      <c r="BA173" s="16">
        <f t="shared" si="76"/>
        <v>4548480</v>
      </c>
      <c r="BB173" s="16">
        <f t="shared" si="77"/>
        <v>4548480</v>
      </c>
      <c r="BC173" s="15">
        <v>0.03</v>
      </c>
      <c r="BD173" s="15">
        <v>0.01</v>
      </c>
      <c r="BE173" s="37">
        <f t="shared" si="78"/>
        <v>437791.19999999995</v>
      </c>
      <c r="BF173" s="38">
        <f t="shared" si="79"/>
        <v>270066</v>
      </c>
      <c r="BG173" s="37">
        <f t="shared" si="83"/>
        <v>224150</v>
      </c>
      <c r="BH173" s="37">
        <f t="shared" si="80"/>
        <v>236900</v>
      </c>
      <c r="BI173">
        <v>224150</v>
      </c>
      <c r="BL173" s="8">
        <f t="shared" si="81"/>
        <v>0</v>
      </c>
      <c r="BM173" s="7" t="str">
        <f t="shared" si="90"/>
        <v>Terdaftar BPJS Kes &amp; Naker</v>
      </c>
      <c r="BN173" s="11">
        <f t="shared" si="91"/>
        <v>270066</v>
      </c>
      <c r="BO173" s="11">
        <f t="shared" si="92"/>
        <v>215105.2</v>
      </c>
      <c r="BP173" s="9">
        <f t="shared" si="82"/>
        <v>0</v>
      </c>
      <c r="BQ173" t="str">
        <f>_xlfn.XLOOKUP(X173,'[2]NON TETAP'!$H:$H,'[2]NON TETAP'!$I:$I)</f>
        <v>GRAMEDIA ASRI MEDIA</v>
      </c>
    </row>
    <row r="174" spans="1:69" x14ac:dyDescent="0.3">
      <c r="A174" s="2">
        <v>173</v>
      </c>
      <c r="B174" s="5" t="s">
        <v>3150</v>
      </c>
      <c r="C174" s="6" t="s">
        <v>241</v>
      </c>
      <c r="D174" s="6"/>
      <c r="E174" s="6" t="s">
        <v>73</v>
      </c>
      <c r="F174" s="6" t="s">
        <v>73</v>
      </c>
      <c r="G174" s="6"/>
      <c r="H174" s="6"/>
      <c r="I174" s="6"/>
      <c r="J174" s="6"/>
      <c r="K174" s="6">
        <v>800230</v>
      </c>
      <c r="L174" s="6"/>
      <c r="M174" s="6" t="s">
        <v>3155</v>
      </c>
      <c r="N174" s="46" t="s">
        <v>3154</v>
      </c>
      <c r="O174" s="6">
        <v>1669233846</v>
      </c>
      <c r="P174" s="78" t="s">
        <v>3153</v>
      </c>
      <c r="Q174" s="6">
        <v>10104</v>
      </c>
      <c r="R174" s="6">
        <v>27104</v>
      </c>
      <c r="S174" s="5" t="str">
        <f>VLOOKUP(T174,'[1]Kode Posisi'!$A$3:$B$45,2,)</f>
        <v>Outsourcing Keamanan</v>
      </c>
      <c r="T174" s="36" t="s">
        <v>37</v>
      </c>
      <c r="U174" s="44" t="s">
        <v>1632</v>
      </c>
      <c r="V174" s="44" t="s">
        <v>3152</v>
      </c>
      <c r="W174" s="36" t="s">
        <v>1630</v>
      </c>
      <c r="X174" s="36" t="s">
        <v>14</v>
      </c>
      <c r="Y174" s="36" t="s">
        <v>52</v>
      </c>
      <c r="Z174" s="79" t="s">
        <v>3151</v>
      </c>
      <c r="AA174" s="36" t="s">
        <v>3150</v>
      </c>
      <c r="AB174" s="47">
        <v>4738000</v>
      </c>
      <c r="AC174" s="41">
        <v>4738000</v>
      </c>
      <c r="AD174" s="47">
        <v>4483000</v>
      </c>
      <c r="AE174" s="16">
        <f t="shared" si="64"/>
        <v>255000</v>
      </c>
      <c r="AF174" s="16">
        <v>0</v>
      </c>
      <c r="AG174" s="16">
        <v>0</v>
      </c>
      <c r="AH174" s="16"/>
      <c r="AI174" s="16">
        <v>0</v>
      </c>
      <c r="AJ174" s="16"/>
      <c r="AK174" s="16">
        <v>0</v>
      </c>
      <c r="AL174" s="11">
        <f t="shared" si="65"/>
        <v>4738000</v>
      </c>
      <c r="AM174" s="16">
        <f t="shared" si="66"/>
        <v>485171.20000000001</v>
      </c>
      <c r="AN174" s="16">
        <f t="shared" si="67"/>
        <v>189520</v>
      </c>
      <c r="AO174" s="16">
        <f t="shared" si="85"/>
        <v>295651.20000000001</v>
      </c>
      <c r="AP174" s="16">
        <f t="shared" si="68"/>
        <v>175306</v>
      </c>
      <c r="AQ174" s="16">
        <f t="shared" si="69"/>
        <v>5223171.2</v>
      </c>
      <c r="AR174" s="16">
        <f t="shared" si="89"/>
        <v>313390.272</v>
      </c>
      <c r="AS174" s="16">
        <f t="shared" si="70"/>
        <v>34472.929920000002</v>
      </c>
      <c r="AT174" s="16">
        <f t="shared" si="71"/>
        <v>-6267.8054400000001</v>
      </c>
      <c r="AU174" s="16">
        <f t="shared" si="72"/>
        <v>5530293.6665599998</v>
      </c>
      <c r="AV174" s="16">
        <f t="shared" si="73"/>
        <v>5536561.4720000001</v>
      </c>
      <c r="AW174" s="16">
        <f t="shared" si="74"/>
        <v>189520</v>
      </c>
      <c r="AX174" s="16" t="s">
        <v>286</v>
      </c>
      <c r="AY174" s="17"/>
      <c r="AZ174" s="17">
        <f t="shared" si="75"/>
        <v>0</v>
      </c>
      <c r="BA174" s="16">
        <f t="shared" si="76"/>
        <v>4548480</v>
      </c>
      <c r="BB174" s="16">
        <f t="shared" si="77"/>
        <v>4548480</v>
      </c>
      <c r="BC174" s="15">
        <v>0.03</v>
      </c>
      <c r="BD174" s="15">
        <v>0.01</v>
      </c>
      <c r="BE174" s="37">
        <f t="shared" si="78"/>
        <v>437791.19999999995</v>
      </c>
      <c r="BF174" s="38">
        <f t="shared" si="79"/>
        <v>270066</v>
      </c>
      <c r="BG174" s="37">
        <f t="shared" si="83"/>
        <v>224150</v>
      </c>
      <c r="BH174" s="37">
        <f t="shared" si="80"/>
        <v>236900</v>
      </c>
      <c r="BI174">
        <v>224150</v>
      </c>
      <c r="BL174" s="8">
        <f t="shared" si="81"/>
        <v>0</v>
      </c>
      <c r="BM174" s="7" t="str">
        <f t="shared" si="90"/>
        <v>Terdaftar BPJS Kes &amp; Naker</v>
      </c>
      <c r="BN174" s="11">
        <f t="shared" si="91"/>
        <v>270066</v>
      </c>
      <c r="BO174" s="11">
        <f t="shared" si="92"/>
        <v>215105.2</v>
      </c>
      <c r="BP174" s="9">
        <f t="shared" si="82"/>
        <v>0</v>
      </c>
      <c r="BQ174" t="str">
        <f>_xlfn.XLOOKUP(X174,'[2]NON TETAP'!$H:$H,'[2]NON TETAP'!$I:$I)</f>
        <v>GRAMEDIA ASRI MEDIA</v>
      </c>
    </row>
    <row r="175" spans="1:69" x14ac:dyDescent="0.3">
      <c r="A175" s="2">
        <v>174</v>
      </c>
      <c r="B175" s="5" t="s">
        <v>3144</v>
      </c>
      <c r="C175" s="6" t="s">
        <v>241</v>
      </c>
      <c r="D175" s="6"/>
      <c r="E175" s="6" t="s">
        <v>73</v>
      </c>
      <c r="F175" s="6" t="s">
        <v>73</v>
      </c>
      <c r="G175" s="6"/>
      <c r="H175" s="6"/>
      <c r="I175" s="6"/>
      <c r="J175" s="6"/>
      <c r="K175" s="6">
        <v>800231</v>
      </c>
      <c r="L175" s="6"/>
      <c r="M175" s="6" t="s">
        <v>3149</v>
      </c>
      <c r="N175" s="46" t="s">
        <v>3148</v>
      </c>
      <c r="O175" s="6">
        <v>1328367238</v>
      </c>
      <c r="P175" s="78" t="s">
        <v>3147</v>
      </c>
      <c r="Q175" s="6">
        <v>10104</v>
      </c>
      <c r="R175" s="6">
        <v>27104</v>
      </c>
      <c r="S175" s="5" t="str">
        <f>VLOOKUP(T175,'[1]Kode Posisi'!$A$3:$B$45,2,)</f>
        <v>Outsourcing Keamanan</v>
      </c>
      <c r="T175" s="36" t="s">
        <v>37</v>
      </c>
      <c r="U175" s="44" t="s">
        <v>1632</v>
      </c>
      <c r="V175" s="44" t="s">
        <v>3146</v>
      </c>
      <c r="W175" s="36" t="s">
        <v>1630</v>
      </c>
      <c r="X175" s="36" t="s">
        <v>14</v>
      </c>
      <c r="Y175" s="36" t="s">
        <v>52</v>
      </c>
      <c r="Z175" s="79" t="s">
        <v>3145</v>
      </c>
      <c r="AA175" s="36" t="s">
        <v>3144</v>
      </c>
      <c r="AB175" s="47">
        <v>4738000</v>
      </c>
      <c r="AC175" s="41">
        <v>4738000</v>
      </c>
      <c r="AD175" s="47">
        <v>4483000</v>
      </c>
      <c r="AE175" s="16">
        <f t="shared" si="64"/>
        <v>255000</v>
      </c>
      <c r="AF175" s="16">
        <v>0</v>
      </c>
      <c r="AG175" s="16">
        <v>0</v>
      </c>
      <c r="AH175" s="16"/>
      <c r="AI175" s="16">
        <v>349829.47976878611</v>
      </c>
      <c r="AJ175" s="16"/>
      <c r="AK175" s="16">
        <v>0</v>
      </c>
      <c r="AL175" s="11">
        <f t="shared" si="65"/>
        <v>5087829.4797687866</v>
      </c>
      <c r="AM175" s="16">
        <f t="shared" si="66"/>
        <v>485171.20000000001</v>
      </c>
      <c r="AN175" s="16">
        <f t="shared" si="67"/>
        <v>189520</v>
      </c>
      <c r="AO175" s="16">
        <f t="shared" si="85"/>
        <v>295651.20000000001</v>
      </c>
      <c r="AP175" s="16">
        <f t="shared" si="68"/>
        <v>175306</v>
      </c>
      <c r="AQ175" s="16">
        <f t="shared" si="69"/>
        <v>5573000.6797687868</v>
      </c>
      <c r="AR175" s="16">
        <f t="shared" si="89"/>
        <v>334380.04078612721</v>
      </c>
      <c r="AS175" s="16">
        <f t="shared" si="70"/>
        <v>36781.804486473993</v>
      </c>
      <c r="AT175" s="16">
        <f t="shared" si="71"/>
        <v>-6687.6008157225442</v>
      </c>
      <c r="AU175" s="16">
        <f t="shared" si="72"/>
        <v>5900693.1197391916</v>
      </c>
      <c r="AV175" s="16">
        <f t="shared" si="73"/>
        <v>5907380.7205549143</v>
      </c>
      <c r="AW175" s="16">
        <f t="shared" si="74"/>
        <v>189520</v>
      </c>
      <c r="AX175" s="16" t="s">
        <v>319</v>
      </c>
      <c r="AY175" s="17"/>
      <c r="AZ175" s="17">
        <f t="shared" si="75"/>
        <v>0</v>
      </c>
      <c r="BA175" s="16">
        <f t="shared" si="76"/>
        <v>4898309.4797687866</v>
      </c>
      <c r="BB175" s="16">
        <f t="shared" si="77"/>
        <v>4898309.4797687866</v>
      </c>
      <c r="BC175" s="15">
        <v>0.03</v>
      </c>
      <c r="BD175" s="15">
        <v>0.01</v>
      </c>
      <c r="BE175" s="37">
        <f t="shared" si="78"/>
        <v>437791.19999999995</v>
      </c>
      <c r="BF175" s="38">
        <f t="shared" si="79"/>
        <v>270066</v>
      </c>
      <c r="BG175" s="37">
        <f t="shared" si="83"/>
        <v>224150</v>
      </c>
      <c r="BH175" s="37">
        <f t="shared" si="80"/>
        <v>236900</v>
      </c>
      <c r="BI175">
        <v>224150</v>
      </c>
      <c r="BL175" s="8">
        <f t="shared" si="81"/>
        <v>349829.47976878611</v>
      </c>
      <c r="BM175" s="7" t="str">
        <f t="shared" si="90"/>
        <v>Terdaftar BPJS Kes &amp; Naker</v>
      </c>
      <c r="BN175" s="11">
        <f t="shared" si="91"/>
        <v>270066</v>
      </c>
      <c r="BO175" s="11">
        <f t="shared" si="92"/>
        <v>215105.2</v>
      </c>
      <c r="BP175" s="9">
        <f t="shared" si="82"/>
        <v>0</v>
      </c>
      <c r="BQ175" t="str">
        <f>_xlfn.XLOOKUP(X175,'[2]NON TETAP'!$H:$H,'[2]NON TETAP'!$I:$I)</f>
        <v>GRAMEDIA ASRI MEDIA</v>
      </c>
    </row>
    <row r="176" spans="1:69" x14ac:dyDescent="0.3">
      <c r="A176" s="2">
        <v>175</v>
      </c>
      <c r="B176" s="5" t="s">
        <v>3138</v>
      </c>
      <c r="C176" s="6" t="s">
        <v>241</v>
      </c>
      <c r="D176" s="6"/>
      <c r="E176" s="6" t="s">
        <v>73</v>
      </c>
      <c r="F176" s="6" t="s">
        <v>73</v>
      </c>
      <c r="G176" s="6"/>
      <c r="H176" s="6"/>
      <c r="I176" s="6"/>
      <c r="J176" s="6"/>
      <c r="K176" s="6">
        <v>800232</v>
      </c>
      <c r="L176" s="6"/>
      <c r="M176" s="6" t="s">
        <v>3143</v>
      </c>
      <c r="N176" s="46" t="s">
        <v>3142</v>
      </c>
      <c r="O176" s="6">
        <v>3752792155</v>
      </c>
      <c r="P176" s="78" t="s">
        <v>3141</v>
      </c>
      <c r="Q176" s="6">
        <v>10104</v>
      </c>
      <c r="R176" s="6">
        <v>27104</v>
      </c>
      <c r="S176" s="5" t="str">
        <f>VLOOKUP(T176,'[1]Kode Posisi'!$A$3:$B$45,2,)</f>
        <v>Outsourcing Keamanan</v>
      </c>
      <c r="T176" s="36" t="s">
        <v>37</v>
      </c>
      <c r="U176" s="44" t="s">
        <v>1632</v>
      </c>
      <c r="V176" s="44" t="s">
        <v>3140</v>
      </c>
      <c r="W176" s="36" t="s">
        <v>1630</v>
      </c>
      <c r="X176" s="36" t="s">
        <v>14</v>
      </c>
      <c r="Y176" s="36" t="s">
        <v>52</v>
      </c>
      <c r="Z176" s="79" t="s">
        <v>3139</v>
      </c>
      <c r="AA176" s="36" t="s">
        <v>3138</v>
      </c>
      <c r="AB176" s="47">
        <v>4738000</v>
      </c>
      <c r="AC176" s="41">
        <v>4738000</v>
      </c>
      <c r="AD176" s="47">
        <v>4483000</v>
      </c>
      <c r="AE176" s="16">
        <f t="shared" si="64"/>
        <v>255000</v>
      </c>
      <c r="AF176" s="16">
        <v>0</v>
      </c>
      <c r="AG176" s="16">
        <v>0</v>
      </c>
      <c r="AH176" s="16"/>
      <c r="AI176" s="16">
        <v>362786.12716763007</v>
      </c>
      <c r="AJ176" s="16"/>
      <c r="AK176" s="16">
        <v>0</v>
      </c>
      <c r="AL176" s="11">
        <f t="shared" si="65"/>
        <v>5100786.12716763</v>
      </c>
      <c r="AM176" s="16">
        <f t="shared" si="66"/>
        <v>485171.20000000001</v>
      </c>
      <c r="AN176" s="16">
        <f t="shared" si="67"/>
        <v>189520</v>
      </c>
      <c r="AO176" s="16">
        <f t="shared" si="85"/>
        <v>295651.20000000001</v>
      </c>
      <c r="AP176" s="16">
        <f t="shared" si="68"/>
        <v>175306</v>
      </c>
      <c r="AQ176" s="16">
        <f t="shared" si="69"/>
        <v>5585957.3271676302</v>
      </c>
      <c r="AR176" s="16">
        <f t="shared" si="89"/>
        <v>335157.43963005778</v>
      </c>
      <c r="AS176" s="16">
        <f t="shared" si="70"/>
        <v>36867.318359306359</v>
      </c>
      <c r="AT176" s="16">
        <f t="shared" si="71"/>
        <v>-6703.1487926011559</v>
      </c>
      <c r="AU176" s="16">
        <f t="shared" si="72"/>
        <v>5914411.6180050867</v>
      </c>
      <c r="AV176" s="16">
        <f t="shared" si="73"/>
        <v>5921114.7667976879</v>
      </c>
      <c r="AW176" s="16">
        <f t="shared" si="74"/>
        <v>189520</v>
      </c>
      <c r="AX176" s="16" t="s">
        <v>235</v>
      </c>
      <c r="AY176" s="17"/>
      <c r="AZ176" s="17">
        <f t="shared" si="75"/>
        <v>0</v>
      </c>
      <c r="BA176" s="16">
        <f t="shared" si="76"/>
        <v>4911266.12716763</v>
      </c>
      <c r="BB176" s="16">
        <f t="shared" si="77"/>
        <v>4911266.12716763</v>
      </c>
      <c r="BC176" s="15">
        <v>0.03</v>
      </c>
      <c r="BD176" s="15">
        <v>0.01</v>
      </c>
      <c r="BE176" s="37">
        <f t="shared" si="78"/>
        <v>437791.19999999995</v>
      </c>
      <c r="BF176" s="38">
        <f t="shared" si="79"/>
        <v>270066</v>
      </c>
      <c r="BG176" s="37">
        <f t="shared" si="83"/>
        <v>224150</v>
      </c>
      <c r="BH176" s="37">
        <f t="shared" si="80"/>
        <v>236900</v>
      </c>
      <c r="BI176">
        <v>224150</v>
      </c>
      <c r="BL176" s="8">
        <f t="shared" si="81"/>
        <v>362786.12716763007</v>
      </c>
      <c r="BM176" s="7" t="str">
        <f t="shared" si="90"/>
        <v>Terdaftar BPJS Kes &amp; Naker</v>
      </c>
      <c r="BN176" s="11">
        <f t="shared" si="91"/>
        <v>270066</v>
      </c>
      <c r="BO176" s="11">
        <f t="shared" si="92"/>
        <v>215105.2</v>
      </c>
      <c r="BP176" s="9">
        <f t="shared" si="82"/>
        <v>0</v>
      </c>
      <c r="BQ176" t="str">
        <f>_xlfn.XLOOKUP(X176,'[2]NON TETAP'!$H:$H,'[2]NON TETAP'!$I:$I)</f>
        <v>GRAMEDIA ASRI MEDIA</v>
      </c>
    </row>
    <row r="177" spans="1:69" x14ac:dyDescent="0.3">
      <c r="A177" s="2">
        <v>176</v>
      </c>
      <c r="B177" s="5" t="s">
        <v>3132</v>
      </c>
      <c r="C177" s="6" t="s">
        <v>241</v>
      </c>
      <c r="D177" s="6"/>
      <c r="E177" s="6" t="s">
        <v>73</v>
      </c>
      <c r="F177" s="6" t="s">
        <v>73</v>
      </c>
      <c r="G177" s="6"/>
      <c r="H177" s="6"/>
      <c r="I177" s="6"/>
      <c r="J177" s="6"/>
      <c r="K177" s="6">
        <v>800233</v>
      </c>
      <c r="L177" s="6"/>
      <c r="M177" s="6" t="s">
        <v>3137</v>
      </c>
      <c r="N177" s="46" t="s">
        <v>3136</v>
      </c>
      <c r="O177" s="6">
        <v>2241551744</v>
      </c>
      <c r="P177" s="78" t="s">
        <v>3135</v>
      </c>
      <c r="Q177" s="6">
        <v>10104</v>
      </c>
      <c r="R177" s="6">
        <v>27104</v>
      </c>
      <c r="S177" s="5" t="str">
        <f>VLOOKUP(T177,'[1]Kode Posisi'!$A$3:$B$45,2,)</f>
        <v>Outsourcing Keamanan</v>
      </c>
      <c r="T177" s="36" t="s">
        <v>37</v>
      </c>
      <c r="U177" s="44" t="s">
        <v>1632</v>
      </c>
      <c r="V177" s="44" t="s">
        <v>3134</v>
      </c>
      <c r="W177" s="36" t="s">
        <v>1630</v>
      </c>
      <c r="X177" s="36" t="s">
        <v>14</v>
      </c>
      <c r="Y177" s="36" t="s">
        <v>52</v>
      </c>
      <c r="Z177" s="79" t="s">
        <v>3133</v>
      </c>
      <c r="AA177" s="36" t="s">
        <v>3132</v>
      </c>
      <c r="AB177" s="47">
        <v>4738000</v>
      </c>
      <c r="AC177" s="41">
        <v>4738000</v>
      </c>
      <c r="AD177" s="47">
        <v>4483000</v>
      </c>
      <c r="AE177" s="16">
        <f t="shared" si="64"/>
        <v>255000</v>
      </c>
      <c r="AF177" s="16">
        <v>0</v>
      </c>
      <c r="AG177" s="16">
        <v>0</v>
      </c>
      <c r="AH177" s="16"/>
      <c r="AI177" s="16">
        <v>0</v>
      </c>
      <c r="AJ177" s="16"/>
      <c r="AK177" s="16">
        <v>0</v>
      </c>
      <c r="AL177" s="11">
        <f t="shared" si="65"/>
        <v>4738000</v>
      </c>
      <c r="AM177" s="16">
        <f t="shared" si="66"/>
        <v>485171.20000000001</v>
      </c>
      <c r="AN177" s="16">
        <f t="shared" si="67"/>
        <v>189520</v>
      </c>
      <c r="AO177" s="16">
        <f t="shared" si="85"/>
        <v>295651.20000000001</v>
      </c>
      <c r="AP177" s="16">
        <f t="shared" si="68"/>
        <v>175306</v>
      </c>
      <c r="AQ177" s="16">
        <f t="shared" si="69"/>
        <v>5223171.2</v>
      </c>
      <c r="AR177" s="16">
        <f t="shared" si="89"/>
        <v>313390.272</v>
      </c>
      <c r="AS177" s="16">
        <f t="shared" si="70"/>
        <v>34472.929920000002</v>
      </c>
      <c r="AT177" s="16">
        <f t="shared" si="71"/>
        <v>-6267.8054400000001</v>
      </c>
      <c r="AU177" s="16">
        <f t="shared" si="72"/>
        <v>5530293.6665599998</v>
      </c>
      <c r="AV177" s="16">
        <f t="shared" si="73"/>
        <v>5536561.4720000001</v>
      </c>
      <c r="AW177" s="16">
        <f t="shared" si="74"/>
        <v>189520</v>
      </c>
      <c r="AX177" s="16" t="s">
        <v>319</v>
      </c>
      <c r="AY177" s="17"/>
      <c r="AZ177" s="17">
        <f t="shared" si="75"/>
        <v>0</v>
      </c>
      <c r="BA177" s="16">
        <f t="shared" si="76"/>
        <v>4548480</v>
      </c>
      <c r="BB177" s="16">
        <f t="shared" si="77"/>
        <v>4548480</v>
      </c>
      <c r="BC177" s="15">
        <v>0.03</v>
      </c>
      <c r="BD177" s="15">
        <v>0.01</v>
      </c>
      <c r="BE177" s="37">
        <f t="shared" si="78"/>
        <v>437791.19999999995</v>
      </c>
      <c r="BF177" s="38">
        <f t="shared" si="79"/>
        <v>270066</v>
      </c>
      <c r="BG177" s="37">
        <f t="shared" si="83"/>
        <v>224150</v>
      </c>
      <c r="BH177" s="37">
        <f t="shared" si="80"/>
        <v>236900</v>
      </c>
      <c r="BI177">
        <v>224150</v>
      </c>
      <c r="BL177" s="8">
        <f t="shared" si="81"/>
        <v>0</v>
      </c>
      <c r="BM177" s="7" t="str">
        <f t="shared" si="90"/>
        <v>Terdaftar BPJS Kes &amp; Naker</v>
      </c>
      <c r="BN177" s="11">
        <f t="shared" si="91"/>
        <v>270066</v>
      </c>
      <c r="BO177" s="11">
        <f t="shared" si="92"/>
        <v>215105.2</v>
      </c>
      <c r="BP177" s="9">
        <f t="shared" si="82"/>
        <v>0</v>
      </c>
      <c r="BQ177" t="str">
        <f>_xlfn.XLOOKUP(X177,'[2]NON TETAP'!$H:$H,'[2]NON TETAP'!$I:$I)</f>
        <v>GRAMEDIA ASRI MEDIA</v>
      </c>
    </row>
    <row r="178" spans="1:69" x14ac:dyDescent="0.3">
      <c r="A178" s="2">
        <v>177</v>
      </c>
      <c r="B178" s="5" t="s">
        <v>3131</v>
      </c>
      <c r="C178" s="6" t="s">
        <v>241</v>
      </c>
      <c r="D178" s="6"/>
      <c r="E178" s="6" t="s">
        <v>73</v>
      </c>
      <c r="F178" s="6" t="s">
        <v>73</v>
      </c>
      <c r="G178" s="6" t="s">
        <v>3110</v>
      </c>
      <c r="H178" s="6"/>
      <c r="I178" s="6"/>
      <c r="J178" s="6"/>
      <c r="K178" s="6">
        <v>800234</v>
      </c>
      <c r="L178" s="6"/>
      <c r="M178" s="6" t="s">
        <v>3130</v>
      </c>
      <c r="N178" s="46" t="s">
        <v>3129</v>
      </c>
      <c r="O178" s="6">
        <v>1214128967</v>
      </c>
      <c r="P178" s="78" t="s">
        <v>3128</v>
      </c>
      <c r="Q178" s="6">
        <v>10372</v>
      </c>
      <c r="R178" s="6">
        <v>27372</v>
      </c>
      <c r="S178" s="5" t="str">
        <f>VLOOKUP(T178,'[1]Kode Posisi'!$A$3:$B$45,2,)</f>
        <v>Outsourcing Keamanan</v>
      </c>
      <c r="T178" s="36" t="s">
        <v>2850</v>
      </c>
      <c r="U178" s="44" t="s">
        <v>1594</v>
      </c>
      <c r="V178" s="44" t="s">
        <v>3127</v>
      </c>
      <c r="W178" s="36" t="s">
        <v>1592</v>
      </c>
      <c r="X178" s="36" t="s">
        <v>480</v>
      </c>
      <c r="Y178" s="36" t="s">
        <v>1294</v>
      </c>
      <c r="Z178" s="79" t="s">
        <v>3126</v>
      </c>
      <c r="AA178" s="36" t="s">
        <v>3125</v>
      </c>
      <c r="AB178" s="47">
        <v>6000000</v>
      </c>
      <c r="AC178" s="41">
        <v>6000000</v>
      </c>
      <c r="AD178" s="47">
        <v>5691000</v>
      </c>
      <c r="AE178" s="16">
        <f t="shared" si="64"/>
        <v>309000</v>
      </c>
      <c r="AF178" s="16">
        <v>0</v>
      </c>
      <c r="AG178" s="16">
        <v>0</v>
      </c>
      <c r="AH178" s="16"/>
      <c r="AI178" s="16">
        <v>0</v>
      </c>
      <c r="AJ178" s="16"/>
      <c r="AK178" s="16">
        <v>0</v>
      </c>
      <c r="AL178" s="11">
        <f t="shared" si="65"/>
        <v>6000000</v>
      </c>
      <c r="AM178" s="16">
        <f t="shared" si="66"/>
        <v>614400</v>
      </c>
      <c r="AN178" s="16">
        <f t="shared" si="67"/>
        <v>240000</v>
      </c>
      <c r="AO178" s="16">
        <f t="shared" si="85"/>
        <v>374400</v>
      </c>
      <c r="AP178" s="16">
        <f t="shared" si="68"/>
        <v>222000</v>
      </c>
      <c r="AQ178" s="16">
        <f t="shared" si="69"/>
        <v>6614400</v>
      </c>
      <c r="AR178" s="16">
        <f t="shared" si="89"/>
        <v>396864</v>
      </c>
      <c r="AS178" s="16">
        <f t="shared" si="70"/>
        <v>43655.040000000001</v>
      </c>
      <c r="AT178" s="16">
        <f t="shared" si="71"/>
        <v>-7937.28</v>
      </c>
      <c r="AU178" s="16">
        <f t="shared" si="72"/>
        <v>7003326.7199999997</v>
      </c>
      <c r="AV178" s="16">
        <f t="shared" si="73"/>
        <v>7011264</v>
      </c>
      <c r="AW178" s="16">
        <f t="shared" si="74"/>
        <v>240000</v>
      </c>
      <c r="AX178" s="16" t="s">
        <v>243</v>
      </c>
      <c r="AY178" s="17"/>
      <c r="AZ178" s="17">
        <f t="shared" si="75"/>
        <v>2900</v>
      </c>
      <c r="BA178" s="16">
        <f t="shared" si="76"/>
        <v>5760000</v>
      </c>
      <c r="BB178" s="16">
        <f t="shared" si="77"/>
        <v>5757100</v>
      </c>
      <c r="BC178" s="15">
        <v>0.03</v>
      </c>
      <c r="BD178" s="15">
        <v>0.01</v>
      </c>
      <c r="BE178" s="37">
        <f t="shared" si="78"/>
        <v>554400</v>
      </c>
      <c r="BF178" s="38">
        <f t="shared" si="79"/>
        <v>342000</v>
      </c>
      <c r="BG178" s="37">
        <f t="shared" si="83"/>
        <v>284550</v>
      </c>
      <c r="BH178" s="37">
        <f t="shared" si="80"/>
        <v>300000</v>
      </c>
      <c r="BI178">
        <v>284550</v>
      </c>
      <c r="BL178" s="8">
        <f t="shared" si="81"/>
        <v>0</v>
      </c>
      <c r="BM178" s="7" t="str">
        <f t="shared" si="90"/>
        <v>Terdaftar BPJS Kes &amp; Naker</v>
      </c>
      <c r="BN178" s="11">
        <f t="shared" si="91"/>
        <v>342000</v>
      </c>
      <c r="BO178" s="11">
        <f t="shared" si="92"/>
        <v>272400</v>
      </c>
      <c r="BP178" s="9">
        <f t="shared" si="82"/>
        <v>0</v>
      </c>
      <c r="BQ178" t="str">
        <f>_xlfn.XLOOKUP(X178,'[2]NON TETAP'!$H:$H,'[2]NON TETAP'!$I:$I)</f>
        <v>GRAMEDIA ASRI MEDIA</v>
      </c>
    </row>
    <row r="179" spans="1:69" x14ac:dyDescent="0.3">
      <c r="A179" s="2">
        <v>178</v>
      </c>
      <c r="B179" s="5" t="s">
        <v>3124</v>
      </c>
      <c r="C179" s="6" t="s">
        <v>241</v>
      </c>
      <c r="D179" s="6"/>
      <c r="E179" s="6" t="s">
        <v>73</v>
      </c>
      <c r="F179" s="6" t="s">
        <v>73</v>
      </c>
      <c r="G179" s="6" t="s">
        <v>3110</v>
      </c>
      <c r="H179" s="6"/>
      <c r="I179" s="6"/>
      <c r="J179" s="6"/>
      <c r="K179" s="6">
        <v>800236</v>
      </c>
      <c r="L179" s="6"/>
      <c r="M179" s="6" t="s">
        <v>3123</v>
      </c>
      <c r="N179" s="46" t="s">
        <v>3122</v>
      </c>
      <c r="O179" s="6">
        <v>1743227695</v>
      </c>
      <c r="P179" s="78" t="s">
        <v>3121</v>
      </c>
      <c r="Q179" s="6">
        <v>10372</v>
      </c>
      <c r="R179" s="6">
        <v>27372</v>
      </c>
      <c r="S179" s="5" t="str">
        <f>VLOOKUP(T179,'[1]Kode Posisi'!$A$3:$B$45,2,)</f>
        <v>Outsourcing Keamanan</v>
      </c>
      <c r="T179" s="36" t="s">
        <v>37</v>
      </c>
      <c r="U179" s="44" t="s">
        <v>1594</v>
      </c>
      <c r="V179" s="44" t="s">
        <v>3120</v>
      </c>
      <c r="W179" s="36" t="s">
        <v>1592</v>
      </c>
      <c r="X179" s="36" t="s">
        <v>480</v>
      </c>
      <c r="Y179" s="36" t="s">
        <v>1294</v>
      </c>
      <c r="Z179" s="79" t="s">
        <v>3119</v>
      </c>
      <c r="AA179" s="36" t="s">
        <v>3118</v>
      </c>
      <c r="AB179" s="47">
        <v>6000000</v>
      </c>
      <c r="AC179" s="41">
        <v>6000000</v>
      </c>
      <c r="AD179" s="47">
        <v>5691000</v>
      </c>
      <c r="AE179" s="16">
        <f t="shared" si="64"/>
        <v>309000</v>
      </c>
      <c r="AF179" s="16">
        <v>0</v>
      </c>
      <c r="AG179" s="16">
        <v>0</v>
      </c>
      <c r="AH179" s="16"/>
      <c r="AI179" s="16">
        <v>0</v>
      </c>
      <c r="AJ179" s="16"/>
      <c r="AK179" s="16">
        <v>0</v>
      </c>
      <c r="AL179" s="11">
        <f t="shared" si="65"/>
        <v>6000000</v>
      </c>
      <c r="AM179" s="16">
        <f t="shared" si="66"/>
        <v>614400</v>
      </c>
      <c r="AN179" s="16">
        <f t="shared" si="67"/>
        <v>240000</v>
      </c>
      <c r="AO179" s="16">
        <f t="shared" si="85"/>
        <v>374400</v>
      </c>
      <c r="AP179" s="16">
        <f t="shared" si="68"/>
        <v>222000</v>
      </c>
      <c r="AQ179" s="16">
        <f t="shared" si="69"/>
        <v>6614400</v>
      </c>
      <c r="AR179" s="16">
        <f t="shared" si="89"/>
        <v>396864</v>
      </c>
      <c r="AS179" s="16">
        <f t="shared" si="70"/>
        <v>43655.040000000001</v>
      </c>
      <c r="AT179" s="16">
        <f t="shared" si="71"/>
        <v>-7937.28</v>
      </c>
      <c r="AU179" s="16">
        <f t="shared" si="72"/>
        <v>7003326.7199999997</v>
      </c>
      <c r="AV179" s="16">
        <f t="shared" si="73"/>
        <v>7011264</v>
      </c>
      <c r="AW179" s="16">
        <f t="shared" si="74"/>
        <v>240000</v>
      </c>
      <c r="AX179" s="16" t="s">
        <v>319</v>
      </c>
      <c r="AY179" s="17"/>
      <c r="AZ179" s="17">
        <f t="shared" si="75"/>
        <v>2900</v>
      </c>
      <c r="BA179" s="16">
        <f t="shared" si="76"/>
        <v>5760000</v>
      </c>
      <c r="BB179" s="16">
        <f t="shared" si="77"/>
        <v>5757100</v>
      </c>
      <c r="BC179" s="15">
        <v>0.03</v>
      </c>
      <c r="BD179" s="15">
        <v>0.01</v>
      </c>
      <c r="BE179" s="37">
        <f t="shared" si="78"/>
        <v>554400</v>
      </c>
      <c r="BF179" s="38">
        <f t="shared" si="79"/>
        <v>342000</v>
      </c>
      <c r="BG179" s="37">
        <f t="shared" si="83"/>
        <v>284550</v>
      </c>
      <c r="BH179" s="37">
        <f t="shared" si="80"/>
        <v>300000</v>
      </c>
      <c r="BI179">
        <v>284550</v>
      </c>
      <c r="BL179" s="8">
        <f t="shared" si="81"/>
        <v>0</v>
      </c>
      <c r="BM179" s="7" t="str">
        <f t="shared" si="90"/>
        <v>Terdaftar BPJS Kes &amp; Naker</v>
      </c>
      <c r="BN179" s="11">
        <f t="shared" si="91"/>
        <v>342000</v>
      </c>
      <c r="BO179" s="11">
        <f t="shared" si="92"/>
        <v>272400</v>
      </c>
      <c r="BP179" s="9">
        <f t="shared" si="82"/>
        <v>0</v>
      </c>
      <c r="BQ179" t="str">
        <f>_xlfn.XLOOKUP(X179,'[2]NON TETAP'!$H:$H,'[2]NON TETAP'!$I:$I)</f>
        <v>GRAMEDIA ASRI MEDIA</v>
      </c>
    </row>
    <row r="180" spans="1:69" x14ac:dyDescent="0.3">
      <c r="A180" s="2">
        <v>179</v>
      </c>
      <c r="B180" s="5" t="s">
        <v>3112</v>
      </c>
      <c r="C180" s="6" t="s">
        <v>241</v>
      </c>
      <c r="D180" s="6"/>
      <c r="E180" s="6" t="s">
        <v>73</v>
      </c>
      <c r="F180" s="6" t="s">
        <v>73</v>
      </c>
      <c r="G180" s="6" t="s">
        <v>3110</v>
      </c>
      <c r="H180" s="6"/>
      <c r="I180" s="6"/>
      <c r="J180" s="6"/>
      <c r="K180" s="6">
        <v>800237</v>
      </c>
      <c r="L180" s="6"/>
      <c r="M180" s="6" t="s">
        <v>3117</v>
      </c>
      <c r="N180" s="46" t="s">
        <v>3116</v>
      </c>
      <c r="O180" s="6">
        <v>1656734725</v>
      </c>
      <c r="P180" s="78" t="s">
        <v>3115</v>
      </c>
      <c r="Q180" s="6">
        <v>10372</v>
      </c>
      <c r="R180" s="6">
        <v>27372</v>
      </c>
      <c r="S180" s="5" t="str">
        <f>VLOOKUP(T180,'[1]Kode Posisi'!$A$3:$B$45,2,)</f>
        <v>Outsourcing Keamanan</v>
      </c>
      <c r="T180" s="36" t="s">
        <v>37</v>
      </c>
      <c r="U180" s="44" t="s">
        <v>1594</v>
      </c>
      <c r="V180" s="44" t="s">
        <v>3114</v>
      </c>
      <c r="W180" s="36" t="s">
        <v>1592</v>
      </c>
      <c r="X180" s="36" t="s">
        <v>480</v>
      </c>
      <c r="Y180" s="36" t="s">
        <v>1294</v>
      </c>
      <c r="Z180" s="79" t="s">
        <v>3113</v>
      </c>
      <c r="AA180" s="36" t="s">
        <v>3112</v>
      </c>
      <c r="AB180" s="47">
        <v>6000000</v>
      </c>
      <c r="AC180" s="41">
        <v>6000000</v>
      </c>
      <c r="AD180" s="47">
        <v>5691000</v>
      </c>
      <c r="AE180" s="16">
        <f t="shared" si="64"/>
        <v>309000</v>
      </c>
      <c r="AF180" s="16">
        <v>0</v>
      </c>
      <c r="AG180" s="16">
        <v>0</v>
      </c>
      <c r="AH180" s="16"/>
      <c r="AI180" s="16">
        <v>0</v>
      </c>
      <c r="AJ180" s="16"/>
      <c r="AK180" s="16">
        <v>0</v>
      </c>
      <c r="AL180" s="11">
        <f t="shared" si="65"/>
        <v>6000000</v>
      </c>
      <c r="AM180" s="16">
        <f t="shared" si="66"/>
        <v>614400</v>
      </c>
      <c r="AN180" s="16">
        <f t="shared" si="67"/>
        <v>240000</v>
      </c>
      <c r="AO180" s="16">
        <f t="shared" si="85"/>
        <v>374400</v>
      </c>
      <c r="AP180" s="16">
        <f t="shared" si="68"/>
        <v>222000</v>
      </c>
      <c r="AQ180" s="16">
        <f t="shared" si="69"/>
        <v>6614400</v>
      </c>
      <c r="AR180" s="16">
        <f t="shared" si="89"/>
        <v>396864</v>
      </c>
      <c r="AS180" s="16">
        <f t="shared" si="70"/>
        <v>43655.040000000001</v>
      </c>
      <c r="AT180" s="16">
        <f t="shared" si="71"/>
        <v>-7937.28</v>
      </c>
      <c r="AU180" s="16">
        <f t="shared" si="72"/>
        <v>7003326.7199999997</v>
      </c>
      <c r="AV180" s="16">
        <f t="shared" si="73"/>
        <v>7011264</v>
      </c>
      <c r="AW180" s="16">
        <f t="shared" si="74"/>
        <v>240000</v>
      </c>
      <c r="AX180" s="16" t="s">
        <v>286</v>
      </c>
      <c r="AY180" s="17"/>
      <c r="AZ180" s="17">
        <f t="shared" si="75"/>
        <v>2900</v>
      </c>
      <c r="BA180" s="16">
        <f t="shared" si="76"/>
        <v>5760000</v>
      </c>
      <c r="BB180" s="16">
        <f t="shared" si="77"/>
        <v>5757100</v>
      </c>
      <c r="BC180" s="15">
        <v>0.03</v>
      </c>
      <c r="BD180" s="15">
        <v>0.01</v>
      </c>
      <c r="BE180" s="37">
        <f t="shared" si="78"/>
        <v>554400</v>
      </c>
      <c r="BF180" s="38">
        <f t="shared" si="79"/>
        <v>342000</v>
      </c>
      <c r="BG180" s="37">
        <f t="shared" si="83"/>
        <v>284550</v>
      </c>
      <c r="BH180" s="37">
        <f t="shared" si="80"/>
        <v>300000</v>
      </c>
      <c r="BI180">
        <v>284550</v>
      </c>
      <c r="BL180" s="8">
        <f t="shared" si="81"/>
        <v>0</v>
      </c>
      <c r="BM180" s="7" t="str">
        <f t="shared" si="90"/>
        <v>Terdaftar BPJS Kes &amp; Naker</v>
      </c>
      <c r="BN180" s="11">
        <f t="shared" si="91"/>
        <v>342000</v>
      </c>
      <c r="BO180" s="11">
        <f t="shared" si="92"/>
        <v>272400</v>
      </c>
      <c r="BP180" s="9">
        <f t="shared" si="82"/>
        <v>0</v>
      </c>
      <c r="BQ180" t="str">
        <f>_xlfn.XLOOKUP(X180,'[2]NON TETAP'!$H:$H,'[2]NON TETAP'!$I:$I)</f>
        <v>GRAMEDIA ASRI MEDIA</v>
      </c>
    </row>
    <row r="181" spans="1:69" x14ac:dyDescent="0.3">
      <c r="A181" s="2">
        <v>180</v>
      </c>
      <c r="B181" s="5" t="s">
        <v>3111</v>
      </c>
      <c r="C181" s="6" t="s">
        <v>241</v>
      </c>
      <c r="D181" s="6"/>
      <c r="E181" s="6" t="s">
        <v>73</v>
      </c>
      <c r="F181" s="6" t="s">
        <v>73</v>
      </c>
      <c r="G181" s="6" t="s">
        <v>3110</v>
      </c>
      <c r="H181" s="6"/>
      <c r="I181" s="6"/>
      <c r="J181" s="6"/>
      <c r="K181" s="6">
        <v>800238</v>
      </c>
      <c r="L181" s="6"/>
      <c r="M181" s="6" t="s">
        <v>3109</v>
      </c>
      <c r="N181" s="46" t="s">
        <v>3108</v>
      </c>
      <c r="O181" s="6">
        <v>3266343786</v>
      </c>
      <c r="P181" s="78" t="s">
        <v>3107</v>
      </c>
      <c r="Q181" s="6">
        <v>10372</v>
      </c>
      <c r="R181" s="6">
        <v>27372</v>
      </c>
      <c r="S181" s="5" t="str">
        <f>VLOOKUP(T181,'[1]Kode Posisi'!$A$3:$B$45,2,)</f>
        <v>Outsourcing Keamanan</v>
      </c>
      <c r="T181" s="36" t="s">
        <v>37</v>
      </c>
      <c r="U181" s="44" t="s">
        <v>1594</v>
      </c>
      <c r="V181" s="44" t="s">
        <v>3106</v>
      </c>
      <c r="W181" s="36" t="s">
        <v>1592</v>
      </c>
      <c r="X181" s="36" t="s">
        <v>480</v>
      </c>
      <c r="Y181" s="36" t="s">
        <v>52</v>
      </c>
      <c r="Z181" s="79" t="s">
        <v>3105</v>
      </c>
      <c r="AA181" s="36" t="s">
        <v>3104</v>
      </c>
      <c r="AB181" s="47">
        <v>6000000</v>
      </c>
      <c r="AC181" s="41">
        <v>6000000</v>
      </c>
      <c r="AD181" s="47">
        <v>5691000</v>
      </c>
      <c r="AE181" s="16">
        <f t="shared" si="64"/>
        <v>309000</v>
      </c>
      <c r="AF181" s="16">
        <v>0</v>
      </c>
      <c r="AG181" s="16">
        <v>0</v>
      </c>
      <c r="AH181" s="16"/>
      <c r="AI181" s="16">
        <v>0</v>
      </c>
      <c r="AJ181" s="16"/>
      <c r="AK181" s="16">
        <v>0</v>
      </c>
      <c r="AL181" s="11">
        <f t="shared" si="65"/>
        <v>6000000</v>
      </c>
      <c r="AM181" s="16">
        <f t="shared" si="66"/>
        <v>614400</v>
      </c>
      <c r="AN181" s="16">
        <f t="shared" si="67"/>
        <v>240000</v>
      </c>
      <c r="AO181" s="16">
        <f t="shared" si="85"/>
        <v>374400</v>
      </c>
      <c r="AP181" s="16">
        <f t="shared" si="68"/>
        <v>222000</v>
      </c>
      <c r="AQ181" s="16">
        <f t="shared" si="69"/>
        <v>6614400</v>
      </c>
      <c r="AR181" s="16">
        <f t="shared" si="89"/>
        <v>396864</v>
      </c>
      <c r="AS181" s="16">
        <f t="shared" si="70"/>
        <v>43655.040000000001</v>
      </c>
      <c r="AT181" s="16">
        <f t="shared" si="71"/>
        <v>-7937.28</v>
      </c>
      <c r="AU181" s="16">
        <f t="shared" si="72"/>
        <v>7003326.7199999997</v>
      </c>
      <c r="AV181" s="16">
        <f t="shared" si="73"/>
        <v>7011264</v>
      </c>
      <c r="AW181" s="16">
        <f t="shared" si="74"/>
        <v>240000</v>
      </c>
      <c r="AX181" s="16" t="s">
        <v>319</v>
      </c>
      <c r="AY181" s="17"/>
      <c r="AZ181" s="17">
        <f t="shared" si="75"/>
        <v>0</v>
      </c>
      <c r="BA181" s="16">
        <f t="shared" si="76"/>
        <v>5760000</v>
      </c>
      <c r="BB181" s="16">
        <f t="shared" si="77"/>
        <v>5760000</v>
      </c>
      <c r="BC181" s="15">
        <v>0.03</v>
      </c>
      <c r="BD181" s="15">
        <v>0.01</v>
      </c>
      <c r="BE181" s="37">
        <f t="shared" si="78"/>
        <v>554400</v>
      </c>
      <c r="BF181" s="38">
        <f t="shared" si="79"/>
        <v>342000</v>
      </c>
      <c r="BG181" s="37">
        <f t="shared" si="83"/>
        <v>284550</v>
      </c>
      <c r="BH181" s="37">
        <f t="shared" si="80"/>
        <v>300000</v>
      </c>
      <c r="BI181">
        <v>284550</v>
      </c>
      <c r="BL181" s="8">
        <f t="shared" si="81"/>
        <v>0</v>
      </c>
      <c r="BM181" s="7" t="str">
        <f t="shared" si="90"/>
        <v>Terdaftar BPJS Kes &amp; Naker</v>
      </c>
      <c r="BN181" s="11">
        <f t="shared" si="91"/>
        <v>342000</v>
      </c>
      <c r="BO181" s="11">
        <f t="shared" si="92"/>
        <v>272400</v>
      </c>
      <c r="BP181" s="9">
        <f t="shared" si="82"/>
        <v>0</v>
      </c>
      <c r="BQ181" t="str">
        <f>_xlfn.XLOOKUP(X181,'[2]NON TETAP'!$H:$H,'[2]NON TETAP'!$I:$I)</f>
        <v>GRAMEDIA ASRI MEDIA</v>
      </c>
    </row>
    <row r="182" spans="1:69" x14ac:dyDescent="0.3">
      <c r="A182" s="2">
        <v>181</v>
      </c>
      <c r="B182" s="5" t="s">
        <v>3103</v>
      </c>
      <c r="C182" s="6" t="s">
        <v>241</v>
      </c>
      <c r="D182" s="6"/>
      <c r="E182" s="6" t="s">
        <v>73</v>
      </c>
      <c r="F182" s="6" t="s">
        <v>73</v>
      </c>
      <c r="G182" s="6"/>
      <c r="H182" s="6"/>
      <c r="I182" s="6"/>
      <c r="J182" s="6"/>
      <c r="K182" s="6">
        <v>800239</v>
      </c>
      <c r="L182" s="6"/>
      <c r="M182" s="6" t="s">
        <v>3102</v>
      </c>
      <c r="N182" s="46" t="s">
        <v>3101</v>
      </c>
      <c r="O182" s="6">
        <v>1766171812</v>
      </c>
      <c r="P182" s="78" t="s">
        <v>3100</v>
      </c>
      <c r="Q182" s="6">
        <v>10435</v>
      </c>
      <c r="R182" s="6">
        <v>27435</v>
      </c>
      <c r="S182" s="5" t="str">
        <f>VLOOKUP(T182,'[1]Kode Posisi'!$A$3:$B$45,2,)</f>
        <v>Outsourcing Keamanan</v>
      </c>
      <c r="T182" s="36" t="s">
        <v>37</v>
      </c>
      <c r="U182" s="44" t="s">
        <v>1545</v>
      </c>
      <c r="V182" s="44" t="s">
        <v>3099</v>
      </c>
      <c r="W182" s="36" t="s">
        <v>1543</v>
      </c>
      <c r="X182" s="36" t="s">
        <v>1558</v>
      </c>
      <c r="Y182" s="36" t="s">
        <v>52</v>
      </c>
      <c r="Z182" s="79" t="s">
        <v>3098</v>
      </c>
      <c r="AA182" s="36" t="s">
        <v>3097</v>
      </c>
      <c r="AB182" s="47">
        <v>5887000</v>
      </c>
      <c r="AC182" s="41">
        <v>5887000</v>
      </c>
      <c r="AD182" s="47">
        <v>5600000</v>
      </c>
      <c r="AE182" s="16">
        <f t="shared" si="64"/>
        <v>287000</v>
      </c>
      <c r="AF182" s="16">
        <v>0</v>
      </c>
      <c r="AG182" s="16">
        <v>0</v>
      </c>
      <c r="AH182" s="16"/>
      <c r="AI182" s="16">
        <v>0</v>
      </c>
      <c r="AJ182" s="16"/>
      <c r="AK182" s="16">
        <v>0</v>
      </c>
      <c r="AL182" s="11">
        <f t="shared" si="65"/>
        <v>5887000</v>
      </c>
      <c r="AM182" s="16">
        <f t="shared" si="66"/>
        <v>602828.80000000005</v>
      </c>
      <c r="AN182" s="16">
        <f t="shared" si="67"/>
        <v>235480</v>
      </c>
      <c r="AO182" s="16">
        <f t="shared" si="85"/>
        <v>367348.8</v>
      </c>
      <c r="AP182" s="16">
        <f t="shared" si="68"/>
        <v>217819</v>
      </c>
      <c r="AQ182" s="16">
        <f t="shared" si="69"/>
        <v>6489828.7999999998</v>
      </c>
      <c r="AR182" s="16">
        <f t="shared" si="89"/>
        <v>389389.728</v>
      </c>
      <c r="AS182" s="16">
        <f t="shared" si="70"/>
        <v>42832.870080000001</v>
      </c>
      <c r="AT182" s="16">
        <f t="shared" si="71"/>
        <v>-7787.7945600000003</v>
      </c>
      <c r="AU182" s="16">
        <f t="shared" si="72"/>
        <v>6871430.7334399996</v>
      </c>
      <c r="AV182" s="16">
        <f t="shared" si="73"/>
        <v>6879218.5279999999</v>
      </c>
      <c r="AW182" s="16">
        <f t="shared" si="74"/>
        <v>235480</v>
      </c>
      <c r="AX182" s="16" t="s">
        <v>286</v>
      </c>
      <c r="AY182" s="17"/>
      <c r="AZ182" s="17">
        <f t="shared" si="75"/>
        <v>0</v>
      </c>
      <c r="BA182" s="16">
        <f t="shared" si="76"/>
        <v>5651520</v>
      </c>
      <c r="BB182" s="16">
        <f t="shared" si="77"/>
        <v>5651520</v>
      </c>
      <c r="BC182" s="15">
        <v>0.03</v>
      </c>
      <c r="BD182" s="15">
        <v>0.01</v>
      </c>
      <c r="BE182" s="37">
        <f t="shared" si="78"/>
        <v>543958.79999999993</v>
      </c>
      <c r="BF182" s="38">
        <f t="shared" si="79"/>
        <v>335559</v>
      </c>
      <c r="BG182" s="37">
        <f t="shared" si="83"/>
        <v>280000</v>
      </c>
      <c r="BH182" s="37">
        <f t="shared" si="80"/>
        <v>294350</v>
      </c>
      <c r="BI182">
        <v>280000</v>
      </c>
      <c r="BL182" s="8">
        <f t="shared" si="81"/>
        <v>0</v>
      </c>
      <c r="BM182" s="7" t="str">
        <f t="shared" si="90"/>
        <v>Terdaftar BPJS Kes &amp; Naker</v>
      </c>
      <c r="BN182" s="11">
        <f t="shared" si="91"/>
        <v>335559</v>
      </c>
      <c r="BO182" s="11">
        <f t="shared" si="92"/>
        <v>267269.8</v>
      </c>
      <c r="BP182" s="9">
        <f t="shared" si="82"/>
        <v>0</v>
      </c>
      <c r="BQ182" t="str">
        <f>_xlfn.XLOOKUP(X182,'[2]NON TETAP'!$H:$H,'[2]NON TETAP'!$I:$I)</f>
        <v>GRAMEDIA ASRI MEDIA</v>
      </c>
    </row>
    <row r="183" spans="1:69" x14ac:dyDescent="0.3">
      <c r="A183" s="2">
        <v>182</v>
      </c>
      <c r="B183" s="5" t="s">
        <v>3091</v>
      </c>
      <c r="C183" s="6" t="s">
        <v>241</v>
      </c>
      <c r="D183" s="6"/>
      <c r="E183" s="6" t="s">
        <v>73</v>
      </c>
      <c r="F183" s="6" t="s">
        <v>73</v>
      </c>
      <c r="G183" s="6"/>
      <c r="H183" s="6"/>
      <c r="I183" s="6"/>
      <c r="J183" s="6"/>
      <c r="K183" s="6">
        <v>800240</v>
      </c>
      <c r="L183" s="6"/>
      <c r="M183" s="6" t="s">
        <v>3096</v>
      </c>
      <c r="N183" s="46" t="s">
        <v>3095</v>
      </c>
      <c r="O183" s="6">
        <v>1134470294</v>
      </c>
      <c r="P183" s="78" t="s">
        <v>3094</v>
      </c>
      <c r="Q183" s="6">
        <v>10435</v>
      </c>
      <c r="R183" s="6">
        <v>27435</v>
      </c>
      <c r="S183" s="5" t="str">
        <f>VLOOKUP(T183,'[1]Kode Posisi'!$A$3:$B$45,2,)</f>
        <v>Outsourcing Keamanan</v>
      </c>
      <c r="T183" s="36" t="s">
        <v>2850</v>
      </c>
      <c r="U183" s="44" t="s">
        <v>1545</v>
      </c>
      <c r="V183" s="44" t="s">
        <v>3093</v>
      </c>
      <c r="W183" s="36" t="s">
        <v>1543</v>
      </c>
      <c r="X183" s="36" t="s">
        <v>1558</v>
      </c>
      <c r="Y183" s="36" t="s">
        <v>1294</v>
      </c>
      <c r="Z183" s="79" t="s">
        <v>3092</v>
      </c>
      <c r="AA183" s="36" t="s">
        <v>3091</v>
      </c>
      <c r="AB183" s="47">
        <v>5887000</v>
      </c>
      <c r="AC183" s="41">
        <v>5887000</v>
      </c>
      <c r="AD183" s="47">
        <v>5600000</v>
      </c>
      <c r="AE183" s="16">
        <f t="shared" si="64"/>
        <v>287000</v>
      </c>
      <c r="AF183" s="16">
        <v>0</v>
      </c>
      <c r="AG183" s="16">
        <v>250000</v>
      </c>
      <c r="AH183" s="16"/>
      <c r="AI183" s="16">
        <v>0</v>
      </c>
      <c r="AJ183" s="16"/>
      <c r="AK183" s="16">
        <v>0</v>
      </c>
      <c r="AL183" s="11">
        <f t="shared" si="65"/>
        <v>6137000</v>
      </c>
      <c r="AM183" s="16">
        <f t="shared" si="66"/>
        <v>602828.80000000005</v>
      </c>
      <c r="AN183" s="16">
        <f t="shared" si="67"/>
        <v>235480</v>
      </c>
      <c r="AO183" s="16">
        <f t="shared" si="85"/>
        <v>367348.8</v>
      </c>
      <c r="AP183" s="16">
        <f t="shared" si="68"/>
        <v>217819</v>
      </c>
      <c r="AQ183" s="16">
        <f t="shared" si="69"/>
        <v>6739828.7999999998</v>
      </c>
      <c r="AR183" s="16">
        <f t="shared" si="89"/>
        <v>404389.728</v>
      </c>
      <c r="AS183" s="16">
        <f t="shared" si="70"/>
        <v>44482.870080000001</v>
      </c>
      <c r="AT183" s="16">
        <f t="shared" si="71"/>
        <v>-8087.7945600000003</v>
      </c>
      <c r="AU183" s="16">
        <f t="shared" si="72"/>
        <v>7136130.7334399996</v>
      </c>
      <c r="AV183" s="16">
        <f t="shared" si="73"/>
        <v>7144218.5279999999</v>
      </c>
      <c r="AW183" s="16">
        <f t="shared" si="74"/>
        <v>235480</v>
      </c>
      <c r="AX183" s="16" t="s">
        <v>243</v>
      </c>
      <c r="AY183" s="17"/>
      <c r="AZ183" s="17">
        <f t="shared" si="75"/>
        <v>2900</v>
      </c>
      <c r="BA183" s="16">
        <f t="shared" si="76"/>
        <v>5901520</v>
      </c>
      <c r="BB183" s="16">
        <f t="shared" si="77"/>
        <v>5898620</v>
      </c>
      <c r="BC183" s="15">
        <v>0.03</v>
      </c>
      <c r="BD183" s="15">
        <v>0.01</v>
      </c>
      <c r="BE183" s="37">
        <f t="shared" si="78"/>
        <v>543958.79999999993</v>
      </c>
      <c r="BF183" s="38">
        <f t="shared" si="79"/>
        <v>335559</v>
      </c>
      <c r="BG183" s="37">
        <f t="shared" si="83"/>
        <v>280000</v>
      </c>
      <c r="BH183" s="37">
        <f t="shared" si="80"/>
        <v>294350</v>
      </c>
      <c r="BI183">
        <v>280000</v>
      </c>
      <c r="BL183" s="8">
        <f t="shared" si="81"/>
        <v>250000</v>
      </c>
      <c r="BM183" s="7" t="str">
        <f t="shared" si="90"/>
        <v>Terdaftar BPJS Kes &amp; Naker</v>
      </c>
      <c r="BN183" s="11">
        <f t="shared" si="91"/>
        <v>335559</v>
      </c>
      <c r="BO183" s="11">
        <f t="shared" si="92"/>
        <v>267269.8</v>
      </c>
      <c r="BP183" s="9">
        <f t="shared" si="82"/>
        <v>0</v>
      </c>
      <c r="BQ183" t="str">
        <f>_xlfn.XLOOKUP(X183,'[2]NON TETAP'!$H:$H,'[2]NON TETAP'!$I:$I)</f>
        <v>GRAMEDIA ASRI MEDIA</v>
      </c>
    </row>
    <row r="184" spans="1:69" x14ac:dyDescent="0.3">
      <c r="A184" s="2">
        <v>183</v>
      </c>
      <c r="B184" s="5" t="s">
        <v>3085</v>
      </c>
      <c r="C184" s="6" t="s">
        <v>241</v>
      </c>
      <c r="D184" s="6"/>
      <c r="E184" s="6" t="s">
        <v>73</v>
      </c>
      <c r="F184" s="6" t="s">
        <v>73</v>
      </c>
      <c r="G184" s="6"/>
      <c r="H184" s="6"/>
      <c r="I184" s="6"/>
      <c r="J184" s="6"/>
      <c r="K184" s="6">
        <v>800241</v>
      </c>
      <c r="L184" s="6"/>
      <c r="M184" s="6" t="s">
        <v>3090</v>
      </c>
      <c r="N184" s="46" t="s">
        <v>3089</v>
      </c>
      <c r="O184" s="6">
        <v>1524004075</v>
      </c>
      <c r="P184" s="78" t="s">
        <v>3088</v>
      </c>
      <c r="Q184" s="6">
        <v>10435</v>
      </c>
      <c r="R184" s="6">
        <v>27435</v>
      </c>
      <c r="S184" s="5" t="str">
        <f>VLOOKUP(T184,'[1]Kode Posisi'!$A$3:$B$45,2,)</f>
        <v>Outsourcing Keamanan</v>
      </c>
      <c r="T184" s="36" t="s">
        <v>37</v>
      </c>
      <c r="U184" s="44" t="s">
        <v>1545</v>
      </c>
      <c r="V184" s="44" t="s">
        <v>3087</v>
      </c>
      <c r="W184" s="36" t="s">
        <v>1543</v>
      </c>
      <c r="X184" s="36" t="s">
        <v>1558</v>
      </c>
      <c r="Y184" s="36" t="s">
        <v>1294</v>
      </c>
      <c r="Z184" s="79" t="s">
        <v>3086</v>
      </c>
      <c r="AA184" s="36" t="s">
        <v>3085</v>
      </c>
      <c r="AB184" s="47">
        <v>5887000</v>
      </c>
      <c r="AC184" s="41">
        <v>5887000</v>
      </c>
      <c r="AD184" s="47">
        <v>5600000</v>
      </c>
      <c r="AE184" s="16">
        <f t="shared" si="64"/>
        <v>287000</v>
      </c>
      <c r="AF184" s="16">
        <v>0</v>
      </c>
      <c r="AG184" s="16">
        <v>0</v>
      </c>
      <c r="AH184" s="16"/>
      <c r="AI184" s="16">
        <v>0</v>
      </c>
      <c r="AJ184" s="16"/>
      <c r="AK184" s="16">
        <v>0</v>
      </c>
      <c r="AL184" s="11">
        <f t="shared" si="65"/>
        <v>5887000</v>
      </c>
      <c r="AM184" s="16">
        <f t="shared" si="66"/>
        <v>602828.80000000005</v>
      </c>
      <c r="AN184" s="16">
        <f t="shared" si="67"/>
        <v>235480</v>
      </c>
      <c r="AO184" s="16">
        <f t="shared" si="85"/>
        <v>367348.8</v>
      </c>
      <c r="AP184" s="16">
        <f t="shared" si="68"/>
        <v>217819</v>
      </c>
      <c r="AQ184" s="16">
        <f t="shared" si="69"/>
        <v>6489828.7999999998</v>
      </c>
      <c r="AR184" s="16">
        <f t="shared" si="89"/>
        <v>389389.728</v>
      </c>
      <c r="AS184" s="16">
        <f t="shared" si="70"/>
        <v>42832.870080000001</v>
      </c>
      <c r="AT184" s="16">
        <f t="shared" si="71"/>
        <v>-7787.7945600000003</v>
      </c>
      <c r="AU184" s="16">
        <f t="shared" si="72"/>
        <v>6871430.7334399996</v>
      </c>
      <c r="AV184" s="16">
        <f t="shared" si="73"/>
        <v>6879218.5279999999</v>
      </c>
      <c r="AW184" s="16">
        <f t="shared" si="74"/>
        <v>235480</v>
      </c>
      <c r="AX184" s="16" t="s">
        <v>286</v>
      </c>
      <c r="AY184" s="17"/>
      <c r="AZ184" s="17">
        <f t="shared" si="75"/>
        <v>2900</v>
      </c>
      <c r="BA184" s="16">
        <f t="shared" si="76"/>
        <v>5651520</v>
      </c>
      <c r="BB184" s="16">
        <f t="shared" si="77"/>
        <v>5648620</v>
      </c>
      <c r="BC184" s="15">
        <v>0.03</v>
      </c>
      <c r="BD184" s="15">
        <v>0.01</v>
      </c>
      <c r="BE184" s="37">
        <f t="shared" si="78"/>
        <v>543958.79999999993</v>
      </c>
      <c r="BF184" s="38">
        <f t="shared" si="79"/>
        <v>335559</v>
      </c>
      <c r="BG184" s="37">
        <f t="shared" si="83"/>
        <v>280000</v>
      </c>
      <c r="BH184" s="37">
        <f t="shared" si="80"/>
        <v>294350</v>
      </c>
      <c r="BI184">
        <v>280000</v>
      </c>
      <c r="BL184" s="8">
        <f t="shared" si="81"/>
        <v>0</v>
      </c>
      <c r="BM184" s="7" t="str">
        <f t="shared" si="90"/>
        <v>Terdaftar BPJS Kes &amp; Naker</v>
      </c>
      <c r="BN184" s="11">
        <f t="shared" si="91"/>
        <v>335559</v>
      </c>
      <c r="BO184" s="11">
        <f t="shared" si="92"/>
        <v>267269.8</v>
      </c>
      <c r="BP184" s="9">
        <f t="shared" si="82"/>
        <v>0</v>
      </c>
      <c r="BQ184" t="str">
        <f>_xlfn.XLOOKUP(X184,'[2]NON TETAP'!$H:$H,'[2]NON TETAP'!$I:$I)</f>
        <v>GRAMEDIA ASRI MEDIA</v>
      </c>
    </row>
    <row r="185" spans="1:69" x14ac:dyDescent="0.3">
      <c r="A185" s="2">
        <v>184</v>
      </c>
      <c r="B185" s="5" t="s">
        <v>3084</v>
      </c>
      <c r="C185" s="6" t="s">
        <v>241</v>
      </c>
      <c r="D185" s="6"/>
      <c r="E185" s="6" t="s">
        <v>73</v>
      </c>
      <c r="F185" s="6" t="s">
        <v>73</v>
      </c>
      <c r="G185" s="6"/>
      <c r="H185" s="6"/>
      <c r="I185" s="6"/>
      <c r="J185" s="6"/>
      <c r="K185" s="6">
        <v>800242</v>
      </c>
      <c r="L185" s="6"/>
      <c r="M185" s="6" t="s">
        <v>3083</v>
      </c>
      <c r="N185" s="46" t="s">
        <v>3082</v>
      </c>
      <c r="O185" s="6">
        <v>1635388637</v>
      </c>
      <c r="P185" s="78" t="s">
        <v>3081</v>
      </c>
      <c r="Q185" s="6">
        <v>10435</v>
      </c>
      <c r="R185" s="6">
        <v>27435</v>
      </c>
      <c r="S185" s="5" t="str">
        <f>VLOOKUP(T185,'[1]Kode Posisi'!$A$3:$B$45,2,)</f>
        <v>Outsourcing Keamanan</v>
      </c>
      <c r="T185" s="36" t="s">
        <v>37</v>
      </c>
      <c r="U185" s="44" t="s">
        <v>1545</v>
      </c>
      <c r="V185" s="44" t="s">
        <v>3080</v>
      </c>
      <c r="W185" s="36" t="s">
        <v>1543</v>
      </c>
      <c r="X185" s="36" t="s">
        <v>1558</v>
      </c>
      <c r="Y185" s="36" t="s">
        <v>1294</v>
      </c>
      <c r="Z185" s="79" t="s">
        <v>3079</v>
      </c>
      <c r="AA185" s="36" t="s">
        <v>3078</v>
      </c>
      <c r="AB185" s="47">
        <v>5887000</v>
      </c>
      <c r="AC185" s="41">
        <v>5887000</v>
      </c>
      <c r="AD185" s="47">
        <v>5600000</v>
      </c>
      <c r="AE185" s="16">
        <f t="shared" si="64"/>
        <v>287000</v>
      </c>
      <c r="AF185" s="16">
        <v>0</v>
      </c>
      <c r="AG185" s="16">
        <v>0</v>
      </c>
      <c r="AH185" s="16"/>
      <c r="AI185" s="16">
        <v>0</v>
      </c>
      <c r="AJ185" s="16"/>
      <c r="AK185" s="16">
        <v>0</v>
      </c>
      <c r="AL185" s="11">
        <f t="shared" si="65"/>
        <v>5887000</v>
      </c>
      <c r="AM185" s="16">
        <f t="shared" si="66"/>
        <v>602828.80000000005</v>
      </c>
      <c r="AN185" s="16">
        <f t="shared" si="67"/>
        <v>235480</v>
      </c>
      <c r="AO185" s="16">
        <f t="shared" si="85"/>
        <v>367348.8</v>
      </c>
      <c r="AP185" s="16">
        <f t="shared" si="68"/>
        <v>217819</v>
      </c>
      <c r="AQ185" s="16">
        <f t="shared" si="69"/>
        <v>6489828.7999999998</v>
      </c>
      <c r="AR185" s="16">
        <f t="shared" si="89"/>
        <v>389389.728</v>
      </c>
      <c r="AS185" s="16">
        <f t="shared" si="70"/>
        <v>42832.870080000001</v>
      </c>
      <c r="AT185" s="16">
        <f t="shared" si="71"/>
        <v>-7787.7945600000003</v>
      </c>
      <c r="AU185" s="16">
        <f t="shared" si="72"/>
        <v>6871430.7334399996</v>
      </c>
      <c r="AV185" s="16">
        <f t="shared" si="73"/>
        <v>6879218.5279999999</v>
      </c>
      <c r="AW185" s="16">
        <f t="shared" si="74"/>
        <v>235480</v>
      </c>
      <c r="AX185" s="16" t="s">
        <v>243</v>
      </c>
      <c r="AY185" s="17"/>
      <c r="AZ185" s="17">
        <f t="shared" si="75"/>
        <v>2900</v>
      </c>
      <c r="BA185" s="16">
        <f t="shared" si="76"/>
        <v>5651520</v>
      </c>
      <c r="BB185" s="16">
        <f t="shared" si="77"/>
        <v>5648620</v>
      </c>
      <c r="BC185" s="15">
        <v>0.03</v>
      </c>
      <c r="BD185" s="15">
        <v>0.01</v>
      </c>
      <c r="BE185" s="37">
        <f t="shared" si="78"/>
        <v>543958.79999999993</v>
      </c>
      <c r="BF185" s="38">
        <f t="shared" si="79"/>
        <v>335559</v>
      </c>
      <c r="BG185" s="37">
        <f t="shared" si="83"/>
        <v>280000</v>
      </c>
      <c r="BH185" s="37">
        <f t="shared" si="80"/>
        <v>294350</v>
      </c>
      <c r="BI185">
        <v>280000</v>
      </c>
      <c r="BL185" s="8">
        <f t="shared" si="81"/>
        <v>0</v>
      </c>
      <c r="BM185" s="7" t="str">
        <f t="shared" si="90"/>
        <v>Terdaftar BPJS Kes &amp; Naker</v>
      </c>
      <c r="BN185" s="11">
        <f t="shared" si="91"/>
        <v>335559</v>
      </c>
      <c r="BO185" s="11">
        <f t="shared" si="92"/>
        <v>267269.8</v>
      </c>
      <c r="BP185" s="9">
        <f t="shared" si="82"/>
        <v>0</v>
      </c>
      <c r="BQ185" t="str">
        <f>_xlfn.XLOOKUP(X185,'[2]NON TETAP'!$H:$H,'[2]NON TETAP'!$I:$I)</f>
        <v>GRAMEDIA ASRI MEDIA</v>
      </c>
    </row>
    <row r="186" spans="1:69" x14ac:dyDescent="0.3">
      <c r="A186" s="2">
        <v>185</v>
      </c>
      <c r="B186" s="5" t="s">
        <v>3072</v>
      </c>
      <c r="C186" s="6" t="s">
        <v>241</v>
      </c>
      <c r="D186" s="6"/>
      <c r="E186" s="6" t="s">
        <v>73</v>
      </c>
      <c r="F186" s="6" t="s">
        <v>73</v>
      </c>
      <c r="G186" s="6"/>
      <c r="H186" s="6"/>
      <c r="I186" s="6"/>
      <c r="J186" s="6"/>
      <c r="K186" s="6">
        <v>800243</v>
      </c>
      <c r="L186" s="6"/>
      <c r="M186" s="6" t="s">
        <v>3077</v>
      </c>
      <c r="N186" s="46" t="s">
        <v>3076</v>
      </c>
      <c r="O186" s="6">
        <v>482237649</v>
      </c>
      <c r="P186" s="78" t="s">
        <v>3075</v>
      </c>
      <c r="Q186" s="6">
        <v>10435</v>
      </c>
      <c r="R186" s="6">
        <v>27435</v>
      </c>
      <c r="S186" s="5" t="str">
        <f>VLOOKUP(T186,'[1]Kode Posisi'!$A$3:$B$45,2,)</f>
        <v>Outsourcing Keamanan</v>
      </c>
      <c r="T186" s="36" t="s">
        <v>37</v>
      </c>
      <c r="U186" s="44" t="s">
        <v>1545</v>
      </c>
      <c r="V186" s="44" t="s">
        <v>3074</v>
      </c>
      <c r="W186" s="36" t="s">
        <v>1543</v>
      </c>
      <c r="X186" s="36" t="s">
        <v>1558</v>
      </c>
      <c r="Y186" s="36" t="s">
        <v>1294</v>
      </c>
      <c r="Z186" s="79" t="s">
        <v>3073</v>
      </c>
      <c r="AA186" s="36" t="s">
        <v>3072</v>
      </c>
      <c r="AB186" s="47">
        <v>5887000</v>
      </c>
      <c r="AC186" s="41">
        <v>5887000</v>
      </c>
      <c r="AD186" s="47">
        <v>5600000</v>
      </c>
      <c r="AE186" s="16">
        <f t="shared" si="64"/>
        <v>287000</v>
      </c>
      <c r="AF186" s="16">
        <v>0</v>
      </c>
      <c r="AG186" s="16">
        <v>0</v>
      </c>
      <c r="AH186" s="16"/>
      <c r="AI186" s="16">
        <v>0</v>
      </c>
      <c r="AJ186" s="16"/>
      <c r="AK186" s="16">
        <v>0</v>
      </c>
      <c r="AL186" s="11">
        <f t="shared" si="65"/>
        <v>5887000</v>
      </c>
      <c r="AM186" s="16">
        <f t="shared" si="66"/>
        <v>602828.80000000005</v>
      </c>
      <c r="AN186" s="16">
        <f t="shared" si="67"/>
        <v>235480</v>
      </c>
      <c r="AO186" s="16">
        <f t="shared" si="85"/>
        <v>367348.8</v>
      </c>
      <c r="AP186" s="16">
        <f t="shared" si="68"/>
        <v>217819</v>
      </c>
      <c r="AQ186" s="16">
        <f t="shared" si="69"/>
        <v>6489828.7999999998</v>
      </c>
      <c r="AR186" s="16">
        <f t="shared" si="89"/>
        <v>389389.728</v>
      </c>
      <c r="AS186" s="16">
        <f t="shared" si="70"/>
        <v>42832.870080000001</v>
      </c>
      <c r="AT186" s="16">
        <f t="shared" si="71"/>
        <v>-7787.7945600000003</v>
      </c>
      <c r="AU186" s="16">
        <f t="shared" si="72"/>
        <v>6871430.7334399996</v>
      </c>
      <c r="AV186" s="16">
        <f t="shared" si="73"/>
        <v>6879218.5279999999</v>
      </c>
      <c r="AW186" s="16">
        <f t="shared" si="74"/>
        <v>235480</v>
      </c>
      <c r="AX186" s="16" t="s">
        <v>319</v>
      </c>
      <c r="AY186" s="17"/>
      <c r="AZ186" s="17">
        <f t="shared" si="75"/>
        <v>2900</v>
      </c>
      <c r="BA186" s="16">
        <f t="shared" si="76"/>
        <v>5651520</v>
      </c>
      <c r="BB186" s="16">
        <f t="shared" si="77"/>
        <v>5648620</v>
      </c>
      <c r="BC186" s="15">
        <v>0.03</v>
      </c>
      <c r="BD186" s="15">
        <v>0.01</v>
      </c>
      <c r="BE186" s="37">
        <f t="shared" si="78"/>
        <v>543958.79999999993</v>
      </c>
      <c r="BF186" s="38">
        <f t="shared" si="79"/>
        <v>335559</v>
      </c>
      <c r="BG186" s="37">
        <f t="shared" si="83"/>
        <v>280000</v>
      </c>
      <c r="BH186" s="37">
        <f t="shared" si="80"/>
        <v>294350</v>
      </c>
      <c r="BI186">
        <v>280000</v>
      </c>
      <c r="BL186" s="8">
        <f t="shared" si="81"/>
        <v>0</v>
      </c>
      <c r="BM186" s="7" t="str">
        <f t="shared" si="90"/>
        <v>Terdaftar BPJS Kes &amp; Naker</v>
      </c>
      <c r="BN186" s="11">
        <f t="shared" si="91"/>
        <v>335559</v>
      </c>
      <c r="BO186" s="11">
        <f t="shared" si="92"/>
        <v>267269.8</v>
      </c>
      <c r="BP186" s="9">
        <f t="shared" si="82"/>
        <v>0</v>
      </c>
      <c r="BQ186" t="str">
        <f>_xlfn.XLOOKUP(X186,'[2]NON TETAP'!$H:$H,'[2]NON TETAP'!$I:$I)</f>
        <v>GRAMEDIA ASRI MEDIA</v>
      </c>
    </row>
    <row r="187" spans="1:69" x14ac:dyDescent="0.3">
      <c r="A187" s="2">
        <v>186</v>
      </c>
      <c r="B187" s="5" t="s">
        <v>3066</v>
      </c>
      <c r="C187" s="6" t="s">
        <v>241</v>
      </c>
      <c r="D187" s="6"/>
      <c r="E187" s="6" t="s">
        <v>73</v>
      </c>
      <c r="F187" s="6" t="s">
        <v>73</v>
      </c>
      <c r="G187" s="6"/>
      <c r="H187" s="6"/>
      <c r="I187" s="6"/>
      <c r="J187" s="6"/>
      <c r="K187" s="6">
        <v>800244</v>
      </c>
      <c r="L187" s="6"/>
      <c r="M187" s="6" t="s">
        <v>3071</v>
      </c>
      <c r="N187" s="46" t="s">
        <v>3070</v>
      </c>
      <c r="O187" s="6">
        <v>1523907999</v>
      </c>
      <c r="P187" s="78" t="s">
        <v>3069</v>
      </c>
      <c r="Q187" s="6">
        <v>10435</v>
      </c>
      <c r="R187" s="6">
        <v>27435</v>
      </c>
      <c r="S187" s="5" t="str">
        <f>VLOOKUP(T187,'[1]Kode Posisi'!$A$3:$B$45,2,)</f>
        <v>Outsourcing Keamanan</v>
      </c>
      <c r="T187" s="36" t="s">
        <v>37</v>
      </c>
      <c r="U187" s="44" t="s">
        <v>1545</v>
      </c>
      <c r="V187" s="44" t="s">
        <v>3068</v>
      </c>
      <c r="W187" s="36" t="s">
        <v>1543</v>
      </c>
      <c r="X187" s="36" t="s">
        <v>1558</v>
      </c>
      <c r="Y187" s="36" t="s">
        <v>1294</v>
      </c>
      <c r="Z187" s="79" t="s">
        <v>3067</v>
      </c>
      <c r="AA187" s="36" t="s">
        <v>3066</v>
      </c>
      <c r="AB187" s="47">
        <v>5887000</v>
      </c>
      <c r="AC187" s="41">
        <v>5887000</v>
      </c>
      <c r="AD187" s="47">
        <v>5600000</v>
      </c>
      <c r="AE187" s="16">
        <f t="shared" si="64"/>
        <v>287000</v>
      </c>
      <c r="AF187" s="16">
        <v>0</v>
      </c>
      <c r="AG187" s="16">
        <v>0</v>
      </c>
      <c r="AH187" s="16"/>
      <c r="AI187" s="16">
        <v>0</v>
      </c>
      <c r="AJ187" s="16"/>
      <c r="AK187" s="16">
        <v>0</v>
      </c>
      <c r="AL187" s="11">
        <f t="shared" si="65"/>
        <v>5887000</v>
      </c>
      <c r="AM187" s="16">
        <f t="shared" si="66"/>
        <v>602828.80000000005</v>
      </c>
      <c r="AN187" s="16">
        <f t="shared" si="67"/>
        <v>235480</v>
      </c>
      <c r="AO187" s="16">
        <f t="shared" si="85"/>
        <v>367348.8</v>
      </c>
      <c r="AP187" s="16">
        <f t="shared" si="68"/>
        <v>217819</v>
      </c>
      <c r="AQ187" s="16">
        <f t="shared" si="69"/>
        <v>6489828.7999999998</v>
      </c>
      <c r="AR187" s="16">
        <f t="shared" si="89"/>
        <v>389389.728</v>
      </c>
      <c r="AS187" s="16">
        <f t="shared" si="70"/>
        <v>42832.870080000001</v>
      </c>
      <c r="AT187" s="16">
        <f t="shared" si="71"/>
        <v>-7787.7945600000003</v>
      </c>
      <c r="AU187" s="16">
        <f t="shared" si="72"/>
        <v>6871430.7334399996</v>
      </c>
      <c r="AV187" s="16">
        <f t="shared" si="73"/>
        <v>6879218.5279999999</v>
      </c>
      <c r="AW187" s="16">
        <f t="shared" si="74"/>
        <v>235480</v>
      </c>
      <c r="AX187" s="16" t="s">
        <v>319</v>
      </c>
      <c r="AY187" s="17"/>
      <c r="AZ187" s="17">
        <f t="shared" si="75"/>
        <v>2900</v>
      </c>
      <c r="BA187" s="16">
        <f t="shared" si="76"/>
        <v>5651520</v>
      </c>
      <c r="BB187" s="16">
        <f t="shared" si="77"/>
        <v>5648620</v>
      </c>
      <c r="BC187" s="15">
        <v>0.03</v>
      </c>
      <c r="BD187" s="15">
        <v>0.01</v>
      </c>
      <c r="BE187" s="37">
        <f t="shared" si="78"/>
        <v>543958.79999999993</v>
      </c>
      <c r="BF187" s="38">
        <f t="shared" si="79"/>
        <v>335559</v>
      </c>
      <c r="BG187" s="37">
        <f t="shared" si="83"/>
        <v>280000</v>
      </c>
      <c r="BH187" s="37">
        <f t="shared" si="80"/>
        <v>294350</v>
      </c>
      <c r="BI187">
        <v>280000</v>
      </c>
      <c r="BL187" s="8">
        <f t="shared" si="81"/>
        <v>0</v>
      </c>
      <c r="BM187" s="7" t="str">
        <f t="shared" si="90"/>
        <v>Terdaftar BPJS Kes &amp; Naker</v>
      </c>
      <c r="BN187" s="11">
        <f t="shared" si="91"/>
        <v>335559</v>
      </c>
      <c r="BO187" s="11">
        <f t="shared" si="92"/>
        <v>267269.8</v>
      </c>
      <c r="BP187" s="9">
        <f t="shared" si="82"/>
        <v>0</v>
      </c>
      <c r="BQ187" t="str">
        <f>_xlfn.XLOOKUP(X187,'[2]NON TETAP'!$H:$H,'[2]NON TETAP'!$I:$I)</f>
        <v>GRAMEDIA ASRI MEDIA</v>
      </c>
    </row>
    <row r="188" spans="1:69" x14ac:dyDescent="0.3">
      <c r="A188" s="2">
        <v>187</v>
      </c>
      <c r="B188" s="5" t="s">
        <v>3065</v>
      </c>
      <c r="C188" s="6" t="s">
        <v>241</v>
      </c>
      <c r="D188" s="6"/>
      <c r="E188" s="6" t="s">
        <v>73</v>
      </c>
      <c r="F188" s="6" t="s">
        <v>73</v>
      </c>
      <c r="G188" s="6"/>
      <c r="H188" s="6"/>
      <c r="I188" s="6"/>
      <c r="J188" s="6" t="s">
        <v>2746</v>
      </c>
      <c r="K188" s="6">
        <v>800245</v>
      </c>
      <c r="L188" s="6"/>
      <c r="M188" s="6"/>
      <c r="N188" s="46" t="s">
        <v>1133</v>
      </c>
      <c r="O188" s="6"/>
      <c r="P188" s="36" t="s">
        <v>3064</v>
      </c>
      <c r="Q188" s="6">
        <v>10435</v>
      </c>
      <c r="R188" s="6">
        <v>27435</v>
      </c>
      <c r="S188" s="5" t="str">
        <f>VLOOKUP(T188,'[1]Kode Posisi'!$A$3:$B$45,2,)</f>
        <v>Outsourcing Keamanan</v>
      </c>
      <c r="T188" s="36" t="s">
        <v>2743</v>
      </c>
      <c r="U188" s="44" t="s">
        <v>1545</v>
      </c>
      <c r="V188" s="44" t="s">
        <v>3063</v>
      </c>
      <c r="W188" s="36" t="s">
        <v>1543</v>
      </c>
      <c r="X188" s="36" t="s">
        <v>1558</v>
      </c>
      <c r="Y188" s="36" t="s">
        <v>52</v>
      </c>
      <c r="Z188" s="79" t="s">
        <v>3062</v>
      </c>
      <c r="AA188" s="36" t="s">
        <v>3061</v>
      </c>
      <c r="AB188" s="47">
        <v>5887000</v>
      </c>
      <c r="AC188" s="41">
        <v>5887000</v>
      </c>
      <c r="AD188" s="47">
        <v>5600000</v>
      </c>
      <c r="AE188" s="16">
        <f t="shared" si="64"/>
        <v>287000</v>
      </c>
      <c r="AF188" s="16">
        <v>0</v>
      </c>
      <c r="AG188" s="16">
        <v>500000</v>
      </c>
      <c r="AH188" s="16"/>
      <c r="AI188" s="16">
        <v>0</v>
      </c>
      <c r="AJ188" s="16"/>
      <c r="AK188" s="16">
        <v>0</v>
      </c>
      <c r="AL188" s="11">
        <f t="shared" si="65"/>
        <v>6387000</v>
      </c>
      <c r="AM188" s="16">
        <f t="shared" si="66"/>
        <v>58800</v>
      </c>
      <c r="AN188" s="16">
        <f t="shared" si="67"/>
        <v>0</v>
      </c>
      <c r="AO188" s="16">
        <f>352800/6</f>
        <v>58800</v>
      </c>
      <c r="AP188" s="16">
        <f t="shared" si="68"/>
        <v>0</v>
      </c>
      <c r="AQ188" s="16">
        <f t="shared" si="69"/>
        <v>6445800</v>
      </c>
      <c r="AR188" s="16">
        <f t="shared" si="89"/>
        <v>386748</v>
      </c>
      <c r="AS188" s="16">
        <f t="shared" si="70"/>
        <v>42542.28</v>
      </c>
      <c r="AT188" s="16">
        <f t="shared" si="71"/>
        <v>-7734.96</v>
      </c>
      <c r="AU188" s="16">
        <f t="shared" si="72"/>
        <v>6824813.04</v>
      </c>
      <c r="AV188" s="16">
        <f t="shared" si="73"/>
        <v>6832548</v>
      </c>
      <c r="AW188" s="16">
        <f t="shared" si="74"/>
        <v>0</v>
      </c>
      <c r="AX188" s="16" t="s">
        <v>243</v>
      </c>
      <c r="AY188" s="17"/>
      <c r="AZ188" s="17">
        <f t="shared" si="75"/>
        <v>0</v>
      </c>
      <c r="BA188" s="16">
        <f t="shared" si="76"/>
        <v>6387000</v>
      </c>
      <c r="BB188" s="16">
        <f t="shared" si="77"/>
        <v>6387000</v>
      </c>
      <c r="BC188" s="15">
        <v>0</v>
      </c>
      <c r="BD188" s="15">
        <v>0</v>
      </c>
      <c r="BE188" s="37">
        <f t="shared" si="78"/>
        <v>0</v>
      </c>
      <c r="BF188" s="38">
        <f t="shared" si="79"/>
        <v>0</v>
      </c>
      <c r="BG188" s="37">
        <f t="shared" si="83"/>
        <v>280000</v>
      </c>
      <c r="BH188" s="37">
        <f t="shared" si="80"/>
        <v>0</v>
      </c>
      <c r="BI188">
        <v>0</v>
      </c>
      <c r="BL188" s="8">
        <f t="shared" si="81"/>
        <v>500000</v>
      </c>
      <c r="BM188" s="7" t="str">
        <f>IF(AND(BC188=0.03,0.2,BD188=0.01),"Terdaftar BPJS Kes &amp; Naker","Tidak Terdaftar")</f>
        <v>Tidak Terdaftar</v>
      </c>
      <c r="BN188" s="11"/>
      <c r="BO188" s="92">
        <f>352800/6</f>
        <v>58800</v>
      </c>
      <c r="BP188" s="9">
        <f t="shared" si="82"/>
        <v>0</v>
      </c>
      <c r="BQ188" t="str">
        <f>_xlfn.XLOOKUP(X188,'[2]NON TETAP'!$H:$H,'[2]NON TETAP'!$I:$I)</f>
        <v>GRAMEDIA ASRI MEDIA</v>
      </c>
    </row>
    <row r="189" spans="1:69" x14ac:dyDescent="0.3">
      <c r="A189" s="2">
        <v>188</v>
      </c>
      <c r="B189" s="5" t="s">
        <v>3060</v>
      </c>
      <c r="C189" s="6" t="s">
        <v>241</v>
      </c>
      <c r="D189" s="6"/>
      <c r="E189" s="6" t="s">
        <v>73</v>
      </c>
      <c r="F189" s="6" t="s">
        <v>73</v>
      </c>
      <c r="G189" s="6"/>
      <c r="H189" s="6"/>
      <c r="I189" s="6"/>
      <c r="J189" s="6"/>
      <c r="K189" s="6">
        <v>800246</v>
      </c>
      <c r="L189" s="6"/>
      <c r="M189" s="6" t="s">
        <v>3059</v>
      </c>
      <c r="N189" s="46" t="s">
        <v>3058</v>
      </c>
      <c r="O189" s="6">
        <v>1668243014</v>
      </c>
      <c r="P189" s="78" t="s">
        <v>3057</v>
      </c>
      <c r="Q189" s="6">
        <v>10435</v>
      </c>
      <c r="R189" s="6">
        <v>27435</v>
      </c>
      <c r="S189" s="5" t="str">
        <f>VLOOKUP(T189,'[1]Kode Posisi'!$A$3:$B$45,2,)</f>
        <v>Outsourcing Keamanan</v>
      </c>
      <c r="T189" s="36" t="s">
        <v>37</v>
      </c>
      <c r="U189" s="44" t="s">
        <v>1545</v>
      </c>
      <c r="V189" s="44" t="s">
        <v>3056</v>
      </c>
      <c r="W189" s="36" t="s">
        <v>1543</v>
      </c>
      <c r="X189" s="36" t="s">
        <v>1558</v>
      </c>
      <c r="Y189" s="36" t="s">
        <v>1294</v>
      </c>
      <c r="Z189" s="79" t="s">
        <v>3055</v>
      </c>
      <c r="AA189" s="36" t="s">
        <v>3054</v>
      </c>
      <c r="AB189" s="47">
        <v>5887000</v>
      </c>
      <c r="AC189" s="41">
        <v>5887000</v>
      </c>
      <c r="AD189" s="47">
        <v>5600000</v>
      </c>
      <c r="AE189" s="16">
        <f t="shared" si="64"/>
        <v>287000</v>
      </c>
      <c r="AF189" s="16">
        <v>0</v>
      </c>
      <c r="AG189" s="16">
        <v>0</v>
      </c>
      <c r="AH189" s="16"/>
      <c r="AI189" s="16">
        <v>0</v>
      </c>
      <c r="AJ189" s="16"/>
      <c r="AK189" s="16">
        <v>0</v>
      </c>
      <c r="AL189" s="11">
        <f t="shared" si="65"/>
        <v>5887000</v>
      </c>
      <c r="AM189" s="16">
        <f t="shared" si="66"/>
        <v>602828.80000000005</v>
      </c>
      <c r="AN189" s="16">
        <f t="shared" si="67"/>
        <v>235480</v>
      </c>
      <c r="AO189" s="16">
        <f t="shared" ref="AO189:AO236" si="93">IF(BC189=0.03,AC189*0.0624,0)</f>
        <v>367348.8</v>
      </c>
      <c r="AP189" s="16">
        <f t="shared" si="68"/>
        <v>217819</v>
      </c>
      <c r="AQ189" s="16">
        <f t="shared" si="69"/>
        <v>6489828.7999999998</v>
      </c>
      <c r="AR189" s="16">
        <f t="shared" si="89"/>
        <v>389389.728</v>
      </c>
      <c r="AS189" s="16">
        <f t="shared" si="70"/>
        <v>42832.870080000001</v>
      </c>
      <c r="AT189" s="16">
        <f t="shared" si="71"/>
        <v>-7787.7945600000003</v>
      </c>
      <c r="AU189" s="16">
        <f t="shared" si="72"/>
        <v>6871430.7334399996</v>
      </c>
      <c r="AV189" s="16">
        <f t="shared" si="73"/>
        <v>6879218.5279999999</v>
      </c>
      <c r="AW189" s="16">
        <f t="shared" si="74"/>
        <v>235480</v>
      </c>
      <c r="AX189" s="16" t="s">
        <v>319</v>
      </c>
      <c r="AY189" s="17"/>
      <c r="AZ189" s="17">
        <f t="shared" si="75"/>
        <v>2900</v>
      </c>
      <c r="BA189" s="16">
        <f t="shared" si="76"/>
        <v>5651520</v>
      </c>
      <c r="BB189" s="16">
        <f t="shared" si="77"/>
        <v>5648620</v>
      </c>
      <c r="BC189" s="15">
        <v>0.03</v>
      </c>
      <c r="BD189" s="15">
        <v>0.01</v>
      </c>
      <c r="BE189" s="37">
        <f t="shared" si="78"/>
        <v>543958.79999999993</v>
      </c>
      <c r="BF189" s="38">
        <f t="shared" si="79"/>
        <v>335559</v>
      </c>
      <c r="BG189" s="37">
        <f t="shared" si="83"/>
        <v>280000</v>
      </c>
      <c r="BH189" s="37">
        <f t="shared" si="80"/>
        <v>294350</v>
      </c>
      <c r="BI189">
        <v>280000</v>
      </c>
      <c r="BL189" s="8">
        <f t="shared" si="81"/>
        <v>0</v>
      </c>
      <c r="BM189" s="7" t="str">
        <f t="shared" ref="BM189:BM231" si="94">IF(AND(BC189=0.03,BD189=0.01),"Terdaftar BPJS Kes &amp; Naker","Tidak Terdaftar")</f>
        <v>Terdaftar BPJS Kes &amp; Naker</v>
      </c>
      <c r="BN189" s="11">
        <f t="shared" ref="BN189:BN231" si="95">AC189*5.7%</f>
        <v>335559</v>
      </c>
      <c r="BO189" s="11">
        <f t="shared" ref="BO189:BO231" si="96">AC189*4.54%</f>
        <v>267269.8</v>
      </c>
      <c r="BP189" s="9">
        <f t="shared" si="82"/>
        <v>0</v>
      </c>
      <c r="BQ189" t="str">
        <f>_xlfn.XLOOKUP(X189,'[2]NON TETAP'!$H:$H,'[2]NON TETAP'!$I:$I)</f>
        <v>GRAMEDIA ASRI MEDIA</v>
      </c>
    </row>
    <row r="190" spans="1:69" x14ac:dyDescent="0.3">
      <c r="A190" s="2">
        <v>189</v>
      </c>
      <c r="B190" s="5" t="s">
        <v>3053</v>
      </c>
      <c r="C190" s="6" t="s">
        <v>241</v>
      </c>
      <c r="D190" s="6"/>
      <c r="E190" s="6" t="s">
        <v>73</v>
      </c>
      <c r="F190" s="6" t="s">
        <v>73</v>
      </c>
      <c r="G190" s="6" t="s">
        <v>73</v>
      </c>
      <c r="H190" s="6"/>
      <c r="I190" s="6"/>
      <c r="J190" s="6"/>
      <c r="K190" s="6">
        <v>800247</v>
      </c>
      <c r="L190" s="6"/>
      <c r="M190" s="6" t="s">
        <v>3052</v>
      </c>
      <c r="N190" s="46" t="s">
        <v>3051</v>
      </c>
      <c r="O190" s="6">
        <v>3256623527</v>
      </c>
      <c r="P190" s="78" t="s">
        <v>3050</v>
      </c>
      <c r="Q190" s="6">
        <v>10109</v>
      </c>
      <c r="R190" s="6">
        <v>27109</v>
      </c>
      <c r="S190" s="5" t="str">
        <f>VLOOKUP(T190,'[1]Kode Posisi'!$A$3:$B$45,2,)</f>
        <v>Outsourcing Keamanan</v>
      </c>
      <c r="T190" s="36" t="s">
        <v>37</v>
      </c>
      <c r="U190" s="44" t="s">
        <v>1495</v>
      </c>
      <c r="V190" s="44" t="s">
        <v>3049</v>
      </c>
      <c r="W190" s="36" t="s">
        <v>1493</v>
      </c>
      <c r="X190" s="36" t="s">
        <v>139</v>
      </c>
      <c r="Y190" s="36" t="s">
        <v>52</v>
      </c>
      <c r="Z190" s="79" t="s">
        <v>3048</v>
      </c>
      <c r="AA190" s="36" t="s">
        <v>3047</v>
      </c>
      <c r="AB190" s="47">
        <v>4336000</v>
      </c>
      <c r="AC190" s="41">
        <v>4336000</v>
      </c>
      <c r="AD190" s="47">
        <v>4015000</v>
      </c>
      <c r="AE190" s="16">
        <f t="shared" si="64"/>
        <v>321000</v>
      </c>
      <c r="AF190" s="16">
        <v>0</v>
      </c>
      <c r="AG190" s="16">
        <v>0</v>
      </c>
      <c r="AH190" s="16"/>
      <c r="AI190" s="16">
        <v>0</v>
      </c>
      <c r="AJ190" s="16"/>
      <c r="AK190" s="16">
        <v>0</v>
      </c>
      <c r="AL190" s="11">
        <f t="shared" si="65"/>
        <v>4336000</v>
      </c>
      <c r="AM190" s="16">
        <f t="shared" si="66"/>
        <v>444006.39999999997</v>
      </c>
      <c r="AN190" s="16">
        <f t="shared" si="67"/>
        <v>173440</v>
      </c>
      <c r="AO190" s="16">
        <f t="shared" si="93"/>
        <v>270566.39999999997</v>
      </c>
      <c r="AP190" s="16">
        <f t="shared" si="68"/>
        <v>160432</v>
      </c>
      <c r="AQ190" s="16">
        <f t="shared" si="69"/>
        <v>4780006.4000000004</v>
      </c>
      <c r="AR190" s="16">
        <f t="shared" si="89"/>
        <v>286800.38400000002</v>
      </c>
      <c r="AS190" s="16">
        <f t="shared" si="70"/>
        <v>31548.042240000002</v>
      </c>
      <c r="AT190" s="16">
        <f t="shared" si="71"/>
        <v>-5736.0076800000006</v>
      </c>
      <c r="AU190" s="16">
        <f t="shared" si="72"/>
        <v>5061070.7763200002</v>
      </c>
      <c r="AV190" s="16">
        <f t="shared" si="73"/>
        <v>5066806.784</v>
      </c>
      <c r="AW190" s="16">
        <f t="shared" si="74"/>
        <v>173440</v>
      </c>
      <c r="AX190" s="16" t="s">
        <v>91</v>
      </c>
      <c r="AY190" s="17"/>
      <c r="AZ190" s="17">
        <f t="shared" si="75"/>
        <v>0</v>
      </c>
      <c r="BA190" s="16">
        <f t="shared" si="76"/>
        <v>4162560</v>
      </c>
      <c r="BB190" s="16">
        <f t="shared" si="77"/>
        <v>4162560</v>
      </c>
      <c r="BC190" s="15">
        <v>0.03</v>
      </c>
      <c r="BD190" s="15">
        <v>0.01</v>
      </c>
      <c r="BE190" s="37">
        <f t="shared" si="78"/>
        <v>400646.39999999997</v>
      </c>
      <c r="BF190" s="38">
        <f t="shared" si="79"/>
        <v>247152</v>
      </c>
      <c r="BG190" s="37">
        <f t="shared" si="83"/>
        <v>200750</v>
      </c>
      <c r="BH190" s="37">
        <f t="shared" si="80"/>
        <v>216800</v>
      </c>
      <c r="BI190">
        <v>200750</v>
      </c>
      <c r="BL190" s="8">
        <f t="shared" si="81"/>
        <v>0</v>
      </c>
      <c r="BM190" s="7" t="str">
        <f t="shared" si="94"/>
        <v>Terdaftar BPJS Kes &amp; Naker</v>
      </c>
      <c r="BN190" s="11">
        <f t="shared" si="95"/>
        <v>247152</v>
      </c>
      <c r="BO190" s="11">
        <f t="shared" si="96"/>
        <v>196854.40000000002</v>
      </c>
      <c r="BP190" s="9">
        <f t="shared" si="82"/>
        <v>0</v>
      </c>
      <c r="BQ190" t="str">
        <f>_xlfn.XLOOKUP(X190,'[2]NON TETAP'!$H:$H,'[2]NON TETAP'!$I:$I)</f>
        <v>GRAMEDIA ASRI MEDIA</v>
      </c>
    </row>
    <row r="191" spans="1:69" x14ac:dyDescent="0.3">
      <c r="A191" s="2">
        <v>190</v>
      </c>
      <c r="B191" s="5" t="s">
        <v>3046</v>
      </c>
      <c r="C191" s="6" t="s">
        <v>241</v>
      </c>
      <c r="D191" s="6"/>
      <c r="E191" s="6" t="s">
        <v>73</v>
      </c>
      <c r="F191" s="6" t="s">
        <v>73</v>
      </c>
      <c r="G191" s="6" t="s">
        <v>73</v>
      </c>
      <c r="H191" s="6"/>
      <c r="I191" s="6"/>
      <c r="J191" s="6"/>
      <c r="K191" s="6">
        <v>800248</v>
      </c>
      <c r="L191" s="6"/>
      <c r="M191" s="6" t="s">
        <v>3045</v>
      </c>
      <c r="N191" s="46" t="s">
        <v>3044</v>
      </c>
      <c r="O191" s="6">
        <v>1152204838</v>
      </c>
      <c r="P191" s="78" t="s">
        <v>3043</v>
      </c>
      <c r="Q191" s="6">
        <v>10109</v>
      </c>
      <c r="R191" s="6">
        <v>27109</v>
      </c>
      <c r="S191" s="5" t="str">
        <f>VLOOKUP(T191,'[1]Kode Posisi'!$A$3:$B$45,2,)</f>
        <v>Outsourcing Keamanan</v>
      </c>
      <c r="T191" s="36" t="s">
        <v>37</v>
      </c>
      <c r="U191" s="44" t="s">
        <v>1495</v>
      </c>
      <c r="V191" s="44" t="s">
        <v>3042</v>
      </c>
      <c r="W191" s="36" t="s">
        <v>1493</v>
      </c>
      <c r="X191" s="36" t="s">
        <v>139</v>
      </c>
      <c r="Y191" s="36" t="s">
        <v>1294</v>
      </c>
      <c r="Z191" s="79" t="s">
        <v>3041</v>
      </c>
      <c r="AA191" s="36" t="s">
        <v>3040</v>
      </c>
      <c r="AB191" s="47">
        <v>4336000</v>
      </c>
      <c r="AC191" s="41">
        <v>4336000</v>
      </c>
      <c r="AD191" s="47">
        <v>4015000</v>
      </c>
      <c r="AE191" s="16">
        <f t="shared" si="64"/>
        <v>321000</v>
      </c>
      <c r="AF191" s="16">
        <v>0</v>
      </c>
      <c r="AG191" s="16">
        <v>0</v>
      </c>
      <c r="AH191" s="16"/>
      <c r="AI191" s="16">
        <v>0</v>
      </c>
      <c r="AJ191" s="16"/>
      <c r="AK191" s="16">
        <v>0</v>
      </c>
      <c r="AL191" s="11">
        <f t="shared" si="65"/>
        <v>4336000</v>
      </c>
      <c r="AM191" s="16">
        <f t="shared" si="66"/>
        <v>444006.39999999997</v>
      </c>
      <c r="AN191" s="16">
        <f t="shared" si="67"/>
        <v>173440</v>
      </c>
      <c r="AO191" s="16">
        <f t="shared" si="93"/>
        <v>270566.39999999997</v>
      </c>
      <c r="AP191" s="16">
        <f t="shared" si="68"/>
        <v>160432</v>
      </c>
      <c r="AQ191" s="16">
        <f t="shared" si="69"/>
        <v>4780006.4000000004</v>
      </c>
      <c r="AR191" s="16">
        <f t="shared" si="89"/>
        <v>286800.38400000002</v>
      </c>
      <c r="AS191" s="16">
        <f t="shared" si="70"/>
        <v>31548.042240000002</v>
      </c>
      <c r="AT191" s="16">
        <f t="shared" si="71"/>
        <v>-5736.0076800000006</v>
      </c>
      <c r="AU191" s="16">
        <f t="shared" si="72"/>
        <v>5061070.7763200002</v>
      </c>
      <c r="AV191" s="16">
        <f t="shared" si="73"/>
        <v>5066806.784</v>
      </c>
      <c r="AW191" s="16">
        <f t="shared" si="74"/>
        <v>173440</v>
      </c>
      <c r="AX191" s="16" t="s">
        <v>286</v>
      </c>
      <c r="AY191" s="17"/>
      <c r="AZ191" s="17">
        <f t="shared" si="75"/>
        <v>2900</v>
      </c>
      <c r="BA191" s="16">
        <f t="shared" si="76"/>
        <v>4162560</v>
      </c>
      <c r="BB191" s="16">
        <f t="shared" si="77"/>
        <v>4159660</v>
      </c>
      <c r="BC191" s="15">
        <v>0.03</v>
      </c>
      <c r="BD191" s="15">
        <v>0.01</v>
      </c>
      <c r="BE191" s="37">
        <f t="shared" si="78"/>
        <v>400646.39999999997</v>
      </c>
      <c r="BF191" s="38">
        <f t="shared" si="79"/>
        <v>247152</v>
      </c>
      <c r="BG191" s="37">
        <f t="shared" si="83"/>
        <v>200750</v>
      </c>
      <c r="BH191" s="37">
        <f t="shared" si="80"/>
        <v>216800</v>
      </c>
      <c r="BI191">
        <v>200750</v>
      </c>
      <c r="BL191" s="8">
        <f t="shared" si="81"/>
        <v>0</v>
      </c>
      <c r="BM191" s="7" t="str">
        <f t="shared" si="94"/>
        <v>Terdaftar BPJS Kes &amp; Naker</v>
      </c>
      <c r="BN191" s="11">
        <f t="shared" si="95"/>
        <v>247152</v>
      </c>
      <c r="BO191" s="11">
        <f t="shared" si="96"/>
        <v>196854.40000000002</v>
      </c>
      <c r="BP191" s="9">
        <f t="shared" si="82"/>
        <v>0</v>
      </c>
      <c r="BQ191" t="str">
        <f>_xlfn.XLOOKUP(X191,'[2]NON TETAP'!$H:$H,'[2]NON TETAP'!$I:$I)</f>
        <v>GRAMEDIA ASRI MEDIA</v>
      </c>
    </row>
    <row r="192" spans="1:69" x14ac:dyDescent="0.3">
      <c r="A192" s="2">
        <v>191</v>
      </c>
      <c r="B192" s="5" t="s">
        <v>3039</v>
      </c>
      <c r="C192" s="6" t="s">
        <v>241</v>
      </c>
      <c r="D192" s="6"/>
      <c r="E192" s="6" t="s">
        <v>73</v>
      </c>
      <c r="F192" s="6" t="s">
        <v>73</v>
      </c>
      <c r="G192" s="6" t="s">
        <v>73</v>
      </c>
      <c r="H192" s="6"/>
      <c r="I192" s="6"/>
      <c r="J192" s="6"/>
      <c r="K192" s="6">
        <v>800249</v>
      </c>
      <c r="L192" s="6"/>
      <c r="M192" s="6" t="s">
        <v>3038</v>
      </c>
      <c r="N192" s="46" t="s">
        <v>3037</v>
      </c>
      <c r="O192" s="6">
        <v>2235918947</v>
      </c>
      <c r="P192" s="78" t="s">
        <v>3036</v>
      </c>
      <c r="Q192" s="6">
        <v>10109</v>
      </c>
      <c r="R192" s="6">
        <v>27109</v>
      </c>
      <c r="S192" s="5" t="str">
        <f>VLOOKUP(T192,'[1]Kode Posisi'!$A$3:$B$45,2,)</f>
        <v>Outsourcing Keamanan</v>
      </c>
      <c r="T192" s="36" t="s">
        <v>37</v>
      </c>
      <c r="U192" s="44" t="s">
        <v>1495</v>
      </c>
      <c r="V192" s="44" t="s">
        <v>3035</v>
      </c>
      <c r="W192" s="36" t="s">
        <v>1493</v>
      </c>
      <c r="X192" s="36" t="s">
        <v>139</v>
      </c>
      <c r="Y192" s="36" t="s">
        <v>1294</v>
      </c>
      <c r="Z192" s="79" t="s">
        <v>3034</v>
      </c>
      <c r="AA192" s="36" t="s">
        <v>3033</v>
      </c>
      <c r="AB192" s="47">
        <v>4336000</v>
      </c>
      <c r="AC192" s="41">
        <v>4336000</v>
      </c>
      <c r="AD192" s="47">
        <v>4015000</v>
      </c>
      <c r="AE192" s="16">
        <f t="shared" ref="AE192:AE255" si="97">AB192-AD192</f>
        <v>321000</v>
      </c>
      <c r="AF192" s="16">
        <v>0</v>
      </c>
      <c r="AG192" s="16">
        <v>0</v>
      </c>
      <c r="AH192" s="16"/>
      <c r="AI192" s="16">
        <v>0</v>
      </c>
      <c r="AJ192" s="16"/>
      <c r="AK192" s="16">
        <v>0</v>
      </c>
      <c r="AL192" s="11">
        <f t="shared" si="65"/>
        <v>4336000</v>
      </c>
      <c r="AM192" s="16">
        <f t="shared" si="66"/>
        <v>444006.39999999997</v>
      </c>
      <c r="AN192" s="16">
        <f t="shared" si="67"/>
        <v>173440</v>
      </c>
      <c r="AO192" s="16">
        <f t="shared" si="93"/>
        <v>270566.39999999997</v>
      </c>
      <c r="AP192" s="16">
        <f t="shared" si="68"/>
        <v>160432</v>
      </c>
      <c r="AQ192" s="16">
        <f t="shared" si="69"/>
        <v>4780006.4000000004</v>
      </c>
      <c r="AR192" s="16">
        <f t="shared" si="89"/>
        <v>286800.38400000002</v>
      </c>
      <c r="AS192" s="16">
        <f t="shared" si="70"/>
        <v>31548.042240000002</v>
      </c>
      <c r="AT192" s="16">
        <f t="shared" si="71"/>
        <v>-5736.0076800000006</v>
      </c>
      <c r="AU192" s="16">
        <f t="shared" si="72"/>
        <v>5061070.7763200002</v>
      </c>
      <c r="AV192" s="16">
        <f t="shared" si="73"/>
        <v>5066806.784</v>
      </c>
      <c r="AW192" s="16">
        <f t="shared" si="74"/>
        <v>173440</v>
      </c>
      <c r="AX192" s="16" t="s">
        <v>286</v>
      </c>
      <c r="AY192" s="17"/>
      <c r="AZ192" s="17">
        <f t="shared" si="75"/>
        <v>2900</v>
      </c>
      <c r="BA192" s="16">
        <f t="shared" si="76"/>
        <v>4162560</v>
      </c>
      <c r="BB192" s="16">
        <f t="shared" si="77"/>
        <v>4159660</v>
      </c>
      <c r="BC192" s="15">
        <v>0.03</v>
      </c>
      <c r="BD192" s="15">
        <v>0.01</v>
      </c>
      <c r="BE192" s="37">
        <f t="shared" si="78"/>
        <v>400646.39999999997</v>
      </c>
      <c r="BF192" s="38">
        <f t="shared" si="79"/>
        <v>247152</v>
      </c>
      <c r="BG192" s="37">
        <f t="shared" si="83"/>
        <v>200750</v>
      </c>
      <c r="BH192" s="37">
        <f t="shared" si="80"/>
        <v>216800</v>
      </c>
      <c r="BI192">
        <v>200750</v>
      </c>
      <c r="BL192" s="8">
        <f t="shared" si="81"/>
        <v>0</v>
      </c>
      <c r="BM192" s="7" t="str">
        <f t="shared" si="94"/>
        <v>Terdaftar BPJS Kes &amp; Naker</v>
      </c>
      <c r="BN192" s="11">
        <f t="shared" si="95"/>
        <v>247152</v>
      </c>
      <c r="BO192" s="11">
        <f t="shared" si="96"/>
        <v>196854.40000000002</v>
      </c>
      <c r="BP192" s="9">
        <f t="shared" si="82"/>
        <v>0</v>
      </c>
      <c r="BQ192" t="str">
        <f>_xlfn.XLOOKUP(X192,'[2]NON TETAP'!$H:$H,'[2]NON TETAP'!$I:$I)</f>
        <v>GRAMEDIA ASRI MEDIA</v>
      </c>
    </row>
    <row r="193" spans="1:69" x14ac:dyDescent="0.3">
      <c r="A193" s="2">
        <v>192</v>
      </c>
      <c r="B193" s="5" t="s">
        <v>3032</v>
      </c>
      <c r="C193" s="6" t="s">
        <v>241</v>
      </c>
      <c r="D193" s="6"/>
      <c r="E193" s="6" t="s">
        <v>73</v>
      </c>
      <c r="F193" s="6" t="s">
        <v>73</v>
      </c>
      <c r="G193" s="6" t="s">
        <v>73</v>
      </c>
      <c r="H193" s="6"/>
      <c r="I193" s="6"/>
      <c r="J193" s="6"/>
      <c r="K193" s="6">
        <v>800250</v>
      </c>
      <c r="L193" s="6"/>
      <c r="M193" s="6" t="s">
        <v>3031</v>
      </c>
      <c r="N193" s="46" t="s">
        <v>3030</v>
      </c>
      <c r="O193" s="6">
        <v>1788693592</v>
      </c>
      <c r="P193" s="78" t="s">
        <v>3029</v>
      </c>
      <c r="Q193" s="6">
        <v>10109</v>
      </c>
      <c r="R193" s="6">
        <v>27109</v>
      </c>
      <c r="S193" s="5" t="str">
        <f>VLOOKUP(T193,'[1]Kode Posisi'!$A$3:$B$45,2,)</f>
        <v>Outsourcing Keamanan</v>
      </c>
      <c r="T193" s="36" t="s">
        <v>37</v>
      </c>
      <c r="U193" s="44" t="s">
        <v>1495</v>
      </c>
      <c r="V193" s="44" t="s">
        <v>3028</v>
      </c>
      <c r="W193" s="36" t="s">
        <v>1493</v>
      </c>
      <c r="X193" s="36" t="s">
        <v>139</v>
      </c>
      <c r="Y193" s="36" t="s">
        <v>1294</v>
      </c>
      <c r="Z193" s="79" t="s">
        <v>3027</v>
      </c>
      <c r="AA193" s="36" t="s">
        <v>3026</v>
      </c>
      <c r="AB193" s="47">
        <v>4336000</v>
      </c>
      <c r="AC193" s="41">
        <v>4336000</v>
      </c>
      <c r="AD193" s="47">
        <v>4015000</v>
      </c>
      <c r="AE193" s="16">
        <f t="shared" si="97"/>
        <v>321000</v>
      </c>
      <c r="AF193" s="16">
        <v>0</v>
      </c>
      <c r="AG193" s="16">
        <v>0</v>
      </c>
      <c r="AH193" s="16"/>
      <c r="AI193" s="16">
        <v>0</v>
      </c>
      <c r="AJ193" s="16"/>
      <c r="AK193" s="16">
        <v>0</v>
      </c>
      <c r="AL193" s="11">
        <f t="shared" si="65"/>
        <v>4336000</v>
      </c>
      <c r="AM193" s="16">
        <f t="shared" si="66"/>
        <v>444006.39999999997</v>
      </c>
      <c r="AN193" s="16">
        <f t="shared" si="67"/>
        <v>173440</v>
      </c>
      <c r="AO193" s="16">
        <f t="shared" si="93"/>
        <v>270566.39999999997</v>
      </c>
      <c r="AP193" s="16">
        <f t="shared" si="68"/>
        <v>160432</v>
      </c>
      <c r="AQ193" s="16">
        <f t="shared" si="69"/>
        <v>4780006.4000000004</v>
      </c>
      <c r="AR193" s="16">
        <f t="shared" si="89"/>
        <v>286800.38400000002</v>
      </c>
      <c r="AS193" s="16">
        <f t="shared" si="70"/>
        <v>31548.042240000002</v>
      </c>
      <c r="AT193" s="16">
        <f t="shared" si="71"/>
        <v>-5736.0076800000006</v>
      </c>
      <c r="AU193" s="16">
        <f t="shared" si="72"/>
        <v>5061070.7763200002</v>
      </c>
      <c r="AV193" s="16">
        <f t="shared" si="73"/>
        <v>5066806.784</v>
      </c>
      <c r="AW193" s="16">
        <f t="shared" si="74"/>
        <v>173440</v>
      </c>
      <c r="AX193" s="16" t="s">
        <v>235</v>
      </c>
      <c r="AY193" s="17"/>
      <c r="AZ193" s="17">
        <f t="shared" si="75"/>
        <v>2900</v>
      </c>
      <c r="BA193" s="16">
        <f t="shared" si="76"/>
        <v>4162560</v>
      </c>
      <c r="BB193" s="16">
        <f t="shared" si="77"/>
        <v>4159660</v>
      </c>
      <c r="BC193" s="15">
        <v>0.03</v>
      </c>
      <c r="BD193" s="15">
        <v>0.01</v>
      </c>
      <c r="BE193" s="37">
        <f t="shared" si="78"/>
        <v>400646.39999999997</v>
      </c>
      <c r="BF193" s="38">
        <f t="shared" si="79"/>
        <v>247152</v>
      </c>
      <c r="BG193" s="37">
        <f t="shared" si="83"/>
        <v>200750</v>
      </c>
      <c r="BH193" s="37">
        <f t="shared" si="80"/>
        <v>216800</v>
      </c>
      <c r="BI193">
        <v>200750</v>
      </c>
      <c r="BL193" s="8">
        <f t="shared" si="81"/>
        <v>0</v>
      </c>
      <c r="BM193" s="7" t="str">
        <f t="shared" si="94"/>
        <v>Terdaftar BPJS Kes &amp; Naker</v>
      </c>
      <c r="BN193" s="11">
        <f t="shared" si="95"/>
        <v>247152</v>
      </c>
      <c r="BO193" s="11">
        <f t="shared" si="96"/>
        <v>196854.40000000002</v>
      </c>
      <c r="BP193" s="9">
        <f t="shared" si="82"/>
        <v>0</v>
      </c>
      <c r="BQ193" t="str">
        <f>_xlfn.XLOOKUP(X193,'[2]NON TETAP'!$H:$H,'[2]NON TETAP'!$I:$I)</f>
        <v>GRAMEDIA ASRI MEDIA</v>
      </c>
    </row>
    <row r="194" spans="1:69" x14ac:dyDescent="0.3">
      <c r="A194" s="2">
        <v>193</v>
      </c>
      <c r="B194" s="5" t="s">
        <v>3020</v>
      </c>
      <c r="C194" s="6" t="s">
        <v>241</v>
      </c>
      <c r="D194" s="6"/>
      <c r="E194" s="6" t="s">
        <v>73</v>
      </c>
      <c r="F194" s="6" t="s">
        <v>73</v>
      </c>
      <c r="G194" s="6" t="s">
        <v>73</v>
      </c>
      <c r="H194" s="6"/>
      <c r="I194" s="6"/>
      <c r="J194" s="6"/>
      <c r="K194" s="6">
        <v>800251</v>
      </c>
      <c r="L194" s="6"/>
      <c r="M194" s="6" t="s">
        <v>3025</v>
      </c>
      <c r="N194" s="46" t="s">
        <v>3024</v>
      </c>
      <c r="O194" s="6">
        <v>261140242</v>
      </c>
      <c r="P194" s="78" t="s">
        <v>3023</v>
      </c>
      <c r="Q194" s="6">
        <v>10109</v>
      </c>
      <c r="R194" s="6">
        <v>27109</v>
      </c>
      <c r="S194" s="5" t="str">
        <f>VLOOKUP(T194,'[1]Kode Posisi'!$A$3:$B$45,2,)</f>
        <v>Outsourcing Keamanan</v>
      </c>
      <c r="T194" s="36" t="s">
        <v>37</v>
      </c>
      <c r="U194" s="44" t="s">
        <v>1495</v>
      </c>
      <c r="V194" s="44" t="s">
        <v>3022</v>
      </c>
      <c r="W194" s="36" t="s">
        <v>1493</v>
      </c>
      <c r="X194" s="36" t="s">
        <v>139</v>
      </c>
      <c r="Y194" s="36" t="s">
        <v>1294</v>
      </c>
      <c r="Z194" s="79" t="s">
        <v>3021</v>
      </c>
      <c r="AA194" s="36" t="s">
        <v>3020</v>
      </c>
      <c r="AB194" s="47">
        <v>4336000</v>
      </c>
      <c r="AC194" s="41">
        <v>4336000</v>
      </c>
      <c r="AD194" s="47">
        <v>4015000</v>
      </c>
      <c r="AE194" s="16">
        <f t="shared" si="97"/>
        <v>321000</v>
      </c>
      <c r="AF194" s="16">
        <v>0</v>
      </c>
      <c r="AG194" s="16">
        <v>0</v>
      </c>
      <c r="AH194" s="16"/>
      <c r="AI194" s="16">
        <v>0</v>
      </c>
      <c r="AJ194" s="16"/>
      <c r="AK194" s="16">
        <v>0</v>
      </c>
      <c r="AL194" s="11">
        <f t="shared" ref="AL194:AL257" si="98">SUM(AB194,AF194,AG194:AJ194)-AK194</f>
        <v>4336000</v>
      </c>
      <c r="AM194" s="16">
        <f t="shared" ref="AM194:AM257" si="99">SUM(AN194:AO194)</f>
        <v>444006.39999999997</v>
      </c>
      <c r="AN194" s="16">
        <f t="shared" ref="AN194:AN257" si="100">IF(BD194=0.01,AC194*0.04,0)</f>
        <v>173440</v>
      </c>
      <c r="AO194" s="16">
        <f t="shared" si="93"/>
        <v>270566.39999999997</v>
      </c>
      <c r="AP194" s="16">
        <f t="shared" ref="AP194:AP257" si="101">IF(BC194=0.03,0.037*(AB194+AF194),0)</f>
        <v>160432</v>
      </c>
      <c r="AQ194" s="16">
        <f t="shared" ref="AQ194:AQ257" si="102">SUM(AL194:AM194)</f>
        <v>4780006.4000000004</v>
      </c>
      <c r="AR194" s="16">
        <f t="shared" si="89"/>
        <v>286800.38400000002</v>
      </c>
      <c r="AS194" s="16">
        <f t="shared" ref="AS194:AS257" si="103">SUM(AR194*0.11)</f>
        <v>31548.042240000002</v>
      </c>
      <c r="AT194" s="16">
        <f t="shared" ref="AT194:AT257" si="104">SUM(AR194*-0.02)</f>
        <v>-5736.0076800000006</v>
      </c>
      <c r="AU194" s="16">
        <f t="shared" ref="AU194:AU257" si="105">(AQ194+AR194)+AT194</f>
        <v>5061070.7763200002</v>
      </c>
      <c r="AV194" s="16">
        <f t="shared" ref="AV194:AV257" si="106">SUM(AQ194+AR194)</f>
        <v>5066806.784</v>
      </c>
      <c r="AW194" s="16">
        <f t="shared" ref="AW194:AW257" si="107">SUM(AC194)*SUM(BC194,BD194)</f>
        <v>173440</v>
      </c>
      <c r="AX194" s="16" t="s">
        <v>319</v>
      </c>
      <c r="AY194" s="17"/>
      <c r="AZ194" s="17">
        <f t="shared" ref="AZ194:AZ257" si="108">IF(Y194="BCA",0,2900)</f>
        <v>2900</v>
      </c>
      <c r="BA194" s="16">
        <f t="shared" ref="BA194:BA257" si="109">SUM(AL194-AW194,AY194)</f>
        <v>4162560</v>
      </c>
      <c r="BB194" s="16">
        <f t="shared" ref="BB194:BB257" si="110">SUM(AL194-AW194,AY194)-AZ194</f>
        <v>4159660</v>
      </c>
      <c r="BC194" s="15">
        <v>0.03</v>
      </c>
      <c r="BD194" s="15">
        <v>0.01</v>
      </c>
      <c r="BE194" s="37">
        <f t="shared" ref="BE194:BE257" si="111">IF(BC194=0.03,AC194*9.24%,0)</f>
        <v>400646.39999999997</v>
      </c>
      <c r="BF194" s="38">
        <f t="shared" ref="BF194:BF257" si="112">IF(BC194=0.03,0.057/0.0924*BE194,0)</f>
        <v>247152</v>
      </c>
      <c r="BG194" s="37">
        <f t="shared" si="83"/>
        <v>200750</v>
      </c>
      <c r="BH194" s="37">
        <f t="shared" ref="BH194:BH257" si="113">IF(BD194=0.01,AC194*5%,0)</f>
        <v>216800</v>
      </c>
      <c r="BI194">
        <v>200750</v>
      </c>
      <c r="BL194" s="8">
        <f t="shared" ref="BL194:BL257" si="114">SUM(AF194:AJ194)-AK194</f>
        <v>0</v>
      </c>
      <c r="BM194" s="7" t="str">
        <f t="shared" si="94"/>
        <v>Terdaftar BPJS Kes &amp; Naker</v>
      </c>
      <c r="BN194" s="11">
        <f t="shared" si="95"/>
        <v>247152</v>
      </c>
      <c r="BO194" s="11">
        <f t="shared" si="96"/>
        <v>196854.40000000002</v>
      </c>
      <c r="BP194" s="9">
        <f t="shared" ref="BP194:BP257" si="115">AM194-BN194-BO194</f>
        <v>0</v>
      </c>
      <c r="BQ194" t="str">
        <f>_xlfn.XLOOKUP(X194,'[2]NON TETAP'!$H:$H,'[2]NON TETAP'!$I:$I)</f>
        <v>GRAMEDIA ASRI MEDIA</v>
      </c>
    </row>
    <row r="195" spans="1:69" x14ac:dyDescent="0.3">
      <c r="A195" s="2">
        <v>194</v>
      </c>
      <c r="B195" s="5" t="s">
        <v>3019</v>
      </c>
      <c r="C195" s="6" t="s">
        <v>241</v>
      </c>
      <c r="D195" s="6"/>
      <c r="E195" s="6" t="s">
        <v>73</v>
      </c>
      <c r="F195" s="6" t="s">
        <v>73</v>
      </c>
      <c r="G195" s="6" t="s">
        <v>73</v>
      </c>
      <c r="H195" s="6"/>
      <c r="I195" s="6"/>
      <c r="J195" s="6"/>
      <c r="K195" s="6">
        <v>800253</v>
      </c>
      <c r="L195" s="6"/>
      <c r="M195" s="6" t="s">
        <v>3018</v>
      </c>
      <c r="N195" s="46" t="s">
        <v>3017</v>
      </c>
      <c r="O195" s="6">
        <v>985478455</v>
      </c>
      <c r="P195" s="78" t="s">
        <v>3016</v>
      </c>
      <c r="Q195" s="6">
        <v>10109</v>
      </c>
      <c r="R195" s="6">
        <v>27109</v>
      </c>
      <c r="S195" s="5" t="str">
        <f>VLOOKUP(T195,'[1]Kode Posisi'!$A$3:$B$45,2,)</f>
        <v>Outsourcing Keamanan</v>
      </c>
      <c r="T195" s="36" t="s">
        <v>2850</v>
      </c>
      <c r="U195" s="44" t="s">
        <v>1495</v>
      </c>
      <c r="V195" s="44" t="s">
        <v>3015</v>
      </c>
      <c r="W195" s="36" t="s">
        <v>1493</v>
      </c>
      <c r="X195" s="36" t="s">
        <v>139</v>
      </c>
      <c r="Y195" s="36" t="s">
        <v>52</v>
      </c>
      <c r="Z195" s="79" t="s">
        <v>3014</v>
      </c>
      <c r="AA195" s="36" t="s">
        <v>3013</v>
      </c>
      <c r="AB195" s="47">
        <v>4336000</v>
      </c>
      <c r="AC195" s="41">
        <v>4336000</v>
      </c>
      <c r="AD195" s="47">
        <v>4015000</v>
      </c>
      <c r="AE195" s="16">
        <f t="shared" si="97"/>
        <v>321000</v>
      </c>
      <c r="AF195" s="16">
        <v>0</v>
      </c>
      <c r="AG195" s="16">
        <v>250000</v>
      </c>
      <c r="AH195" s="16"/>
      <c r="AI195" s="16">
        <v>0</v>
      </c>
      <c r="AJ195" s="16"/>
      <c r="AK195" s="16">
        <v>0</v>
      </c>
      <c r="AL195" s="11">
        <f t="shared" si="98"/>
        <v>4586000</v>
      </c>
      <c r="AM195" s="16">
        <f t="shared" si="99"/>
        <v>444006.39999999997</v>
      </c>
      <c r="AN195" s="16">
        <f t="shared" si="100"/>
        <v>173440</v>
      </c>
      <c r="AO195" s="16">
        <f t="shared" si="93"/>
        <v>270566.39999999997</v>
      </c>
      <c r="AP195" s="16">
        <f t="shared" si="101"/>
        <v>160432</v>
      </c>
      <c r="AQ195" s="16">
        <f t="shared" si="102"/>
        <v>5030006.4000000004</v>
      </c>
      <c r="AR195" s="16">
        <f t="shared" si="89"/>
        <v>301800.38400000002</v>
      </c>
      <c r="AS195" s="16">
        <f t="shared" si="103"/>
        <v>33198.042240000002</v>
      </c>
      <c r="AT195" s="16">
        <f t="shared" si="104"/>
        <v>-6036.0076800000006</v>
      </c>
      <c r="AU195" s="16">
        <f t="shared" si="105"/>
        <v>5325770.7763200002</v>
      </c>
      <c r="AV195" s="16">
        <f t="shared" si="106"/>
        <v>5331806.784</v>
      </c>
      <c r="AW195" s="16">
        <f t="shared" si="107"/>
        <v>173440</v>
      </c>
      <c r="AX195" s="16" t="s">
        <v>235</v>
      </c>
      <c r="AY195" s="17"/>
      <c r="AZ195" s="17">
        <f t="shared" si="108"/>
        <v>0</v>
      </c>
      <c r="BA195" s="16">
        <f t="shared" si="109"/>
        <v>4412560</v>
      </c>
      <c r="BB195" s="16">
        <f t="shared" si="110"/>
        <v>4412560</v>
      </c>
      <c r="BC195" s="15">
        <v>0.03</v>
      </c>
      <c r="BD195" s="15">
        <v>0.01</v>
      </c>
      <c r="BE195" s="37">
        <f t="shared" si="111"/>
        <v>400646.39999999997</v>
      </c>
      <c r="BF195" s="38">
        <f t="shared" si="112"/>
        <v>247152</v>
      </c>
      <c r="BG195" s="37">
        <f t="shared" ref="BG195:BG236" si="116">5%*AD195</f>
        <v>200750</v>
      </c>
      <c r="BH195" s="37">
        <f t="shared" si="113"/>
        <v>216800</v>
      </c>
      <c r="BI195">
        <v>200750</v>
      </c>
      <c r="BL195" s="8">
        <f t="shared" si="114"/>
        <v>250000</v>
      </c>
      <c r="BM195" s="7" t="str">
        <f t="shared" si="94"/>
        <v>Terdaftar BPJS Kes &amp; Naker</v>
      </c>
      <c r="BN195" s="11">
        <f t="shared" si="95"/>
        <v>247152</v>
      </c>
      <c r="BO195" s="11">
        <f t="shared" si="96"/>
        <v>196854.40000000002</v>
      </c>
      <c r="BP195" s="9">
        <f t="shared" si="115"/>
        <v>0</v>
      </c>
      <c r="BQ195" t="str">
        <f>_xlfn.XLOOKUP(X195,'[2]NON TETAP'!$H:$H,'[2]NON TETAP'!$I:$I)</f>
        <v>GRAMEDIA ASRI MEDIA</v>
      </c>
    </row>
    <row r="196" spans="1:69" x14ac:dyDescent="0.3">
      <c r="A196" s="2">
        <v>195</v>
      </c>
      <c r="B196" s="5" t="s">
        <v>3012</v>
      </c>
      <c r="C196" s="6" t="s">
        <v>241</v>
      </c>
      <c r="D196" s="6"/>
      <c r="E196" s="6" t="s">
        <v>73</v>
      </c>
      <c r="F196" s="6" t="s">
        <v>73</v>
      </c>
      <c r="G196" s="6" t="s">
        <v>73</v>
      </c>
      <c r="H196" s="6"/>
      <c r="I196" s="6"/>
      <c r="J196" s="6"/>
      <c r="K196" s="6">
        <v>800255</v>
      </c>
      <c r="L196" s="6"/>
      <c r="M196" s="6" t="s">
        <v>3011</v>
      </c>
      <c r="N196" s="46" t="s">
        <v>3010</v>
      </c>
      <c r="O196" s="6">
        <v>1133067969</v>
      </c>
      <c r="P196" s="78" t="s">
        <v>3009</v>
      </c>
      <c r="Q196" s="6">
        <v>10109</v>
      </c>
      <c r="R196" s="6">
        <v>27109</v>
      </c>
      <c r="S196" s="5" t="str">
        <f>VLOOKUP(T196,'[1]Kode Posisi'!$A$3:$B$45,2,)</f>
        <v>Outsourcing Keamanan</v>
      </c>
      <c r="T196" s="36" t="s">
        <v>37</v>
      </c>
      <c r="U196" s="44" t="s">
        <v>1495</v>
      </c>
      <c r="V196" s="44" t="s">
        <v>3008</v>
      </c>
      <c r="W196" s="36" t="s">
        <v>1493</v>
      </c>
      <c r="X196" s="36" t="s">
        <v>139</v>
      </c>
      <c r="Y196" s="36" t="s">
        <v>1294</v>
      </c>
      <c r="Z196" s="79" t="s">
        <v>3007</v>
      </c>
      <c r="AA196" s="36" t="s">
        <v>3006</v>
      </c>
      <c r="AB196" s="47">
        <v>4336000</v>
      </c>
      <c r="AC196" s="41">
        <v>4336000</v>
      </c>
      <c r="AD196" s="47">
        <v>4015000</v>
      </c>
      <c r="AE196" s="16">
        <f t="shared" si="97"/>
        <v>321000</v>
      </c>
      <c r="AF196" s="16">
        <v>0</v>
      </c>
      <c r="AG196" s="16">
        <v>0</v>
      </c>
      <c r="AH196" s="16"/>
      <c r="AI196" s="16">
        <v>0</v>
      </c>
      <c r="AJ196" s="16"/>
      <c r="AK196" s="16">
        <v>0</v>
      </c>
      <c r="AL196" s="11">
        <f t="shared" si="98"/>
        <v>4336000</v>
      </c>
      <c r="AM196" s="16">
        <f t="shared" si="99"/>
        <v>444006.39999999997</v>
      </c>
      <c r="AN196" s="16">
        <f t="shared" si="100"/>
        <v>173440</v>
      </c>
      <c r="AO196" s="16">
        <f t="shared" si="93"/>
        <v>270566.39999999997</v>
      </c>
      <c r="AP196" s="16">
        <f t="shared" si="101"/>
        <v>160432</v>
      </c>
      <c r="AQ196" s="16">
        <f t="shared" si="102"/>
        <v>4780006.4000000004</v>
      </c>
      <c r="AR196" s="16">
        <f t="shared" si="89"/>
        <v>286800.38400000002</v>
      </c>
      <c r="AS196" s="16">
        <f t="shared" si="103"/>
        <v>31548.042240000002</v>
      </c>
      <c r="AT196" s="16">
        <f t="shared" si="104"/>
        <v>-5736.0076800000006</v>
      </c>
      <c r="AU196" s="16">
        <f t="shared" si="105"/>
        <v>5061070.7763200002</v>
      </c>
      <c r="AV196" s="16">
        <f t="shared" si="106"/>
        <v>5066806.784</v>
      </c>
      <c r="AW196" s="16">
        <f t="shared" si="107"/>
        <v>173440</v>
      </c>
      <c r="AX196" s="16" t="s">
        <v>235</v>
      </c>
      <c r="AY196" s="17"/>
      <c r="AZ196" s="17">
        <f t="shared" si="108"/>
        <v>2900</v>
      </c>
      <c r="BA196" s="16">
        <f t="shared" si="109"/>
        <v>4162560</v>
      </c>
      <c r="BB196" s="16">
        <f t="shared" si="110"/>
        <v>4159660</v>
      </c>
      <c r="BC196" s="15">
        <v>0.03</v>
      </c>
      <c r="BD196" s="15">
        <v>0.01</v>
      </c>
      <c r="BE196" s="37">
        <f t="shared" si="111"/>
        <v>400646.39999999997</v>
      </c>
      <c r="BF196" s="38">
        <f t="shared" si="112"/>
        <v>247152</v>
      </c>
      <c r="BG196" s="37">
        <f t="shared" si="116"/>
        <v>200750</v>
      </c>
      <c r="BH196" s="37">
        <f t="shared" si="113"/>
        <v>216800</v>
      </c>
      <c r="BI196">
        <v>200750</v>
      </c>
      <c r="BL196" s="8">
        <f t="shared" si="114"/>
        <v>0</v>
      </c>
      <c r="BM196" s="7" t="str">
        <f t="shared" si="94"/>
        <v>Terdaftar BPJS Kes &amp; Naker</v>
      </c>
      <c r="BN196" s="11">
        <f t="shared" si="95"/>
        <v>247152</v>
      </c>
      <c r="BO196" s="11">
        <f t="shared" si="96"/>
        <v>196854.40000000002</v>
      </c>
      <c r="BP196" s="9">
        <f t="shared" si="115"/>
        <v>0</v>
      </c>
      <c r="BQ196" t="str">
        <f>_xlfn.XLOOKUP(X196,'[2]NON TETAP'!$H:$H,'[2]NON TETAP'!$I:$I)</f>
        <v>GRAMEDIA ASRI MEDIA</v>
      </c>
    </row>
    <row r="197" spans="1:69" x14ac:dyDescent="0.3">
      <c r="A197" s="2">
        <v>196</v>
      </c>
      <c r="B197" s="5" t="s">
        <v>3005</v>
      </c>
      <c r="C197" s="6" t="s">
        <v>241</v>
      </c>
      <c r="D197" s="6"/>
      <c r="E197" s="6" t="s">
        <v>73</v>
      </c>
      <c r="F197" s="6"/>
      <c r="G197" s="6" t="s">
        <v>73</v>
      </c>
      <c r="H197" s="6"/>
      <c r="I197" s="6"/>
      <c r="J197" s="6"/>
      <c r="K197" s="6">
        <v>800256</v>
      </c>
      <c r="L197" s="6"/>
      <c r="M197" s="6" t="s">
        <v>3004</v>
      </c>
      <c r="N197" s="46" t="s">
        <v>3003</v>
      </c>
      <c r="O197" s="6">
        <v>2109538822</v>
      </c>
      <c r="P197" s="78" t="s">
        <v>3002</v>
      </c>
      <c r="Q197" s="6">
        <v>10120</v>
      </c>
      <c r="R197" s="6">
        <v>27120</v>
      </c>
      <c r="S197" s="5" t="str">
        <f>VLOOKUP(T197,'[1]Kode Posisi'!$A$3:$B$45,2,)</f>
        <v>Outsourcing Keamanan</v>
      </c>
      <c r="T197" s="36" t="s">
        <v>37</v>
      </c>
      <c r="U197" s="44" t="s">
        <v>3001</v>
      </c>
      <c r="V197" s="44" t="s">
        <v>3000</v>
      </c>
      <c r="W197" s="36" t="s">
        <v>2999</v>
      </c>
      <c r="X197" s="36" t="s">
        <v>2998</v>
      </c>
      <c r="Y197" s="36" t="s">
        <v>262</v>
      </c>
      <c r="Z197" s="79" t="s">
        <v>2997</v>
      </c>
      <c r="AA197" s="36" t="s">
        <v>2996</v>
      </c>
      <c r="AB197" s="47">
        <v>3792000</v>
      </c>
      <c r="AC197" s="41">
        <v>3792000</v>
      </c>
      <c r="AD197" s="47">
        <v>3535000</v>
      </c>
      <c r="AE197" s="16">
        <f t="shared" si="97"/>
        <v>257000</v>
      </c>
      <c r="AF197" s="16">
        <v>0</v>
      </c>
      <c r="AG197" s="16">
        <v>0</v>
      </c>
      <c r="AH197" s="16"/>
      <c r="AI197" s="16">
        <v>0</v>
      </c>
      <c r="AJ197" s="16"/>
      <c r="AK197" s="16">
        <v>0</v>
      </c>
      <c r="AL197" s="11">
        <f t="shared" si="98"/>
        <v>3792000</v>
      </c>
      <c r="AM197" s="16">
        <f t="shared" si="99"/>
        <v>388300.79999999999</v>
      </c>
      <c r="AN197" s="16">
        <f t="shared" si="100"/>
        <v>151680</v>
      </c>
      <c r="AO197" s="16">
        <f t="shared" si="93"/>
        <v>236620.79999999999</v>
      </c>
      <c r="AP197" s="16">
        <f t="shared" si="101"/>
        <v>140304</v>
      </c>
      <c r="AQ197" s="16">
        <f t="shared" si="102"/>
        <v>4180300.8</v>
      </c>
      <c r="AR197" s="16">
        <f t="shared" si="89"/>
        <v>250818.04799999998</v>
      </c>
      <c r="AS197" s="16">
        <f t="shared" si="103"/>
        <v>27589.985279999997</v>
      </c>
      <c r="AT197" s="16">
        <f t="shared" si="104"/>
        <v>-5016.36096</v>
      </c>
      <c r="AU197" s="16">
        <f t="shared" si="105"/>
        <v>4426102.48704</v>
      </c>
      <c r="AV197" s="16">
        <f t="shared" si="106"/>
        <v>4431118.8480000002</v>
      </c>
      <c r="AW197" s="16">
        <f t="shared" si="107"/>
        <v>151680</v>
      </c>
      <c r="AX197" s="16" t="s">
        <v>503</v>
      </c>
      <c r="AY197" s="17"/>
      <c r="AZ197" s="17">
        <f t="shared" si="108"/>
        <v>2900</v>
      </c>
      <c r="BA197" s="16">
        <f t="shared" si="109"/>
        <v>3640320</v>
      </c>
      <c r="BB197" s="16">
        <f t="shared" si="110"/>
        <v>3637420</v>
      </c>
      <c r="BC197" s="15">
        <v>0.03</v>
      </c>
      <c r="BD197" s="15">
        <v>0.01</v>
      </c>
      <c r="BE197" s="37">
        <f t="shared" si="111"/>
        <v>350380.79999999999</v>
      </c>
      <c r="BF197" s="38">
        <f t="shared" si="112"/>
        <v>216144</v>
      </c>
      <c r="BG197" s="37">
        <f t="shared" si="116"/>
        <v>176750</v>
      </c>
      <c r="BH197" s="37">
        <f t="shared" si="113"/>
        <v>189600</v>
      </c>
      <c r="BI197">
        <v>176750</v>
      </c>
      <c r="BL197" s="8">
        <f t="shared" si="114"/>
        <v>0</v>
      </c>
      <c r="BM197" s="7" t="str">
        <f t="shared" si="94"/>
        <v>Terdaftar BPJS Kes &amp; Naker</v>
      </c>
      <c r="BN197" s="11">
        <f t="shared" si="95"/>
        <v>216144</v>
      </c>
      <c r="BO197" s="11">
        <f t="shared" si="96"/>
        <v>172156.80000000002</v>
      </c>
      <c r="BP197" s="9">
        <f t="shared" si="115"/>
        <v>0</v>
      </c>
      <c r="BQ197" t="str">
        <f>_xlfn.XLOOKUP(X197,'[2]NON TETAP'!$H:$H,'[2]NON TETAP'!$I:$I)</f>
        <v>GRAMEDIA ASRI MEDIA</v>
      </c>
    </row>
    <row r="198" spans="1:69" x14ac:dyDescent="0.3">
      <c r="A198" s="2">
        <v>197</v>
      </c>
      <c r="B198" s="5" t="s">
        <v>2995</v>
      </c>
      <c r="C198" s="6" t="s">
        <v>241</v>
      </c>
      <c r="D198" s="6"/>
      <c r="E198" s="6" t="s">
        <v>73</v>
      </c>
      <c r="F198" s="6" t="s">
        <v>73</v>
      </c>
      <c r="G198" s="6" t="s">
        <v>73</v>
      </c>
      <c r="H198" s="6"/>
      <c r="I198" s="6"/>
      <c r="J198" s="6"/>
      <c r="K198" s="6">
        <v>800257</v>
      </c>
      <c r="L198" s="6"/>
      <c r="M198" s="6" t="s">
        <v>2994</v>
      </c>
      <c r="N198" s="46" t="s">
        <v>2993</v>
      </c>
      <c r="O198" s="6">
        <v>2476202804</v>
      </c>
      <c r="P198" s="78" t="s">
        <v>2992</v>
      </c>
      <c r="Q198" s="6">
        <v>10103</v>
      </c>
      <c r="R198" s="6">
        <v>27103</v>
      </c>
      <c r="S198" s="5" t="str">
        <f>VLOOKUP(T198,'[1]Kode Posisi'!$A$3:$B$45,2,)</f>
        <v>Outsourcing Keamanan</v>
      </c>
      <c r="T198" s="36" t="s">
        <v>37</v>
      </c>
      <c r="U198" s="44" t="s">
        <v>1486</v>
      </c>
      <c r="V198" s="44" t="s">
        <v>2991</v>
      </c>
      <c r="W198" s="36" t="s">
        <v>1484</v>
      </c>
      <c r="X198" s="36" t="s">
        <v>1483</v>
      </c>
      <c r="Y198" s="36" t="s">
        <v>52</v>
      </c>
      <c r="Z198" s="79" t="s">
        <v>2990</v>
      </c>
      <c r="AA198" s="36" t="s">
        <v>2989</v>
      </c>
      <c r="AB198" s="47">
        <v>3792000</v>
      </c>
      <c r="AC198" s="41">
        <v>3792000</v>
      </c>
      <c r="AD198" s="47">
        <v>3535000</v>
      </c>
      <c r="AE198" s="16">
        <f t="shared" si="97"/>
        <v>257000</v>
      </c>
      <c r="AF198" s="16">
        <v>0</v>
      </c>
      <c r="AG198" s="16">
        <v>0</v>
      </c>
      <c r="AH198" s="16"/>
      <c r="AI198" s="16">
        <v>0</v>
      </c>
      <c r="AJ198" s="16"/>
      <c r="AK198" s="16">
        <v>0</v>
      </c>
      <c r="AL198" s="11">
        <f t="shared" si="98"/>
        <v>3792000</v>
      </c>
      <c r="AM198" s="16">
        <f t="shared" si="99"/>
        <v>388300.79999999999</v>
      </c>
      <c r="AN198" s="16">
        <f t="shared" si="100"/>
        <v>151680</v>
      </c>
      <c r="AO198" s="16">
        <f t="shared" si="93"/>
        <v>236620.79999999999</v>
      </c>
      <c r="AP198" s="16">
        <f t="shared" si="101"/>
        <v>140304</v>
      </c>
      <c r="AQ198" s="16">
        <f t="shared" si="102"/>
        <v>4180300.8</v>
      </c>
      <c r="AR198" s="16">
        <f t="shared" si="89"/>
        <v>250818.04799999998</v>
      </c>
      <c r="AS198" s="16">
        <f t="shared" si="103"/>
        <v>27589.985279999997</v>
      </c>
      <c r="AT198" s="16">
        <f t="shared" si="104"/>
        <v>-5016.36096</v>
      </c>
      <c r="AU198" s="16">
        <f t="shared" si="105"/>
        <v>4426102.48704</v>
      </c>
      <c r="AV198" s="16">
        <f t="shared" si="106"/>
        <v>4431118.8480000002</v>
      </c>
      <c r="AW198" s="16">
        <f t="shared" si="107"/>
        <v>151680</v>
      </c>
      <c r="AX198" s="16" t="s">
        <v>235</v>
      </c>
      <c r="AY198" s="17"/>
      <c r="AZ198" s="17">
        <f t="shared" si="108"/>
        <v>0</v>
      </c>
      <c r="BA198" s="16">
        <f t="shared" si="109"/>
        <v>3640320</v>
      </c>
      <c r="BB198" s="16">
        <f t="shared" si="110"/>
        <v>3640320</v>
      </c>
      <c r="BC198" s="15">
        <v>0.03</v>
      </c>
      <c r="BD198" s="15">
        <v>0.01</v>
      </c>
      <c r="BE198" s="37">
        <f t="shared" si="111"/>
        <v>350380.79999999999</v>
      </c>
      <c r="BF198" s="38">
        <f t="shared" si="112"/>
        <v>216144</v>
      </c>
      <c r="BG198" s="37">
        <f t="shared" si="116"/>
        <v>176750</v>
      </c>
      <c r="BH198" s="37">
        <f t="shared" si="113"/>
        <v>189600</v>
      </c>
      <c r="BI198">
        <v>176750</v>
      </c>
      <c r="BL198" s="8">
        <f t="shared" si="114"/>
        <v>0</v>
      </c>
      <c r="BM198" s="7" t="str">
        <f t="shared" si="94"/>
        <v>Terdaftar BPJS Kes &amp; Naker</v>
      </c>
      <c r="BN198" s="11">
        <f t="shared" si="95"/>
        <v>216144</v>
      </c>
      <c r="BO198" s="11">
        <f t="shared" si="96"/>
        <v>172156.80000000002</v>
      </c>
      <c r="BP198" s="9">
        <f t="shared" si="115"/>
        <v>0</v>
      </c>
      <c r="BQ198" t="str">
        <f>_xlfn.XLOOKUP(X198,'[2]NON TETAP'!$H:$H,'[2]NON TETAP'!$I:$I)</f>
        <v>GRAMEDIA ASRI MEDIA</v>
      </c>
    </row>
    <row r="199" spans="1:69" x14ac:dyDescent="0.3">
      <c r="A199" s="2">
        <v>198</v>
      </c>
      <c r="B199" s="5" t="s">
        <v>2984</v>
      </c>
      <c r="C199" s="6" t="s">
        <v>241</v>
      </c>
      <c r="D199" s="6"/>
      <c r="E199" s="6" t="s">
        <v>73</v>
      </c>
      <c r="F199" s="6" t="s">
        <v>73</v>
      </c>
      <c r="G199" s="6" t="s">
        <v>73</v>
      </c>
      <c r="H199" s="6"/>
      <c r="I199" s="6"/>
      <c r="J199" s="6"/>
      <c r="K199" s="6">
        <v>800258</v>
      </c>
      <c r="L199" s="6"/>
      <c r="M199" s="6"/>
      <c r="N199" s="46" t="s">
        <v>2988</v>
      </c>
      <c r="O199" s="6">
        <v>2356986699</v>
      </c>
      <c r="P199" s="78" t="s">
        <v>2987</v>
      </c>
      <c r="Q199" s="6">
        <v>10184</v>
      </c>
      <c r="R199" s="6">
        <v>27184</v>
      </c>
      <c r="S199" s="5" t="str">
        <f>VLOOKUP(T199,'[1]Kode Posisi'!$A$3:$B$45,2,)</f>
        <v>Outsourcing Keamanan</v>
      </c>
      <c r="T199" s="36" t="s">
        <v>37</v>
      </c>
      <c r="U199" s="44" t="s">
        <v>1181</v>
      </c>
      <c r="V199" s="44" t="s">
        <v>2986</v>
      </c>
      <c r="W199" s="36" t="s">
        <v>1179</v>
      </c>
      <c r="X199" s="36" t="s">
        <v>1178</v>
      </c>
      <c r="Y199" s="36" t="s">
        <v>473</v>
      </c>
      <c r="Z199" s="79" t="s">
        <v>2985</v>
      </c>
      <c r="AA199" s="36" t="s">
        <v>2984</v>
      </c>
      <c r="AB199" s="47">
        <v>3792000</v>
      </c>
      <c r="AC199" s="41">
        <v>3792000</v>
      </c>
      <c r="AD199" s="47">
        <v>3535000</v>
      </c>
      <c r="AE199" s="16">
        <f t="shared" si="97"/>
        <v>257000</v>
      </c>
      <c r="AF199" s="16">
        <v>0</v>
      </c>
      <c r="AG199" s="16">
        <v>0</v>
      </c>
      <c r="AH199" s="16"/>
      <c r="AI199" s="16">
        <v>0</v>
      </c>
      <c r="AJ199" s="16"/>
      <c r="AK199" s="16">
        <v>0</v>
      </c>
      <c r="AL199" s="11">
        <f t="shared" si="98"/>
        <v>3792000</v>
      </c>
      <c r="AM199" s="16">
        <f t="shared" si="99"/>
        <v>388300.79999999999</v>
      </c>
      <c r="AN199" s="16">
        <f t="shared" si="100"/>
        <v>151680</v>
      </c>
      <c r="AO199" s="16">
        <f t="shared" si="93"/>
        <v>236620.79999999999</v>
      </c>
      <c r="AP199" s="16">
        <f t="shared" si="101"/>
        <v>140304</v>
      </c>
      <c r="AQ199" s="16">
        <f t="shared" si="102"/>
        <v>4180300.8</v>
      </c>
      <c r="AR199" s="16">
        <f t="shared" si="89"/>
        <v>250818.04799999998</v>
      </c>
      <c r="AS199" s="16">
        <f t="shared" si="103"/>
        <v>27589.985279999997</v>
      </c>
      <c r="AT199" s="16">
        <f t="shared" si="104"/>
        <v>-5016.36096</v>
      </c>
      <c r="AU199" s="16">
        <f t="shared" si="105"/>
        <v>4426102.48704</v>
      </c>
      <c r="AV199" s="16">
        <f t="shared" si="106"/>
        <v>4431118.8480000002</v>
      </c>
      <c r="AW199" s="16">
        <f t="shared" si="107"/>
        <v>151680</v>
      </c>
      <c r="AX199" s="16" t="s">
        <v>235</v>
      </c>
      <c r="AY199" s="17"/>
      <c r="AZ199" s="17">
        <f t="shared" si="108"/>
        <v>2900</v>
      </c>
      <c r="BA199" s="16">
        <f t="shared" si="109"/>
        <v>3640320</v>
      </c>
      <c r="BB199" s="16">
        <f t="shared" si="110"/>
        <v>3637420</v>
      </c>
      <c r="BC199" s="15">
        <v>0.03</v>
      </c>
      <c r="BD199" s="15">
        <v>0.01</v>
      </c>
      <c r="BE199" s="37">
        <f t="shared" si="111"/>
        <v>350380.79999999999</v>
      </c>
      <c r="BF199" s="38">
        <f t="shared" si="112"/>
        <v>216144</v>
      </c>
      <c r="BG199" s="37">
        <f t="shared" si="116"/>
        <v>176750</v>
      </c>
      <c r="BH199" s="37">
        <f t="shared" si="113"/>
        <v>189600</v>
      </c>
      <c r="BI199">
        <v>176750</v>
      </c>
      <c r="BL199" s="8">
        <f t="shared" si="114"/>
        <v>0</v>
      </c>
      <c r="BM199" s="7" t="str">
        <f t="shared" si="94"/>
        <v>Terdaftar BPJS Kes &amp; Naker</v>
      </c>
      <c r="BN199" s="11">
        <f t="shared" si="95"/>
        <v>216144</v>
      </c>
      <c r="BO199" s="11">
        <f t="shared" si="96"/>
        <v>172156.80000000002</v>
      </c>
      <c r="BP199" s="9">
        <f t="shared" si="115"/>
        <v>0</v>
      </c>
      <c r="BQ199" t="str">
        <f>_xlfn.XLOOKUP(X199,'[2]NON TETAP'!$H:$H,'[2]NON TETAP'!$I:$I)</f>
        <v>GRAMEDIA ASRI MEDIA</v>
      </c>
    </row>
    <row r="200" spans="1:69" x14ac:dyDescent="0.3">
      <c r="A200" s="2">
        <v>199</v>
      </c>
      <c r="B200" s="5" t="s">
        <v>2983</v>
      </c>
      <c r="C200" s="6" t="s">
        <v>241</v>
      </c>
      <c r="D200" s="6"/>
      <c r="E200" s="6" t="s">
        <v>73</v>
      </c>
      <c r="F200" s="6" t="s">
        <v>73</v>
      </c>
      <c r="G200" s="6"/>
      <c r="H200" s="6"/>
      <c r="I200" s="6">
        <v>184000</v>
      </c>
      <c r="J200" s="6"/>
      <c r="K200" s="6">
        <v>800261</v>
      </c>
      <c r="L200" s="6"/>
      <c r="M200" s="6" t="s">
        <v>2982</v>
      </c>
      <c r="N200" s="46" t="s">
        <v>2981</v>
      </c>
      <c r="O200" s="6">
        <v>1237005268</v>
      </c>
      <c r="P200" s="78" t="s">
        <v>2980</v>
      </c>
      <c r="Q200" s="6">
        <v>10404</v>
      </c>
      <c r="R200" s="6">
        <v>27404</v>
      </c>
      <c r="S200" s="5" t="str">
        <f>VLOOKUP(T200,'[1]Kode Posisi'!$A$3:$B$45,2,)</f>
        <v>Outsourcing Keamanan</v>
      </c>
      <c r="T200" s="36" t="s">
        <v>37</v>
      </c>
      <c r="U200" s="44" t="s">
        <v>2979</v>
      </c>
      <c r="V200" s="44" t="s">
        <v>2978</v>
      </c>
      <c r="W200" s="36" t="s">
        <v>2977</v>
      </c>
      <c r="X200" s="36" t="s">
        <v>2976</v>
      </c>
      <c r="Y200" s="36" t="s">
        <v>52</v>
      </c>
      <c r="Z200" s="79" t="s">
        <v>2975</v>
      </c>
      <c r="AA200" s="36" t="s">
        <v>2974</v>
      </c>
      <c r="AB200" s="47">
        <v>3222000</v>
      </c>
      <c r="AC200" s="47">
        <v>3406000</v>
      </c>
      <c r="AD200" s="47">
        <v>3222000</v>
      </c>
      <c r="AE200" s="16">
        <f t="shared" si="97"/>
        <v>0</v>
      </c>
      <c r="AF200" s="16">
        <v>0</v>
      </c>
      <c r="AG200" s="16">
        <v>0</v>
      </c>
      <c r="AH200" s="16"/>
      <c r="AI200" s="16">
        <v>0</v>
      </c>
      <c r="AJ200" s="16"/>
      <c r="AK200" s="16">
        <v>0</v>
      </c>
      <c r="AL200" s="11">
        <f t="shared" si="98"/>
        <v>3222000</v>
      </c>
      <c r="AM200" s="16">
        <f t="shared" si="99"/>
        <v>348774.40000000002</v>
      </c>
      <c r="AN200" s="16">
        <f t="shared" si="100"/>
        <v>136240</v>
      </c>
      <c r="AO200" s="16">
        <f t="shared" si="93"/>
        <v>212534.39999999999</v>
      </c>
      <c r="AP200" s="16">
        <f t="shared" si="101"/>
        <v>119214</v>
      </c>
      <c r="AQ200" s="16">
        <f t="shared" si="102"/>
        <v>3570774.4</v>
      </c>
      <c r="AR200" s="16">
        <f t="shared" si="89"/>
        <v>214246.46399999998</v>
      </c>
      <c r="AS200" s="16">
        <f t="shared" si="103"/>
        <v>23567.111039999996</v>
      </c>
      <c r="AT200" s="16">
        <f t="shared" si="104"/>
        <v>-4284.9292799999994</v>
      </c>
      <c r="AU200" s="16">
        <f t="shared" si="105"/>
        <v>3780735.9347200003</v>
      </c>
      <c r="AV200" s="16">
        <f t="shared" si="106"/>
        <v>3785020.8640000001</v>
      </c>
      <c r="AW200" s="16">
        <f t="shared" si="107"/>
        <v>136240</v>
      </c>
      <c r="AX200" s="16" t="s">
        <v>243</v>
      </c>
      <c r="AY200" s="17"/>
      <c r="AZ200" s="17">
        <f t="shared" si="108"/>
        <v>0</v>
      </c>
      <c r="BA200" s="16">
        <f t="shared" si="109"/>
        <v>3085760</v>
      </c>
      <c r="BB200" s="16">
        <f t="shared" si="110"/>
        <v>3085760</v>
      </c>
      <c r="BC200" s="15">
        <v>0.03</v>
      </c>
      <c r="BD200" s="15">
        <v>0.01</v>
      </c>
      <c r="BE200" s="37">
        <f t="shared" si="111"/>
        <v>314714.39999999997</v>
      </c>
      <c r="BF200" s="38">
        <f t="shared" si="112"/>
        <v>194142</v>
      </c>
      <c r="BG200" s="37">
        <f t="shared" si="116"/>
        <v>161100</v>
      </c>
      <c r="BH200" s="37">
        <f t="shared" si="113"/>
        <v>170300</v>
      </c>
      <c r="BI200">
        <v>161100</v>
      </c>
      <c r="BL200" s="8">
        <f t="shared" si="114"/>
        <v>0</v>
      </c>
      <c r="BM200" s="7" t="str">
        <f t="shared" si="94"/>
        <v>Terdaftar BPJS Kes &amp; Naker</v>
      </c>
      <c r="BN200" s="11">
        <f t="shared" si="95"/>
        <v>194142</v>
      </c>
      <c r="BO200" s="11">
        <f t="shared" si="96"/>
        <v>154632.40000000002</v>
      </c>
      <c r="BP200" s="9">
        <f t="shared" si="115"/>
        <v>0</v>
      </c>
      <c r="BQ200" t="str">
        <f>_xlfn.XLOOKUP(X200,'[2]NON TETAP'!$H:$H,'[2]NON TETAP'!$I:$I)</f>
        <v>GRAMEDIA ASRI MEDIA</v>
      </c>
    </row>
    <row r="201" spans="1:69" x14ac:dyDescent="0.3">
      <c r="A201" s="2">
        <v>200</v>
      </c>
      <c r="B201" s="4" t="s">
        <v>2969</v>
      </c>
      <c r="C201" s="6" t="s">
        <v>241</v>
      </c>
      <c r="D201" s="6"/>
      <c r="E201" s="6" t="s">
        <v>73</v>
      </c>
      <c r="F201" s="6" t="s">
        <v>73</v>
      </c>
      <c r="G201" s="6"/>
      <c r="H201" s="6"/>
      <c r="I201" s="2"/>
      <c r="J201" s="2"/>
      <c r="K201" s="6">
        <v>800262</v>
      </c>
      <c r="L201" s="6"/>
      <c r="M201" s="6"/>
      <c r="N201" s="46" t="s">
        <v>2973</v>
      </c>
      <c r="O201" s="6">
        <v>1541298554</v>
      </c>
      <c r="P201" s="78" t="s">
        <v>2972</v>
      </c>
      <c r="Q201" s="6">
        <v>10118</v>
      </c>
      <c r="R201" s="6">
        <v>27118</v>
      </c>
      <c r="S201" s="5" t="str">
        <f>VLOOKUP(T201,'[1]Kode Posisi'!$A$3:$B$45,2,)</f>
        <v>Outsourcing Keamanan</v>
      </c>
      <c r="T201" s="36" t="s">
        <v>37</v>
      </c>
      <c r="U201" s="44" t="s">
        <v>1464</v>
      </c>
      <c r="V201" s="44" t="s">
        <v>2971</v>
      </c>
      <c r="W201" s="36" t="s">
        <v>1462</v>
      </c>
      <c r="X201" s="36" t="s">
        <v>1461</v>
      </c>
      <c r="Y201" s="36" t="s">
        <v>1294</v>
      </c>
      <c r="Z201" s="79" t="s">
        <v>2970</v>
      </c>
      <c r="AA201" s="36" t="s">
        <v>2969</v>
      </c>
      <c r="AB201" s="47">
        <v>3013000</v>
      </c>
      <c r="AC201" s="41">
        <v>3013000</v>
      </c>
      <c r="AD201" s="47">
        <v>2839000</v>
      </c>
      <c r="AE201" s="16">
        <f t="shared" si="97"/>
        <v>174000</v>
      </c>
      <c r="AF201" s="16">
        <v>0</v>
      </c>
      <c r="AG201" s="16">
        <v>0</v>
      </c>
      <c r="AH201" s="16"/>
      <c r="AI201" s="16">
        <v>0</v>
      </c>
      <c r="AJ201" s="16"/>
      <c r="AK201" s="16">
        <v>0</v>
      </c>
      <c r="AL201" s="11">
        <f t="shared" si="98"/>
        <v>3013000</v>
      </c>
      <c r="AM201" s="16">
        <f t="shared" si="99"/>
        <v>308531.19999999995</v>
      </c>
      <c r="AN201" s="16">
        <f t="shared" si="100"/>
        <v>120520</v>
      </c>
      <c r="AO201" s="16">
        <f t="shared" si="93"/>
        <v>188011.19999999998</v>
      </c>
      <c r="AP201" s="16">
        <f t="shared" si="101"/>
        <v>111481</v>
      </c>
      <c r="AQ201" s="16">
        <f t="shared" si="102"/>
        <v>3321531.2</v>
      </c>
      <c r="AR201" s="16">
        <f t="shared" si="89"/>
        <v>199291.872</v>
      </c>
      <c r="AS201" s="16">
        <f t="shared" si="103"/>
        <v>21922.105920000002</v>
      </c>
      <c r="AT201" s="16">
        <f t="shared" si="104"/>
        <v>-3985.8374400000002</v>
      </c>
      <c r="AU201" s="16">
        <f t="shared" si="105"/>
        <v>3516837.2345600002</v>
      </c>
      <c r="AV201" s="16">
        <f t="shared" si="106"/>
        <v>3520823.0720000002</v>
      </c>
      <c r="AW201" s="16">
        <f t="shared" si="107"/>
        <v>120520</v>
      </c>
      <c r="AX201" s="16" t="s">
        <v>286</v>
      </c>
      <c r="AY201" s="17"/>
      <c r="AZ201" s="17">
        <f t="shared" si="108"/>
        <v>2900</v>
      </c>
      <c r="BA201" s="16">
        <f t="shared" si="109"/>
        <v>2892480</v>
      </c>
      <c r="BB201" s="16">
        <f t="shared" si="110"/>
        <v>2889580</v>
      </c>
      <c r="BC201" s="15">
        <v>0.03</v>
      </c>
      <c r="BD201" s="15">
        <v>0.01</v>
      </c>
      <c r="BE201" s="37">
        <f t="shared" si="111"/>
        <v>278401.2</v>
      </c>
      <c r="BF201" s="38">
        <f t="shared" si="112"/>
        <v>171741.00000000003</v>
      </c>
      <c r="BG201" s="37">
        <f t="shared" si="116"/>
        <v>141950</v>
      </c>
      <c r="BH201" s="37">
        <f t="shared" si="113"/>
        <v>150650</v>
      </c>
      <c r="BI201">
        <v>141950</v>
      </c>
      <c r="BL201" s="8">
        <f t="shared" si="114"/>
        <v>0</v>
      </c>
      <c r="BM201" s="7" t="str">
        <f t="shared" si="94"/>
        <v>Terdaftar BPJS Kes &amp; Naker</v>
      </c>
      <c r="BN201" s="11">
        <f t="shared" si="95"/>
        <v>171741</v>
      </c>
      <c r="BO201" s="11">
        <f t="shared" si="96"/>
        <v>136790.20000000001</v>
      </c>
      <c r="BP201" s="9">
        <f t="shared" si="115"/>
        <v>0</v>
      </c>
      <c r="BQ201" t="str">
        <f>_xlfn.XLOOKUP(X201,'[2]NON TETAP'!$H:$H,'[2]NON TETAP'!$I:$I)</f>
        <v>GRAMEDIA ASRI MEDIA</v>
      </c>
    </row>
    <row r="202" spans="1:69" x14ac:dyDescent="0.3">
      <c r="A202" s="2">
        <v>201</v>
      </c>
      <c r="B202" s="4" t="s">
        <v>2964</v>
      </c>
      <c r="C202" s="6" t="s">
        <v>241</v>
      </c>
      <c r="D202" s="6"/>
      <c r="E202" s="6" t="s">
        <v>73</v>
      </c>
      <c r="F202" s="6" t="s">
        <v>73</v>
      </c>
      <c r="G202" s="6"/>
      <c r="H202" s="6"/>
      <c r="I202" s="2"/>
      <c r="J202" s="2"/>
      <c r="K202" s="6">
        <v>800263</v>
      </c>
      <c r="L202" s="6"/>
      <c r="M202" s="6"/>
      <c r="N202" s="46" t="s">
        <v>2968</v>
      </c>
      <c r="O202" s="6">
        <v>2079679059</v>
      </c>
      <c r="P202" s="78" t="s">
        <v>2967</v>
      </c>
      <c r="Q202" s="6">
        <v>10118</v>
      </c>
      <c r="R202" s="6">
        <v>27118</v>
      </c>
      <c r="S202" s="5" t="str">
        <f>VLOOKUP(T202,'[1]Kode Posisi'!$A$3:$B$45,2,)</f>
        <v>Outsourcing Keamanan</v>
      </c>
      <c r="T202" s="36" t="s">
        <v>37</v>
      </c>
      <c r="U202" s="44" t="s">
        <v>1464</v>
      </c>
      <c r="V202" s="44" t="s">
        <v>2966</v>
      </c>
      <c r="W202" s="36" t="s">
        <v>1462</v>
      </c>
      <c r="X202" s="36" t="s">
        <v>1461</v>
      </c>
      <c r="Y202" s="36" t="s">
        <v>52</v>
      </c>
      <c r="Z202" s="79" t="s">
        <v>2965</v>
      </c>
      <c r="AA202" s="36" t="s">
        <v>2964</v>
      </c>
      <c r="AB202" s="47">
        <v>3013000</v>
      </c>
      <c r="AC202" s="41">
        <v>3013000</v>
      </c>
      <c r="AD202" s="47">
        <v>2839000</v>
      </c>
      <c r="AE202" s="16">
        <f t="shared" si="97"/>
        <v>174000</v>
      </c>
      <c r="AF202" s="16">
        <v>0</v>
      </c>
      <c r="AG202" s="16">
        <v>0</v>
      </c>
      <c r="AH202" s="16"/>
      <c r="AI202" s="16">
        <v>0</v>
      </c>
      <c r="AJ202" s="16"/>
      <c r="AK202" s="16">
        <v>0</v>
      </c>
      <c r="AL202" s="11">
        <f t="shared" si="98"/>
        <v>3013000</v>
      </c>
      <c r="AM202" s="16">
        <f t="shared" si="99"/>
        <v>308531.19999999995</v>
      </c>
      <c r="AN202" s="16">
        <f t="shared" si="100"/>
        <v>120520</v>
      </c>
      <c r="AO202" s="16">
        <f t="shared" si="93"/>
        <v>188011.19999999998</v>
      </c>
      <c r="AP202" s="16">
        <f t="shared" si="101"/>
        <v>111481</v>
      </c>
      <c r="AQ202" s="16">
        <f t="shared" si="102"/>
        <v>3321531.2</v>
      </c>
      <c r="AR202" s="16">
        <f t="shared" si="89"/>
        <v>199291.872</v>
      </c>
      <c r="AS202" s="16">
        <f t="shared" si="103"/>
        <v>21922.105920000002</v>
      </c>
      <c r="AT202" s="16">
        <f t="shared" si="104"/>
        <v>-3985.8374400000002</v>
      </c>
      <c r="AU202" s="16">
        <f t="shared" si="105"/>
        <v>3516837.2345600002</v>
      </c>
      <c r="AV202" s="16">
        <f t="shared" si="106"/>
        <v>3520823.0720000002</v>
      </c>
      <c r="AW202" s="16">
        <f t="shared" si="107"/>
        <v>120520</v>
      </c>
      <c r="AX202" s="16" t="s">
        <v>286</v>
      </c>
      <c r="AY202" s="17"/>
      <c r="AZ202" s="17">
        <f t="shared" si="108"/>
        <v>0</v>
      </c>
      <c r="BA202" s="16">
        <f t="shared" si="109"/>
        <v>2892480</v>
      </c>
      <c r="BB202" s="16">
        <f t="shared" si="110"/>
        <v>2892480</v>
      </c>
      <c r="BC202" s="15">
        <v>0.03</v>
      </c>
      <c r="BD202" s="15">
        <v>0.01</v>
      </c>
      <c r="BE202" s="37">
        <f t="shared" si="111"/>
        <v>278401.2</v>
      </c>
      <c r="BF202" s="38">
        <f t="shared" si="112"/>
        <v>171741.00000000003</v>
      </c>
      <c r="BG202" s="37">
        <f t="shared" si="116"/>
        <v>141950</v>
      </c>
      <c r="BH202" s="37">
        <f t="shared" si="113"/>
        <v>150650</v>
      </c>
      <c r="BI202">
        <v>141950</v>
      </c>
      <c r="BL202" s="8">
        <f t="shared" si="114"/>
        <v>0</v>
      </c>
      <c r="BM202" s="7" t="str">
        <f t="shared" si="94"/>
        <v>Terdaftar BPJS Kes &amp; Naker</v>
      </c>
      <c r="BN202" s="11">
        <f t="shared" si="95"/>
        <v>171741</v>
      </c>
      <c r="BO202" s="11">
        <f t="shared" si="96"/>
        <v>136790.20000000001</v>
      </c>
      <c r="BP202" s="9">
        <f t="shared" si="115"/>
        <v>0</v>
      </c>
      <c r="BQ202" t="str">
        <f>_xlfn.XLOOKUP(X202,'[2]NON TETAP'!$H:$H,'[2]NON TETAP'!$I:$I)</f>
        <v>GRAMEDIA ASRI MEDIA</v>
      </c>
    </row>
    <row r="203" spans="1:69" x14ac:dyDescent="0.3">
      <c r="A203" s="2">
        <v>202</v>
      </c>
      <c r="B203" s="4" t="s">
        <v>2963</v>
      </c>
      <c r="C203" s="6" t="s">
        <v>241</v>
      </c>
      <c r="D203" s="6"/>
      <c r="E203" s="6" t="s">
        <v>73</v>
      </c>
      <c r="F203" s="6" t="s">
        <v>73</v>
      </c>
      <c r="G203" s="6"/>
      <c r="H203" s="6"/>
      <c r="I203" s="2"/>
      <c r="J203" s="2"/>
      <c r="K203" s="6">
        <v>800264</v>
      </c>
      <c r="L203" s="6"/>
      <c r="M203" s="6"/>
      <c r="N203" s="46" t="s">
        <v>2962</v>
      </c>
      <c r="O203" s="6">
        <v>2143562343</v>
      </c>
      <c r="P203" s="78" t="s">
        <v>2961</v>
      </c>
      <c r="Q203" s="6">
        <v>10118</v>
      </c>
      <c r="R203" s="6">
        <v>27118</v>
      </c>
      <c r="S203" s="5" t="str">
        <f>VLOOKUP(T203,'[1]Kode Posisi'!$A$3:$B$45,2,)</f>
        <v>Outsourcing Keamanan</v>
      </c>
      <c r="T203" s="36" t="s">
        <v>37</v>
      </c>
      <c r="U203" s="44" t="s">
        <v>1464</v>
      </c>
      <c r="V203" s="44" t="s">
        <v>2960</v>
      </c>
      <c r="W203" s="36" t="s">
        <v>1462</v>
      </c>
      <c r="X203" s="36" t="s">
        <v>1461</v>
      </c>
      <c r="Y203" s="36" t="s">
        <v>1294</v>
      </c>
      <c r="Z203" s="79" t="s">
        <v>2959</v>
      </c>
      <c r="AA203" s="36" t="s">
        <v>2958</v>
      </c>
      <c r="AB203" s="47">
        <v>3013000</v>
      </c>
      <c r="AC203" s="41">
        <v>3013000</v>
      </c>
      <c r="AD203" s="47">
        <v>2839000</v>
      </c>
      <c r="AE203" s="16">
        <f t="shared" si="97"/>
        <v>174000</v>
      </c>
      <c r="AF203" s="16">
        <v>0</v>
      </c>
      <c r="AG203" s="16">
        <v>0</v>
      </c>
      <c r="AH203" s="16"/>
      <c r="AI203" s="16">
        <v>0</v>
      </c>
      <c r="AJ203" s="16"/>
      <c r="AK203" s="16">
        <v>0</v>
      </c>
      <c r="AL203" s="11">
        <f t="shared" si="98"/>
        <v>3013000</v>
      </c>
      <c r="AM203" s="16">
        <f t="shared" si="99"/>
        <v>308531.19999999995</v>
      </c>
      <c r="AN203" s="16">
        <f t="shared" si="100"/>
        <v>120520</v>
      </c>
      <c r="AO203" s="16">
        <f t="shared" si="93"/>
        <v>188011.19999999998</v>
      </c>
      <c r="AP203" s="16">
        <f t="shared" si="101"/>
        <v>111481</v>
      </c>
      <c r="AQ203" s="16">
        <f t="shared" si="102"/>
        <v>3321531.2</v>
      </c>
      <c r="AR203" s="16">
        <f t="shared" si="89"/>
        <v>199291.872</v>
      </c>
      <c r="AS203" s="16">
        <f t="shared" si="103"/>
        <v>21922.105920000002</v>
      </c>
      <c r="AT203" s="16">
        <f t="shared" si="104"/>
        <v>-3985.8374400000002</v>
      </c>
      <c r="AU203" s="16">
        <f t="shared" si="105"/>
        <v>3516837.2345600002</v>
      </c>
      <c r="AV203" s="16">
        <f t="shared" si="106"/>
        <v>3520823.0720000002</v>
      </c>
      <c r="AW203" s="16">
        <f t="shared" si="107"/>
        <v>120520</v>
      </c>
      <c r="AX203" s="16" t="s">
        <v>235</v>
      </c>
      <c r="AY203" s="17"/>
      <c r="AZ203" s="17">
        <f t="shared" si="108"/>
        <v>2900</v>
      </c>
      <c r="BA203" s="16">
        <f t="shared" si="109"/>
        <v>2892480</v>
      </c>
      <c r="BB203" s="16">
        <f t="shared" si="110"/>
        <v>2889580</v>
      </c>
      <c r="BC203" s="15">
        <v>0.03</v>
      </c>
      <c r="BD203" s="15">
        <v>0.01</v>
      </c>
      <c r="BE203" s="37">
        <f t="shared" si="111"/>
        <v>278401.2</v>
      </c>
      <c r="BF203" s="38">
        <f t="shared" si="112"/>
        <v>171741.00000000003</v>
      </c>
      <c r="BG203" s="37">
        <f t="shared" si="116"/>
        <v>141950</v>
      </c>
      <c r="BH203" s="37">
        <f t="shared" si="113"/>
        <v>150650</v>
      </c>
      <c r="BI203">
        <v>141950</v>
      </c>
      <c r="BL203" s="8">
        <f t="shared" si="114"/>
        <v>0</v>
      </c>
      <c r="BM203" s="7" t="str">
        <f t="shared" si="94"/>
        <v>Terdaftar BPJS Kes &amp; Naker</v>
      </c>
      <c r="BN203" s="11">
        <f t="shared" si="95"/>
        <v>171741</v>
      </c>
      <c r="BO203" s="11">
        <f t="shared" si="96"/>
        <v>136790.20000000001</v>
      </c>
      <c r="BP203" s="9">
        <f t="shared" si="115"/>
        <v>0</v>
      </c>
      <c r="BQ203" t="str">
        <f>_xlfn.XLOOKUP(X203,'[2]NON TETAP'!$H:$H,'[2]NON TETAP'!$I:$I)</f>
        <v>GRAMEDIA ASRI MEDIA</v>
      </c>
    </row>
    <row r="204" spans="1:69" x14ac:dyDescent="0.3">
      <c r="A204" s="2">
        <v>203</v>
      </c>
      <c r="B204" s="4" t="s">
        <v>2953</v>
      </c>
      <c r="C204" s="6" t="s">
        <v>241</v>
      </c>
      <c r="D204" s="6"/>
      <c r="E204" s="6" t="s">
        <v>73</v>
      </c>
      <c r="F204" s="6" t="s">
        <v>73</v>
      </c>
      <c r="G204" s="6"/>
      <c r="H204" s="6"/>
      <c r="I204" s="2"/>
      <c r="J204" s="2"/>
      <c r="K204" s="6">
        <v>800265</v>
      </c>
      <c r="L204" s="6"/>
      <c r="M204" s="6"/>
      <c r="N204" s="46" t="s">
        <v>2957</v>
      </c>
      <c r="O204" s="6">
        <v>1542986515</v>
      </c>
      <c r="P204" s="78" t="s">
        <v>2956</v>
      </c>
      <c r="Q204" s="6">
        <v>10118</v>
      </c>
      <c r="R204" s="6">
        <v>27118</v>
      </c>
      <c r="S204" s="5" t="str">
        <f>VLOOKUP(T204,'[1]Kode Posisi'!$A$3:$B$45,2,)</f>
        <v>Outsourcing Keamanan</v>
      </c>
      <c r="T204" s="36" t="s">
        <v>37</v>
      </c>
      <c r="U204" s="44" t="s">
        <v>1464</v>
      </c>
      <c r="V204" s="44" t="s">
        <v>2955</v>
      </c>
      <c r="W204" s="36" t="s">
        <v>1462</v>
      </c>
      <c r="X204" s="36" t="s">
        <v>1461</v>
      </c>
      <c r="Y204" s="36" t="s">
        <v>52</v>
      </c>
      <c r="Z204" s="79" t="s">
        <v>2954</v>
      </c>
      <c r="AA204" s="36" t="s">
        <v>2953</v>
      </c>
      <c r="AB204" s="47">
        <v>3013000</v>
      </c>
      <c r="AC204" s="41">
        <v>3013000</v>
      </c>
      <c r="AD204" s="47">
        <v>2839000</v>
      </c>
      <c r="AE204" s="16">
        <f t="shared" si="97"/>
        <v>174000</v>
      </c>
      <c r="AF204" s="16">
        <v>0</v>
      </c>
      <c r="AG204" s="16">
        <v>0</v>
      </c>
      <c r="AH204" s="16"/>
      <c r="AI204" s="16">
        <v>0</v>
      </c>
      <c r="AJ204" s="16"/>
      <c r="AK204" s="16">
        <v>0</v>
      </c>
      <c r="AL204" s="11">
        <f t="shared" si="98"/>
        <v>3013000</v>
      </c>
      <c r="AM204" s="16">
        <f t="shared" si="99"/>
        <v>308531.19999999995</v>
      </c>
      <c r="AN204" s="16">
        <f t="shared" si="100"/>
        <v>120520</v>
      </c>
      <c r="AO204" s="16">
        <f t="shared" si="93"/>
        <v>188011.19999999998</v>
      </c>
      <c r="AP204" s="16">
        <f t="shared" si="101"/>
        <v>111481</v>
      </c>
      <c r="AQ204" s="16">
        <f t="shared" si="102"/>
        <v>3321531.2</v>
      </c>
      <c r="AR204" s="16">
        <f t="shared" si="89"/>
        <v>199291.872</v>
      </c>
      <c r="AS204" s="16">
        <f t="shared" si="103"/>
        <v>21922.105920000002</v>
      </c>
      <c r="AT204" s="16">
        <f t="shared" si="104"/>
        <v>-3985.8374400000002</v>
      </c>
      <c r="AU204" s="16">
        <f t="shared" si="105"/>
        <v>3516837.2345600002</v>
      </c>
      <c r="AV204" s="16">
        <f t="shared" si="106"/>
        <v>3520823.0720000002</v>
      </c>
      <c r="AW204" s="16">
        <f t="shared" si="107"/>
        <v>120520</v>
      </c>
      <c r="AX204" s="16" t="s">
        <v>319</v>
      </c>
      <c r="AY204" s="17"/>
      <c r="AZ204" s="17">
        <f t="shared" si="108"/>
        <v>0</v>
      </c>
      <c r="BA204" s="16">
        <f t="shared" si="109"/>
        <v>2892480</v>
      </c>
      <c r="BB204" s="16">
        <f t="shared" si="110"/>
        <v>2892480</v>
      </c>
      <c r="BC204" s="15">
        <v>0.03</v>
      </c>
      <c r="BD204" s="15">
        <v>0.01</v>
      </c>
      <c r="BE204" s="37">
        <f t="shared" si="111"/>
        <v>278401.2</v>
      </c>
      <c r="BF204" s="38">
        <f t="shared" si="112"/>
        <v>171741.00000000003</v>
      </c>
      <c r="BG204" s="37">
        <f t="shared" si="116"/>
        <v>141950</v>
      </c>
      <c r="BH204" s="37">
        <f t="shared" si="113"/>
        <v>150650</v>
      </c>
      <c r="BI204">
        <v>141950</v>
      </c>
      <c r="BL204" s="8">
        <f t="shared" si="114"/>
        <v>0</v>
      </c>
      <c r="BM204" s="7" t="str">
        <f t="shared" si="94"/>
        <v>Terdaftar BPJS Kes &amp; Naker</v>
      </c>
      <c r="BN204" s="11">
        <f t="shared" si="95"/>
        <v>171741</v>
      </c>
      <c r="BO204" s="11">
        <f t="shared" si="96"/>
        <v>136790.20000000001</v>
      </c>
      <c r="BP204" s="9">
        <f t="shared" si="115"/>
        <v>0</v>
      </c>
      <c r="BQ204" t="str">
        <f>_xlfn.XLOOKUP(X204,'[2]NON TETAP'!$H:$H,'[2]NON TETAP'!$I:$I)</f>
        <v>GRAMEDIA ASRI MEDIA</v>
      </c>
    </row>
    <row r="205" spans="1:69" x14ac:dyDescent="0.3">
      <c r="A205" s="2">
        <v>204</v>
      </c>
      <c r="B205" s="4" t="s">
        <v>2952</v>
      </c>
      <c r="C205" s="6" t="s">
        <v>241</v>
      </c>
      <c r="D205" s="6"/>
      <c r="E205" s="6" t="s">
        <v>73</v>
      </c>
      <c r="F205" s="6" t="s">
        <v>73</v>
      </c>
      <c r="G205" s="6"/>
      <c r="H205" s="6"/>
      <c r="I205" s="2"/>
      <c r="J205" s="2"/>
      <c r="K205" s="6">
        <v>800266</v>
      </c>
      <c r="L205" s="6"/>
      <c r="M205" s="6"/>
      <c r="N205" s="46" t="s">
        <v>2951</v>
      </c>
      <c r="O205" s="6">
        <v>2516924226</v>
      </c>
      <c r="P205" s="78" t="s">
        <v>2950</v>
      </c>
      <c r="Q205" s="6">
        <v>10118</v>
      </c>
      <c r="R205" s="6">
        <v>27118</v>
      </c>
      <c r="S205" s="5" t="str">
        <f>VLOOKUP(T205,'[1]Kode Posisi'!$A$3:$B$45,2,)</f>
        <v>Outsourcing Keamanan</v>
      </c>
      <c r="T205" s="36" t="s">
        <v>37</v>
      </c>
      <c r="U205" s="44" t="s">
        <v>1464</v>
      </c>
      <c r="V205" s="44" t="s">
        <v>2949</v>
      </c>
      <c r="W205" s="36" t="s">
        <v>1462</v>
      </c>
      <c r="X205" s="36" t="s">
        <v>1461</v>
      </c>
      <c r="Y205" s="36" t="s">
        <v>52</v>
      </c>
      <c r="Z205" s="79" t="s">
        <v>2948</v>
      </c>
      <c r="AA205" s="36" t="s">
        <v>2947</v>
      </c>
      <c r="AB205" s="47">
        <v>3013000</v>
      </c>
      <c r="AC205" s="41">
        <v>3013000</v>
      </c>
      <c r="AD205" s="47">
        <v>2839000</v>
      </c>
      <c r="AE205" s="16">
        <f t="shared" si="97"/>
        <v>174000</v>
      </c>
      <c r="AF205" s="16">
        <v>0</v>
      </c>
      <c r="AG205" s="16">
        <v>0</v>
      </c>
      <c r="AH205" s="16"/>
      <c r="AI205" s="16">
        <v>0</v>
      </c>
      <c r="AJ205" s="16"/>
      <c r="AK205" s="16">
        <v>0</v>
      </c>
      <c r="AL205" s="11">
        <f t="shared" si="98"/>
        <v>3013000</v>
      </c>
      <c r="AM205" s="16">
        <f t="shared" si="99"/>
        <v>308531.19999999995</v>
      </c>
      <c r="AN205" s="16">
        <f t="shared" si="100"/>
        <v>120520</v>
      </c>
      <c r="AO205" s="16">
        <f t="shared" si="93"/>
        <v>188011.19999999998</v>
      </c>
      <c r="AP205" s="16">
        <f t="shared" si="101"/>
        <v>111481</v>
      </c>
      <c r="AQ205" s="16">
        <f t="shared" si="102"/>
        <v>3321531.2</v>
      </c>
      <c r="AR205" s="16">
        <f t="shared" si="89"/>
        <v>199291.872</v>
      </c>
      <c r="AS205" s="16">
        <f t="shared" si="103"/>
        <v>21922.105920000002</v>
      </c>
      <c r="AT205" s="16">
        <f t="shared" si="104"/>
        <v>-3985.8374400000002</v>
      </c>
      <c r="AU205" s="16">
        <f t="shared" si="105"/>
        <v>3516837.2345600002</v>
      </c>
      <c r="AV205" s="16">
        <f t="shared" si="106"/>
        <v>3520823.0720000002</v>
      </c>
      <c r="AW205" s="16">
        <f t="shared" si="107"/>
        <v>120520</v>
      </c>
      <c r="AX205" s="16" t="s">
        <v>235</v>
      </c>
      <c r="AY205" s="17"/>
      <c r="AZ205" s="17">
        <f t="shared" si="108"/>
        <v>0</v>
      </c>
      <c r="BA205" s="16">
        <f t="shared" si="109"/>
        <v>2892480</v>
      </c>
      <c r="BB205" s="16">
        <f t="shared" si="110"/>
        <v>2892480</v>
      </c>
      <c r="BC205" s="15">
        <v>0.03</v>
      </c>
      <c r="BD205" s="15">
        <v>0.01</v>
      </c>
      <c r="BE205" s="37">
        <f t="shared" si="111"/>
        <v>278401.2</v>
      </c>
      <c r="BF205" s="38">
        <f t="shared" si="112"/>
        <v>171741.00000000003</v>
      </c>
      <c r="BG205" s="37">
        <f t="shared" si="116"/>
        <v>141950</v>
      </c>
      <c r="BH205" s="37">
        <f t="shared" si="113"/>
        <v>150650</v>
      </c>
      <c r="BI205">
        <v>141950</v>
      </c>
      <c r="BL205" s="8">
        <f t="shared" si="114"/>
        <v>0</v>
      </c>
      <c r="BM205" s="7" t="str">
        <f t="shared" si="94"/>
        <v>Terdaftar BPJS Kes &amp; Naker</v>
      </c>
      <c r="BN205" s="11">
        <f t="shared" si="95"/>
        <v>171741</v>
      </c>
      <c r="BO205" s="11">
        <f t="shared" si="96"/>
        <v>136790.20000000001</v>
      </c>
      <c r="BP205" s="9">
        <f t="shared" si="115"/>
        <v>0</v>
      </c>
      <c r="BQ205" t="str">
        <f>_xlfn.XLOOKUP(X205,'[2]NON TETAP'!$H:$H,'[2]NON TETAP'!$I:$I)</f>
        <v>GRAMEDIA ASRI MEDIA</v>
      </c>
    </row>
    <row r="206" spans="1:69" x14ac:dyDescent="0.3">
      <c r="A206" s="2">
        <v>205</v>
      </c>
      <c r="B206" s="5" t="s">
        <v>2941</v>
      </c>
      <c r="C206" s="6" t="s">
        <v>241</v>
      </c>
      <c r="D206" s="6"/>
      <c r="E206" s="6" t="s">
        <v>73</v>
      </c>
      <c r="F206" s="6" t="s">
        <v>73</v>
      </c>
      <c r="G206" s="6" t="s">
        <v>73</v>
      </c>
      <c r="H206" s="6"/>
      <c r="I206" s="6"/>
      <c r="J206" s="6"/>
      <c r="K206" s="6">
        <v>800267</v>
      </c>
      <c r="L206" s="6"/>
      <c r="M206" s="6" t="s">
        <v>2946</v>
      </c>
      <c r="N206" s="46" t="s">
        <v>2945</v>
      </c>
      <c r="O206" s="6">
        <v>3543802479</v>
      </c>
      <c r="P206" s="78" t="s">
        <v>2944</v>
      </c>
      <c r="Q206" s="6">
        <v>10438</v>
      </c>
      <c r="R206" s="6">
        <v>27438</v>
      </c>
      <c r="S206" s="5" t="str">
        <f>VLOOKUP(T206,'[1]Kode Posisi'!$A$3:$B$45,2,)</f>
        <v>Outsourcing Keamanan</v>
      </c>
      <c r="T206" s="36" t="s">
        <v>37</v>
      </c>
      <c r="U206" s="44" t="s">
        <v>1455</v>
      </c>
      <c r="V206" s="44" t="s">
        <v>2943</v>
      </c>
      <c r="W206" s="36" t="s">
        <v>1453</v>
      </c>
      <c r="X206" s="36" t="s">
        <v>1452</v>
      </c>
      <c r="Y206" s="36" t="s">
        <v>52</v>
      </c>
      <c r="Z206" s="79" t="s">
        <v>2942</v>
      </c>
      <c r="AA206" s="36" t="s">
        <v>2941</v>
      </c>
      <c r="AB206" s="47">
        <v>2743000</v>
      </c>
      <c r="AC206" s="41">
        <v>2743000</v>
      </c>
      <c r="AD206" s="47">
        <v>2573000</v>
      </c>
      <c r="AE206" s="16">
        <f t="shared" si="97"/>
        <v>170000</v>
      </c>
      <c r="AF206" s="16">
        <v>0</v>
      </c>
      <c r="AG206" s="16">
        <v>0</v>
      </c>
      <c r="AH206" s="16"/>
      <c r="AI206" s="16">
        <v>0</v>
      </c>
      <c r="AJ206" s="16"/>
      <c r="AK206" s="16">
        <v>0</v>
      </c>
      <c r="AL206" s="11">
        <f t="shared" si="98"/>
        <v>2743000</v>
      </c>
      <c r="AM206" s="16">
        <f t="shared" si="99"/>
        <v>280883.19999999995</v>
      </c>
      <c r="AN206" s="16">
        <f t="shared" si="100"/>
        <v>109720</v>
      </c>
      <c r="AO206" s="16">
        <f t="shared" si="93"/>
        <v>171163.19999999998</v>
      </c>
      <c r="AP206" s="16">
        <f t="shared" si="101"/>
        <v>101491</v>
      </c>
      <c r="AQ206" s="16">
        <f t="shared" si="102"/>
        <v>3023883.2</v>
      </c>
      <c r="AR206" s="16">
        <f t="shared" si="89"/>
        <v>181432.992</v>
      </c>
      <c r="AS206" s="16">
        <f t="shared" si="103"/>
        <v>19957.629120000001</v>
      </c>
      <c r="AT206" s="16">
        <f t="shared" si="104"/>
        <v>-3628.6598400000003</v>
      </c>
      <c r="AU206" s="16">
        <f t="shared" si="105"/>
        <v>3201687.5321600004</v>
      </c>
      <c r="AV206" s="16">
        <f t="shared" si="106"/>
        <v>3205316.1920000003</v>
      </c>
      <c r="AW206" s="16">
        <f t="shared" si="107"/>
        <v>109720</v>
      </c>
      <c r="AX206" s="16" t="s">
        <v>235</v>
      </c>
      <c r="AY206" s="17"/>
      <c r="AZ206" s="17">
        <f t="shared" si="108"/>
        <v>0</v>
      </c>
      <c r="BA206" s="16">
        <f t="shared" si="109"/>
        <v>2633280</v>
      </c>
      <c r="BB206" s="16">
        <f t="shared" si="110"/>
        <v>2633280</v>
      </c>
      <c r="BC206" s="15">
        <v>0.03</v>
      </c>
      <c r="BD206" s="15">
        <v>0.01</v>
      </c>
      <c r="BE206" s="37">
        <f t="shared" si="111"/>
        <v>253453.19999999998</v>
      </c>
      <c r="BF206" s="38">
        <f t="shared" si="112"/>
        <v>156351</v>
      </c>
      <c r="BG206" s="37">
        <f t="shared" si="116"/>
        <v>128650</v>
      </c>
      <c r="BH206" s="37">
        <f t="shared" si="113"/>
        <v>137150</v>
      </c>
      <c r="BI206">
        <v>128650</v>
      </c>
      <c r="BL206" s="8">
        <f t="shared" si="114"/>
        <v>0</v>
      </c>
      <c r="BM206" s="7" t="str">
        <f t="shared" si="94"/>
        <v>Terdaftar BPJS Kes &amp; Naker</v>
      </c>
      <c r="BN206" s="11">
        <f t="shared" si="95"/>
        <v>156351</v>
      </c>
      <c r="BO206" s="11">
        <f t="shared" si="96"/>
        <v>124532.20000000001</v>
      </c>
      <c r="BP206" s="9">
        <f t="shared" si="115"/>
        <v>0</v>
      </c>
      <c r="BQ206" t="str">
        <f>_xlfn.XLOOKUP(X206,'[2]NON TETAP'!$H:$H,'[2]NON TETAP'!$I:$I)</f>
        <v>GRAMEDIA ASRI MEDIA</v>
      </c>
    </row>
    <row r="207" spans="1:69" x14ac:dyDescent="0.3">
      <c r="A207" s="2">
        <v>206</v>
      </c>
      <c r="B207" s="5" t="s">
        <v>2935</v>
      </c>
      <c r="C207" s="6" t="s">
        <v>241</v>
      </c>
      <c r="D207" s="6"/>
      <c r="E207" s="6" t="s">
        <v>73</v>
      </c>
      <c r="F207" s="6" t="s">
        <v>73</v>
      </c>
      <c r="G207" s="6" t="s">
        <v>73</v>
      </c>
      <c r="H207" s="6"/>
      <c r="I207" s="6"/>
      <c r="J207" s="6"/>
      <c r="K207" s="6">
        <v>800268</v>
      </c>
      <c r="L207" s="6"/>
      <c r="M207" s="6" t="s">
        <v>2940</v>
      </c>
      <c r="N207" s="46" t="s">
        <v>2939</v>
      </c>
      <c r="O207" s="6">
        <v>2681347566</v>
      </c>
      <c r="P207" s="78" t="s">
        <v>2938</v>
      </c>
      <c r="Q207" s="6">
        <v>10438</v>
      </c>
      <c r="R207" s="6">
        <v>27438</v>
      </c>
      <c r="S207" s="5" t="str">
        <f>VLOOKUP(T207,'[1]Kode Posisi'!$A$3:$B$45,2,)</f>
        <v>Outsourcing Keamanan</v>
      </c>
      <c r="T207" s="36" t="s">
        <v>37</v>
      </c>
      <c r="U207" s="44" t="s">
        <v>1455</v>
      </c>
      <c r="V207" s="44" t="s">
        <v>2937</v>
      </c>
      <c r="W207" s="36" t="s">
        <v>1453</v>
      </c>
      <c r="X207" s="36" t="s">
        <v>1452</v>
      </c>
      <c r="Y207" s="36" t="s">
        <v>52</v>
      </c>
      <c r="Z207" s="79" t="s">
        <v>2936</v>
      </c>
      <c r="AA207" s="36" t="s">
        <v>2935</v>
      </c>
      <c r="AB207" s="47">
        <v>2743000</v>
      </c>
      <c r="AC207" s="41">
        <v>2743000</v>
      </c>
      <c r="AD207" s="47">
        <v>2573000</v>
      </c>
      <c r="AE207" s="16">
        <f t="shared" si="97"/>
        <v>170000</v>
      </c>
      <c r="AF207" s="16">
        <v>0</v>
      </c>
      <c r="AG207" s="16">
        <v>0</v>
      </c>
      <c r="AH207" s="16"/>
      <c r="AI207" s="16">
        <v>44618.497109826589</v>
      </c>
      <c r="AJ207" s="16"/>
      <c r="AK207" s="16">
        <v>0</v>
      </c>
      <c r="AL207" s="11">
        <f t="shared" si="98"/>
        <v>2787618.4971098267</v>
      </c>
      <c r="AM207" s="16">
        <f t="shared" si="99"/>
        <v>280883.19999999995</v>
      </c>
      <c r="AN207" s="16">
        <f t="shared" si="100"/>
        <v>109720</v>
      </c>
      <c r="AO207" s="16">
        <f t="shared" si="93"/>
        <v>171163.19999999998</v>
      </c>
      <c r="AP207" s="16">
        <f t="shared" si="101"/>
        <v>101491</v>
      </c>
      <c r="AQ207" s="16">
        <f t="shared" si="102"/>
        <v>3068501.6971098268</v>
      </c>
      <c r="AR207" s="16">
        <f t="shared" si="89"/>
        <v>184110.10182658961</v>
      </c>
      <c r="AS207" s="16">
        <f t="shared" si="103"/>
        <v>20252.111200924857</v>
      </c>
      <c r="AT207" s="16">
        <f t="shared" si="104"/>
        <v>-3682.2020365317921</v>
      </c>
      <c r="AU207" s="16">
        <f t="shared" si="105"/>
        <v>3248929.5968998848</v>
      </c>
      <c r="AV207" s="16">
        <f t="shared" si="106"/>
        <v>3252611.7989364164</v>
      </c>
      <c r="AW207" s="16">
        <f t="shared" si="107"/>
        <v>109720</v>
      </c>
      <c r="AX207" s="16" t="s">
        <v>319</v>
      </c>
      <c r="AY207" s="17"/>
      <c r="AZ207" s="17">
        <f t="shared" si="108"/>
        <v>0</v>
      </c>
      <c r="BA207" s="16">
        <f t="shared" si="109"/>
        <v>2677898.4971098267</v>
      </c>
      <c r="BB207" s="16">
        <f t="shared" si="110"/>
        <v>2677898.4971098267</v>
      </c>
      <c r="BC207" s="15">
        <v>0.03</v>
      </c>
      <c r="BD207" s="15">
        <v>0.01</v>
      </c>
      <c r="BE207" s="37">
        <f t="shared" si="111"/>
        <v>253453.19999999998</v>
      </c>
      <c r="BF207" s="38">
        <f t="shared" si="112"/>
        <v>156351</v>
      </c>
      <c r="BG207" s="37">
        <f t="shared" si="116"/>
        <v>128650</v>
      </c>
      <c r="BH207" s="37">
        <f t="shared" si="113"/>
        <v>137150</v>
      </c>
      <c r="BI207">
        <v>128650</v>
      </c>
      <c r="BL207" s="8">
        <f t="shared" si="114"/>
        <v>44618.497109826589</v>
      </c>
      <c r="BM207" s="7" t="str">
        <f t="shared" si="94"/>
        <v>Terdaftar BPJS Kes &amp; Naker</v>
      </c>
      <c r="BN207" s="11">
        <f t="shared" si="95"/>
        <v>156351</v>
      </c>
      <c r="BO207" s="11">
        <f t="shared" si="96"/>
        <v>124532.20000000001</v>
      </c>
      <c r="BP207" s="9">
        <f t="shared" si="115"/>
        <v>0</v>
      </c>
      <c r="BQ207" t="str">
        <f>_xlfn.XLOOKUP(X207,'[2]NON TETAP'!$H:$H,'[2]NON TETAP'!$I:$I)</f>
        <v>GRAMEDIA ASRI MEDIA</v>
      </c>
    </row>
    <row r="208" spans="1:69" x14ac:dyDescent="0.3">
      <c r="A208" s="2">
        <v>207</v>
      </c>
      <c r="B208" s="5" t="s">
        <v>2929</v>
      </c>
      <c r="C208" s="6" t="s">
        <v>241</v>
      </c>
      <c r="D208" s="6"/>
      <c r="E208" s="6" t="s">
        <v>73</v>
      </c>
      <c r="F208" s="6" t="s">
        <v>73</v>
      </c>
      <c r="G208" s="6" t="s">
        <v>73</v>
      </c>
      <c r="H208" s="6"/>
      <c r="I208" s="6"/>
      <c r="J208" s="6"/>
      <c r="K208" s="6">
        <v>800269</v>
      </c>
      <c r="L208" s="6"/>
      <c r="M208" s="6" t="s">
        <v>2934</v>
      </c>
      <c r="N208" s="46" t="s">
        <v>2933</v>
      </c>
      <c r="O208" s="6">
        <v>1146803264</v>
      </c>
      <c r="P208" s="78" t="s">
        <v>2932</v>
      </c>
      <c r="Q208" s="6">
        <v>10147</v>
      </c>
      <c r="R208" s="6">
        <v>27147</v>
      </c>
      <c r="S208" s="5" t="str">
        <f>VLOOKUP(T208,'[1]Kode Posisi'!$A$3:$B$45,2,)</f>
        <v>Outsourcing Keamanan</v>
      </c>
      <c r="T208" s="36" t="s">
        <v>37</v>
      </c>
      <c r="U208" s="44" t="s">
        <v>1418</v>
      </c>
      <c r="V208" s="44" t="s">
        <v>2931</v>
      </c>
      <c r="W208" s="36" t="s">
        <v>1416</v>
      </c>
      <c r="X208" s="36" t="s">
        <v>1415</v>
      </c>
      <c r="Y208" s="36" t="s">
        <v>1294</v>
      </c>
      <c r="Z208" s="79" t="s">
        <v>2930</v>
      </c>
      <c r="AA208" s="36" t="s">
        <v>2929</v>
      </c>
      <c r="AB208" s="47">
        <v>3737000</v>
      </c>
      <c r="AC208" s="41">
        <v>3737000</v>
      </c>
      <c r="AD208" s="47">
        <v>3508000</v>
      </c>
      <c r="AE208" s="16">
        <f t="shared" si="97"/>
        <v>229000</v>
      </c>
      <c r="AF208" s="16">
        <v>0</v>
      </c>
      <c r="AG208" s="16">
        <v>0</v>
      </c>
      <c r="AH208" s="16"/>
      <c r="AI208" s="16">
        <v>0</v>
      </c>
      <c r="AJ208" s="16"/>
      <c r="AK208" s="16">
        <v>0</v>
      </c>
      <c r="AL208" s="11">
        <f t="shared" si="98"/>
        <v>3737000</v>
      </c>
      <c r="AM208" s="16">
        <f t="shared" si="99"/>
        <v>382668.79999999999</v>
      </c>
      <c r="AN208" s="16">
        <f t="shared" si="100"/>
        <v>149480</v>
      </c>
      <c r="AO208" s="16">
        <f t="shared" si="93"/>
        <v>233188.8</v>
      </c>
      <c r="AP208" s="16">
        <f t="shared" si="101"/>
        <v>138269</v>
      </c>
      <c r="AQ208" s="16">
        <f t="shared" si="102"/>
        <v>4119668.8</v>
      </c>
      <c r="AR208" s="16">
        <f t="shared" si="89"/>
        <v>247180.12799999997</v>
      </c>
      <c r="AS208" s="16">
        <f t="shared" si="103"/>
        <v>27189.814079999996</v>
      </c>
      <c r="AT208" s="16">
        <f t="shared" si="104"/>
        <v>-4943.6025599999994</v>
      </c>
      <c r="AU208" s="16">
        <f t="shared" si="105"/>
        <v>4361905.3254399998</v>
      </c>
      <c r="AV208" s="16">
        <f t="shared" si="106"/>
        <v>4366848.9279999994</v>
      </c>
      <c r="AW208" s="16">
        <f t="shared" si="107"/>
        <v>149480</v>
      </c>
      <c r="AX208" s="16" t="s">
        <v>286</v>
      </c>
      <c r="AY208" s="17"/>
      <c r="AZ208" s="17">
        <f t="shared" si="108"/>
        <v>2900</v>
      </c>
      <c r="BA208" s="16">
        <f t="shared" si="109"/>
        <v>3587520</v>
      </c>
      <c r="BB208" s="16">
        <f t="shared" si="110"/>
        <v>3584620</v>
      </c>
      <c r="BC208" s="15">
        <v>0.03</v>
      </c>
      <c r="BD208" s="15">
        <v>0.01</v>
      </c>
      <c r="BE208" s="37">
        <f t="shared" si="111"/>
        <v>345298.8</v>
      </c>
      <c r="BF208" s="38">
        <f t="shared" si="112"/>
        <v>213009</v>
      </c>
      <c r="BG208" s="37">
        <f t="shared" si="116"/>
        <v>175400</v>
      </c>
      <c r="BH208" s="37">
        <f t="shared" si="113"/>
        <v>186850</v>
      </c>
      <c r="BI208">
        <v>175400</v>
      </c>
      <c r="BL208" s="8">
        <f t="shared" si="114"/>
        <v>0</v>
      </c>
      <c r="BM208" s="7" t="str">
        <f t="shared" si="94"/>
        <v>Terdaftar BPJS Kes &amp; Naker</v>
      </c>
      <c r="BN208" s="11">
        <f t="shared" si="95"/>
        <v>213009</v>
      </c>
      <c r="BO208" s="11">
        <f t="shared" si="96"/>
        <v>169659.80000000002</v>
      </c>
      <c r="BP208" s="9">
        <f t="shared" si="115"/>
        <v>0</v>
      </c>
      <c r="BQ208" t="str">
        <f>_xlfn.XLOOKUP(X208,'[2]NON TETAP'!$H:$H,'[2]NON TETAP'!$I:$I)</f>
        <v>GRAMEDIA ASRI MEDIA</v>
      </c>
    </row>
    <row r="209" spans="1:69" x14ac:dyDescent="0.3">
      <c r="A209" s="2">
        <v>208</v>
      </c>
      <c r="B209" s="5" t="s">
        <v>2923</v>
      </c>
      <c r="C209" s="6" t="s">
        <v>241</v>
      </c>
      <c r="D209" s="6"/>
      <c r="E209" s="6" t="s">
        <v>73</v>
      </c>
      <c r="F209" s="6" t="s">
        <v>73</v>
      </c>
      <c r="G209" s="6" t="s">
        <v>73</v>
      </c>
      <c r="H209" s="6"/>
      <c r="I209" s="6"/>
      <c r="J209" s="6"/>
      <c r="K209" s="6">
        <v>800270</v>
      </c>
      <c r="L209" s="6"/>
      <c r="M209" s="6" t="s">
        <v>2928</v>
      </c>
      <c r="N209" s="46" t="s">
        <v>2927</v>
      </c>
      <c r="O209" s="6">
        <v>1125197662</v>
      </c>
      <c r="P209" s="78" t="s">
        <v>2926</v>
      </c>
      <c r="Q209" s="6">
        <v>10147</v>
      </c>
      <c r="R209" s="6">
        <v>27147</v>
      </c>
      <c r="S209" s="5" t="str">
        <f>VLOOKUP(T209,'[1]Kode Posisi'!$A$3:$B$45,2,)</f>
        <v>Outsourcing Keamanan</v>
      </c>
      <c r="T209" s="36" t="s">
        <v>2850</v>
      </c>
      <c r="U209" s="44" t="s">
        <v>1418</v>
      </c>
      <c r="V209" s="44" t="s">
        <v>2925</v>
      </c>
      <c r="W209" s="36" t="s">
        <v>1416</v>
      </c>
      <c r="X209" s="36" t="s">
        <v>1415</v>
      </c>
      <c r="Y209" s="36" t="s">
        <v>1294</v>
      </c>
      <c r="Z209" s="79" t="s">
        <v>2924</v>
      </c>
      <c r="AA209" s="36" t="s">
        <v>2923</v>
      </c>
      <c r="AB209" s="47">
        <v>3737000</v>
      </c>
      <c r="AC209" s="41">
        <v>3737000</v>
      </c>
      <c r="AD209" s="47">
        <v>3508000</v>
      </c>
      <c r="AE209" s="16">
        <f t="shared" si="97"/>
        <v>229000</v>
      </c>
      <c r="AF209" s="16">
        <v>0</v>
      </c>
      <c r="AG209" s="16">
        <v>200000</v>
      </c>
      <c r="AH209" s="16"/>
      <c r="AI209" s="16">
        <v>0</v>
      </c>
      <c r="AJ209" s="16"/>
      <c r="AK209" s="16">
        <v>0</v>
      </c>
      <c r="AL209" s="11">
        <f t="shared" si="98"/>
        <v>3937000</v>
      </c>
      <c r="AM209" s="16">
        <f t="shared" si="99"/>
        <v>382668.79999999999</v>
      </c>
      <c r="AN209" s="16">
        <f t="shared" si="100"/>
        <v>149480</v>
      </c>
      <c r="AO209" s="16">
        <f t="shared" si="93"/>
        <v>233188.8</v>
      </c>
      <c r="AP209" s="16">
        <f t="shared" si="101"/>
        <v>138269</v>
      </c>
      <c r="AQ209" s="16">
        <f t="shared" si="102"/>
        <v>4319668.8</v>
      </c>
      <c r="AR209" s="16">
        <f t="shared" si="89"/>
        <v>259180.12799999997</v>
      </c>
      <c r="AS209" s="16">
        <f t="shared" si="103"/>
        <v>28509.814079999996</v>
      </c>
      <c r="AT209" s="16">
        <f t="shared" si="104"/>
        <v>-5183.6025599999994</v>
      </c>
      <c r="AU209" s="16">
        <f t="shared" si="105"/>
        <v>4573665.3254399998</v>
      </c>
      <c r="AV209" s="16">
        <f t="shared" si="106"/>
        <v>4578848.9279999994</v>
      </c>
      <c r="AW209" s="16">
        <f t="shared" si="107"/>
        <v>149480</v>
      </c>
      <c r="AX209" s="16" t="s">
        <v>286</v>
      </c>
      <c r="AY209" s="17"/>
      <c r="AZ209" s="17">
        <f t="shared" si="108"/>
        <v>2900</v>
      </c>
      <c r="BA209" s="16">
        <f t="shared" si="109"/>
        <v>3787520</v>
      </c>
      <c r="BB209" s="16">
        <f t="shared" si="110"/>
        <v>3784620</v>
      </c>
      <c r="BC209" s="15">
        <v>0.03</v>
      </c>
      <c r="BD209" s="15">
        <v>0.01</v>
      </c>
      <c r="BE209" s="37">
        <f t="shared" si="111"/>
        <v>345298.8</v>
      </c>
      <c r="BF209" s="38">
        <f t="shared" si="112"/>
        <v>213009</v>
      </c>
      <c r="BG209" s="37">
        <f t="shared" si="116"/>
        <v>175400</v>
      </c>
      <c r="BH209" s="37">
        <f t="shared" si="113"/>
        <v>186850</v>
      </c>
      <c r="BI209">
        <v>175400</v>
      </c>
      <c r="BL209" s="8">
        <f t="shared" si="114"/>
        <v>200000</v>
      </c>
      <c r="BM209" s="7" t="str">
        <f t="shared" si="94"/>
        <v>Terdaftar BPJS Kes &amp; Naker</v>
      </c>
      <c r="BN209" s="11">
        <f t="shared" si="95"/>
        <v>213009</v>
      </c>
      <c r="BO209" s="11">
        <f t="shared" si="96"/>
        <v>169659.80000000002</v>
      </c>
      <c r="BP209" s="9">
        <f t="shared" si="115"/>
        <v>0</v>
      </c>
      <c r="BQ209" t="str">
        <f>_xlfn.XLOOKUP(X209,'[2]NON TETAP'!$H:$H,'[2]NON TETAP'!$I:$I)</f>
        <v>GRAMEDIA ASRI MEDIA</v>
      </c>
    </row>
    <row r="210" spans="1:69" x14ac:dyDescent="0.3">
      <c r="A210" s="2">
        <v>209</v>
      </c>
      <c r="B210" s="5" t="s">
        <v>2917</v>
      </c>
      <c r="C210" s="6" t="s">
        <v>241</v>
      </c>
      <c r="D210" s="6"/>
      <c r="E210" s="6" t="s">
        <v>73</v>
      </c>
      <c r="F210" s="6" t="s">
        <v>73</v>
      </c>
      <c r="G210" s="6" t="s">
        <v>73</v>
      </c>
      <c r="H210" s="6"/>
      <c r="I210" s="6"/>
      <c r="J210" s="6"/>
      <c r="K210" s="6">
        <v>800271</v>
      </c>
      <c r="L210" s="6"/>
      <c r="M210" s="6" t="s">
        <v>2922</v>
      </c>
      <c r="N210" s="46" t="s">
        <v>2921</v>
      </c>
      <c r="O210" s="6">
        <v>1465973932</v>
      </c>
      <c r="P210" s="78" t="s">
        <v>2920</v>
      </c>
      <c r="Q210" s="6">
        <v>10147</v>
      </c>
      <c r="R210" s="6">
        <v>27147</v>
      </c>
      <c r="S210" s="5" t="str">
        <f>VLOOKUP(T210,'[1]Kode Posisi'!$A$3:$B$45,2,)</f>
        <v>Outsourcing Keamanan</v>
      </c>
      <c r="T210" s="36" t="s">
        <v>37</v>
      </c>
      <c r="U210" s="44" t="s">
        <v>1418</v>
      </c>
      <c r="V210" s="44" t="s">
        <v>2919</v>
      </c>
      <c r="W210" s="36" t="s">
        <v>1416</v>
      </c>
      <c r="X210" s="36" t="s">
        <v>1415</v>
      </c>
      <c r="Y210" s="36" t="s">
        <v>1294</v>
      </c>
      <c r="Z210" s="79" t="s">
        <v>2918</v>
      </c>
      <c r="AA210" s="36" t="s">
        <v>2917</v>
      </c>
      <c r="AB210" s="47">
        <v>3737000</v>
      </c>
      <c r="AC210" s="41">
        <v>3737000</v>
      </c>
      <c r="AD210" s="47">
        <v>3508000</v>
      </c>
      <c r="AE210" s="16">
        <f t="shared" si="97"/>
        <v>229000</v>
      </c>
      <c r="AF210" s="16">
        <v>0</v>
      </c>
      <c r="AG210" s="16">
        <v>0</v>
      </c>
      <c r="AH210" s="16"/>
      <c r="AI210" s="16">
        <v>0</v>
      </c>
      <c r="AJ210" s="16"/>
      <c r="AK210" s="16">
        <v>0</v>
      </c>
      <c r="AL210" s="11">
        <f t="shared" si="98"/>
        <v>3737000</v>
      </c>
      <c r="AM210" s="16">
        <f t="shared" si="99"/>
        <v>382668.79999999999</v>
      </c>
      <c r="AN210" s="16">
        <f t="shared" si="100"/>
        <v>149480</v>
      </c>
      <c r="AO210" s="16">
        <f t="shared" si="93"/>
        <v>233188.8</v>
      </c>
      <c r="AP210" s="16">
        <f t="shared" si="101"/>
        <v>138269</v>
      </c>
      <c r="AQ210" s="16">
        <f t="shared" si="102"/>
        <v>4119668.8</v>
      </c>
      <c r="AR210" s="16">
        <f t="shared" si="89"/>
        <v>247180.12799999997</v>
      </c>
      <c r="AS210" s="16">
        <f t="shared" si="103"/>
        <v>27189.814079999996</v>
      </c>
      <c r="AT210" s="16">
        <f t="shared" si="104"/>
        <v>-4943.6025599999994</v>
      </c>
      <c r="AU210" s="16">
        <f t="shared" si="105"/>
        <v>4361905.3254399998</v>
      </c>
      <c r="AV210" s="16">
        <f t="shared" si="106"/>
        <v>4366848.9279999994</v>
      </c>
      <c r="AW210" s="16">
        <f t="shared" si="107"/>
        <v>149480</v>
      </c>
      <c r="AX210" s="16" t="s">
        <v>319</v>
      </c>
      <c r="AY210" s="17"/>
      <c r="AZ210" s="17">
        <f t="shared" si="108"/>
        <v>2900</v>
      </c>
      <c r="BA210" s="16">
        <f t="shared" si="109"/>
        <v>3587520</v>
      </c>
      <c r="BB210" s="16">
        <f t="shared" si="110"/>
        <v>3584620</v>
      </c>
      <c r="BC210" s="15">
        <v>0.03</v>
      </c>
      <c r="BD210" s="15">
        <v>0.01</v>
      </c>
      <c r="BE210" s="37">
        <f t="shared" si="111"/>
        <v>345298.8</v>
      </c>
      <c r="BF210" s="38">
        <f t="shared" si="112"/>
        <v>213009</v>
      </c>
      <c r="BG210" s="37">
        <f t="shared" si="116"/>
        <v>175400</v>
      </c>
      <c r="BH210" s="37">
        <f t="shared" si="113"/>
        <v>186850</v>
      </c>
      <c r="BI210">
        <v>175400</v>
      </c>
      <c r="BL210" s="8">
        <f t="shared" si="114"/>
        <v>0</v>
      </c>
      <c r="BM210" s="7" t="str">
        <f t="shared" si="94"/>
        <v>Terdaftar BPJS Kes &amp; Naker</v>
      </c>
      <c r="BN210" s="11">
        <f t="shared" si="95"/>
        <v>213009</v>
      </c>
      <c r="BO210" s="11">
        <f t="shared" si="96"/>
        <v>169659.80000000002</v>
      </c>
      <c r="BP210" s="9">
        <f t="shared" si="115"/>
        <v>0</v>
      </c>
      <c r="BQ210" t="str">
        <f>_xlfn.XLOOKUP(X210,'[2]NON TETAP'!$H:$H,'[2]NON TETAP'!$I:$I)</f>
        <v>GRAMEDIA ASRI MEDIA</v>
      </c>
    </row>
    <row r="211" spans="1:69" x14ac:dyDescent="0.3">
      <c r="A211" s="2">
        <v>210</v>
      </c>
      <c r="B211" s="5" t="s">
        <v>2912</v>
      </c>
      <c r="C211" s="6" t="s">
        <v>241</v>
      </c>
      <c r="D211" s="6"/>
      <c r="E211" s="6" t="s">
        <v>73</v>
      </c>
      <c r="F211" s="6" t="s">
        <v>73</v>
      </c>
      <c r="G211" s="6" t="s">
        <v>73</v>
      </c>
      <c r="H211" s="6"/>
      <c r="I211" s="6"/>
      <c r="J211" s="6"/>
      <c r="K211" s="6">
        <v>800272</v>
      </c>
      <c r="L211" s="6"/>
      <c r="M211" s="6">
        <v>25038744709</v>
      </c>
      <c r="N211" s="46" t="s">
        <v>2916</v>
      </c>
      <c r="O211" s="6">
        <v>1706147212</v>
      </c>
      <c r="P211" s="78" t="s">
        <v>2915</v>
      </c>
      <c r="Q211" s="6">
        <v>10147</v>
      </c>
      <c r="R211" s="6">
        <v>27147</v>
      </c>
      <c r="S211" s="5" t="str">
        <f>VLOOKUP(T211,'[1]Kode Posisi'!$A$3:$B$45,2,)</f>
        <v>Outsourcing Keamanan</v>
      </c>
      <c r="T211" s="36" t="s">
        <v>37</v>
      </c>
      <c r="U211" s="44" t="s">
        <v>1418</v>
      </c>
      <c r="V211" s="44" t="s">
        <v>2914</v>
      </c>
      <c r="W211" s="36" t="s">
        <v>1416</v>
      </c>
      <c r="X211" s="36" t="s">
        <v>1415</v>
      </c>
      <c r="Y211" s="36" t="s">
        <v>1294</v>
      </c>
      <c r="Z211" s="79" t="s">
        <v>2913</v>
      </c>
      <c r="AA211" s="36" t="s">
        <v>2912</v>
      </c>
      <c r="AB211" s="47">
        <v>3737000</v>
      </c>
      <c r="AC211" s="41">
        <v>3737000</v>
      </c>
      <c r="AD211" s="47">
        <v>3508000</v>
      </c>
      <c r="AE211" s="16">
        <f t="shared" si="97"/>
        <v>229000</v>
      </c>
      <c r="AF211" s="16">
        <v>0</v>
      </c>
      <c r="AG211" s="16">
        <v>0</v>
      </c>
      <c r="AH211" s="16"/>
      <c r="AI211" s="16">
        <v>0</v>
      </c>
      <c r="AJ211" s="16"/>
      <c r="AK211" s="16">
        <v>0</v>
      </c>
      <c r="AL211" s="11">
        <f t="shared" si="98"/>
        <v>3737000</v>
      </c>
      <c r="AM211" s="16">
        <f t="shared" si="99"/>
        <v>382668.79999999999</v>
      </c>
      <c r="AN211" s="16">
        <f t="shared" si="100"/>
        <v>149480</v>
      </c>
      <c r="AO211" s="16">
        <f t="shared" si="93"/>
        <v>233188.8</v>
      </c>
      <c r="AP211" s="16">
        <f t="shared" si="101"/>
        <v>138269</v>
      </c>
      <c r="AQ211" s="16">
        <f t="shared" si="102"/>
        <v>4119668.8</v>
      </c>
      <c r="AR211" s="16">
        <f t="shared" si="89"/>
        <v>247180.12799999997</v>
      </c>
      <c r="AS211" s="16">
        <f t="shared" si="103"/>
        <v>27189.814079999996</v>
      </c>
      <c r="AT211" s="16">
        <f t="shared" si="104"/>
        <v>-4943.6025599999994</v>
      </c>
      <c r="AU211" s="16">
        <f t="shared" si="105"/>
        <v>4361905.3254399998</v>
      </c>
      <c r="AV211" s="16">
        <f t="shared" si="106"/>
        <v>4366848.9279999994</v>
      </c>
      <c r="AW211" s="16">
        <f t="shared" si="107"/>
        <v>149480</v>
      </c>
      <c r="AX211" s="16" t="s">
        <v>286</v>
      </c>
      <c r="AY211" s="17"/>
      <c r="AZ211" s="17">
        <f t="shared" si="108"/>
        <v>2900</v>
      </c>
      <c r="BA211" s="16">
        <f t="shared" si="109"/>
        <v>3587520</v>
      </c>
      <c r="BB211" s="16">
        <f t="shared" si="110"/>
        <v>3584620</v>
      </c>
      <c r="BC211" s="15">
        <v>0.03</v>
      </c>
      <c r="BD211" s="15">
        <v>0.01</v>
      </c>
      <c r="BE211" s="37">
        <f t="shared" si="111"/>
        <v>345298.8</v>
      </c>
      <c r="BF211" s="38">
        <f t="shared" si="112"/>
        <v>213009</v>
      </c>
      <c r="BG211" s="37">
        <f t="shared" si="116"/>
        <v>175400</v>
      </c>
      <c r="BH211" s="37">
        <f t="shared" si="113"/>
        <v>186850</v>
      </c>
      <c r="BI211">
        <v>175400</v>
      </c>
      <c r="BL211" s="8">
        <f t="shared" si="114"/>
        <v>0</v>
      </c>
      <c r="BM211" s="7" t="str">
        <f t="shared" si="94"/>
        <v>Terdaftar BPJS Kes &amp; Naker</v>
      </c>
      <c r="BN211" s="11">
        <f t="shared" si="95"/>
        <v>213009</v>
      </c>
      <c r="BO211" s="11">
        <f t="shared" si="96"/>
        <v>169659.80000000002</v>
      </c>
      <c r="BP211" s="9">
        <f t="shared" si="115"/>
        <v>0</v>
      </c>
      <c r="BQ211" t="str">
        <f>_xlfn.XLOOKUP(X211,'[2]NON TETAP'!$H:$H,'[2]NON TETAP'!$I:$I)</f>
        <v>GRAMEDIA ASRI MEDIA</v>
      </c>
    </row>
    <row r="212" spans="1:69" x14ac:dyDescent="0.3">
      <c r="A212" s="2">
        <v>211</v>
      </c>
      <c r="B212" s="5" t="s">
        <v>2906</v>
      </c>
      <c r="C212" s="6" t="s">
        <v>241</v>
      </c>
      <c r="D212" s="6"/>
      <c r="E212" s="6" t="s">
        <v>73</v>
      </c>
      <c r="F212" s="6" t="s">
        <v>73</v>
      </c>
      <c r="G212" s="6" t="s">
        <v>73</v>
      </c>
      <c r="H212" s="6"/>
      <c r="I212" s="6"/>
      <c r="J212" s="6"/>
      <c r="K212" s="6">
        <v>800273</v>
      </c>
      <c r="L212" s="6"/>
      <c r="M212" s="6" t="s">
        <v>2911</v>
      </c>
      <c r="N212" s="46" t="s">
        <v>2910</v>
      </c>
      <c r="O212" s="6">
        <v>1125197741</v>
      </c>
      <c r="P212" s="78" t="s">
        <v>2909</v>
      </c>
      <c r="Q212" s="6">
        <v>10147</v>
      </c>
      <c r="R212" s="6">
        <v>27147</v>
      </c>
      <c r="S212" s="5" t="str">
        <f>VLOOKUP(T212,'[1]Kode Posisi'!$A$3:$B$45,2,)</f>
        <v>Outsourcing Keamanan</v>
      </c>
      <c r="T212" s="36" t="s">
        <v>37</v>
      </c>
      <c r="U212" s="44" t="s">
        <v>1418</v>
      </c>
      <c r="V212" s="44" t="s">
        <v>2908</v>
      </c>
      <c r="W212" s="36" t="s">
        <v>1416</v>
      </c>
      <c r="X212" s="36" t="s">
        <v>1415</v>
      </c>
      <c r="Y212" s="36" t="s">
        <v>1294</v>
      </c>
      <c r="Z212" s="79" t="s">
        <v>2907</v>
      </c>
      <c r="AA212" s="36" t="s">
        <v>2906</v>
      </c>
      <c r="AB212" s="47">
        <v>3737000</v>
      </c>
      <c r="AC212" s="41">
        <v>3737000</v>
      </c>
      <c r="AD212" s="47">
        <v>3508000</v>
      </c>
      <c r="AE212" s="16">
        <f t="shared" si="97"/>
        <v>229000</v>
      </c>
      <c r="AF212" s="16">
        <v>0</v>
      </c>
      <c r="AG212" s="16">
        <v>0</v>
      </c>
      <c r="AH212" s="16"/>
      <c r="AI212" s="16">
        <v>0</v>
      </c>
      <c r="AJ212" s="16"/>
      <c r="AK212" s="16">
        <v>0</v>
      </c>
      <c r="AL212" s="11">
        <f t="shared" si="98"/>
        <v>3737000</v>
      </c>
      <c r="AM212" s="16">
        <f t="shared" si="99"/>
        <v>382668.79999999999</v>
      </c>
      <c r="AN212" s="16">
        <f t="shared" si="100"/>
        <v>149480</v>
      </c>
      <c r="AO212" s="16">
        <f t="shared" si="93"/>
        <v>233188.8</v>
      </c>
      <c r="AP212" s="16">
        <f t="shared" si="101"/>
        <v>138269</v>
      </c>
      <c r="AQ212" s="16">
        <f t="shared" si="102"/>
        <v>4119668.8</v>
      </c>
      <c r="AR212" s="16">
        <f t="shared" si="89"/>
        <v>247180.12799999997</v>
      </c>
      <c r="AS212" s="16">
        <f t="shared" si="103"/>
        <v>27189.814079999996</v>
      </c>
      <c r="AT212" s="16">
        <f t="shared" si="104"/>
        <v>-4943.6025599999994</v>
      </c>
      <c r="AU212" s="16">
        <f t="shared" si="105"/>
        <v>4361905.3254399998</v>
      </c>
      <c r="AV212" s="16">
        <f t="shared" si="106"/>
        <v>4366848.9279999994</v>
      </c>
      <c r="AW212" s="16">
        <f t="shared" si="107"/>
        <v>149480</v>
      </c>
      <c r="AX212" s="16" t="s">
        <v>319</v>
      </c>
      <c r="AY212" s="17"/>
      <c r="AZ212" s="17">
        <f t="shared" si="108"/>
        <v>2900</v>
      </c>
      <c r="BA212" s="16">
        <f t="shared" si="109"/>
        <v>3587520</v>
      </c>
      <c r="BB212" s="16">
        <f t="shared" si="110"/>
        <v>3584620</v>
      </c>
      <c r="BC212" s="15">
        <v>0.03</v>
      </c>
      <c r="BD212" s="15">
        <v>0.01</v>
      </c>
      <c r="BE212" s="37">
        <f t="shared" si="111"/>
        <v>345298.8</v>
      </c>
      <c r="BF212" s="38">
        <f t="shared" si="112"/>
        <v>213009</v>
      </c>
      <c r="BG212" s="37">
        <f t="shared" si="116"/>
        <v>175400</v>
      </c>
      <c r="BH212" s="37">
        <f t="shared" si="113"/>
        <v>186850</v>
      </c>
      <c r="BI212">
        <v>175400</v>
      </c>
      <c r="BL212" s="8">
        <f t="shared" si="114"/>
        <v>0</v>
      </c>
      <c r="BM212" s="7" t="str">
        <f t="shared" si="94"/>
        <v>Terdaftar BPJS Kes &amp; Naker</v>
      </c>
      <c r="BN212" s="11">
        <f t="shared" si="95"/>
        <v>213009</v>
      </c>
      <c r="BO212" s="11">
        <f t="shared" si="96"/>
        <v>169659.80000000002</v>
      </c>
      <c r="BP212" s="9">
        <f t="shared" si="115"/>
        <v>0</v>
      </c>
      <c r="BQ212" t="str">
        <f>_xlfn.XLOOKUP(X212,'[2]NON TETAP'!$H:$H,'[2]NON TETAP'!$I:$I)</f>
        <v>GRAMEDIA ASRI MEDIA</v>
      </c>
    </row>
    <row r="213" spans="1:69" x14ac:dyDescent="0.3">
      <c r="A213" s="2">
        <v>212</v>
      </c>
      <c r="B213" s="5" t="s">
        <v>2905</v>
      </c>
      <c r="C213" s="6" t="s">
        <v>241</v>
      </c>
      <c r="D213" s="6"/>
      <c r="E213" s="6" t="s">
        <v>73</v>
      </c>
      <c r="F213" s="6" t="s">
        <v>73</v>
      </c>
      <c r="G213" s="6" t="s">
        <v>73</v>
      </c>
      <c r="H213" s="6"/>
      <c r="I213" s="6"/>
      <c r="J213" s="6"/>
      <c r="K213" s="6">
        <v>800274</v>
      </c>
      <c r="L213" s="6"/>
      <c r="M213" s="6" t="s">
        <v>2904</v>
      </c>
      <c r="N213" s="46" t="s">
        <v>2903</v>
      </c>
      <c r="O213" s="6">
        <v>1706954769</v>
      </c>
      <c r="P213" s="78" t="s">
        <v>2902</v>
      </c>
      <c r="Q213" s="6">
        <v>10147</v>
      </c>
      <c r="R213" s="6">
        <v>27147</v>
      </c>
      <c r="S213" s="5" t="str">
        <f>VLOOKUP(T213,'[1]Kode Posisi'!$A$3:$B$45,2,)</f>
        <v>Outsourcing Keamanan</v>
      </c>
      <c r="T213" s="36" t="s">
        <v>37</v>
      </c>
      <c r="U213" s="44" t="s">
        <v>1418</v>
      </c>
      <c r="V213" s="44" t="s">
        <v>2901</v>
      </c>
      <c r="W213" s="36" t="s">
        <v>1416</v>
      </c>
      <c r="X213" s="36" t="s">
        <v>1415</v>
      </c>
      <c r="Y213" s="36" t="s">
        <v>52</v>
      </c>
      <c r="Z213" s="79" t="s">
        <v>2900</v>
      </c>
      <c r="AA213" s="36" t="s">
        <v>2899</v>
      </c>
      <c r="AB213" s="47">
        <v>3737000</v>
      </c>
      <c r="AC213" s="41">
        <v>3737000</v>
      </c>
      <c r="AD213" s="47">
        <v>3508000</v>
      </c>
      <c r="AE213" s="16">
        <f t="shared" si="97"/>
        <v>229000</v>
      </c>
      <c r="AF213" s="16">
        <v>0</v>
      </c>
      <c r="AG213" s="16">
        <v>0</v>
      </c>
      <c r="AH213" s="16"/>
      <c r="AI213" s="16">
        <v>0</v>
      </c>
      <c r="AJ213" s="16"/>
      <c r="AK213" s="16">
        <v>0</v>
      </c>
      <c r="AL213" s="11">
        <f t="shared" si="98"/>
        <v>3737000</v>
      </c>
      <c r="AM213" s="16">
        <f t="shared" si="99"/>
        <v>382668.79999999999</v>
      </c>
      <c r="AN213" s="16">
        <f t="shared" si="100"/>
        <v>149480</v>
      </c>
      <c r="AO213" s="16">
        <f t="shared" si="93"/>
        <v>233188.8</v>
      </c>
      <c r="AP213" s="16">
        <f t="shared" si="101"/>
        <v>138269</v>
      </c>
      <c r="AQ213" s="16">
        <f t="shared" si="102"/>
        <v>4119668.8</v>
      </c>
      <c r="AR213" s="16">
        <f t="shared" si="89"/>
        <v>247180.12799999997</v>
      </c>
      <c r="AS213" s="16">
        <f t="shared" si="103"/>
        <v>27189.814079999996</v>
      </c>
      <c r="AT213" s="16">
        <f t="shared" si="104"/>
        <v>-4943.6025599999994</v>
      </c>
      <c r="AU213" s="16">
        <f t="shared" si="105"/>
        <v>4361905.3254399998</v>
      </c>
      <c r="AV213" s="16">
        <f t="shared" si="106"/>
        <v>4366848.9279999994</v>
      </c>
      <c r="AW213" s="16">
        <f t="shared" si="107"/>
        <v>149480</v>
      </c>
      <c r="AX213" s="16" t="s">
        <v>319</v>
      </c>
      <c r="AY213" s="17"/>
      <c r="AZ213" s="17">
        <f t="shared" si="108"/>
        <v>0</v>
      </c>
      <c r="BA213" s="16">
        <f t="shared" si="109"/>
        <v>3587520</v>
      </c>
      <c r="BB213" s="16">
        <f t="shared" si="110"/>
        <v>3587520</v>
      </c>
      <c r="BC213" s="15">
        <v>0.03</v>
      </c>
      <c r="BD213" s="15">
        <v>0.01</v>
      </c>
      <c r="BE213" s="37">
        <f t="shared" si="111"/>
        <v>345298.8</v>
      </c>
      <c r="BF213" s="38">
        <f t="shared" si="112"/>
        <v>213009</v>
      </c>
      <c r="BG213" s="37">
        <f t="shared" si="116"/>
        <v>175400</v>
      </c>
      <c r="BH213" s="37">
        <f t="shared" si="113"/>
        <v>186850</v>
      </c>
      <c r="BI213">
        <v>175400</v>
      </c>
      <c r="BL213" s="8">
        <f t="shared" si="114"/>
        <v>0</v>
      </c>
      <c r="BM213" s="7" t="str">
        <f t="shared" si="94"/>
        <v>Terdaftar BPJS Kes &amp; Naker</v>
      </c>
      <c r="BN213" s="11">
        <f t="shared" si="95"/>
        <v>213009</v>
      </c>
      <c r="BO213" s="11">
        <f t="shared" si="96"/>
        <v>169659.80000000002</v>
      </c>
      <c r="BP213" s="9">
        <f t="shared" si="115"/>
        <v>0</v>
      </c>
      <c r="BQ213" t="str">
        <f>_xlfn.XLOOKUP(X213,'[2]NON TETAP'!$H:$H,'[2]NON TETAP'!$I:$I)</f>
        <v>GRAMEDIA ASRI MEDIA</v>
      </c>
    </row>
    <row r="214" spans="1:69" x14ac:dyDescent="0.3">
      <c r="A214" s="2">
        <v>213</v>
      </c>
      <c r="B214" s="5" t="s">
        <v>2898</v>
      </c>
      <c r="C214" s="6" t="s">
        <v>241</v>
      </c>
      <c r="D214" s="6"/>
      <c r="E214" s="6" t="s">
        <v>73</v>
      </c>
      <c r="F214" s="6" t="s">
        <v>73</v>
      </c>
      <c r="G214" s="6" t="s">
        <v>73</v>
      </c>
      <c r="H214" s="6"/>
      <c r="I214" s="6"/>
      <c r="J214" s="6"/>
      <c r="K214" s="6">
        <v>800275</v>
      </c>
      <c r="L214" s="6"/>
      <c r="M214" s="6" t="s">
        <v>2897</v>
      </c>
      <c r="N214" s="46" t="s">
        <v>2896</v>
      </c>
      <c r="O214" s="6">
        <v>1125197695</v>
      </c>
      <c r="P214" s="78" t="s">
        <v>2895</v>
      </c>
      <c r="Q214" s="6">
        <v>10185</v>
      </c>
      <c r="R214" s="6">
        <v>27185</v>
      </c>
      <c r="S214" s="5" t="str">
        <f>VLOOKUP(T214,'[1]Kode Posisi'!$A$3:$B$45,2,)</f>
        <v>Outsourcing Keamanan</v>
      </c>
      <c r="T214" s="36" t="s">
        <v>37</v>
      </c>
      <c r="U214" s="44" t="s">
        <v>1409</v>
      </c>
      <c r="V214" s="44" t="s">
        <v>2894</v>
      </c>
      <c r="W214" s="36" t="s">
        <v>1407</v>
      </c>
      <c r="X214" s="36" t="s">
        <v>1406</v>
      </c>
      <c r="Y214" s="36" t="s">
        <v>52</v>
      </c>
      <c r="Z214" s="79">
        <v>4390996298</v>
      </c>
      <c r="AA214" s="36" t="s">
        <v>2893</v>
      </c>
      <c r="AB214" s="47">
        <v>3737000</v>
      </c>
      <c r="AC214" s="41">
        <v>3737000</v>
      </c>
      <c r="AD214" s="47">
        <v>3508000</v>
      </c>
      <c r="AE214" s="16">
        <f t="shared" si="97"/>
        <v>229000</v>
      </c>
      <c r="AF214" s="16">
        <v>0</v>
      </c>
      <c r="AG214" s="16">
        <v>0</v>
      </c>
      <c r="AH214" s="16"/>
      <c r="AI214" s="16">
        <v>0</v>
      </c>
      <c r="AJ214" s="16"/>
      <c r="AK214" s="16">
        <v>0</v>
      </c>
      <c r="AL214" s="11">
        <f t="shared" si="98"/>
        <v>3737000</v>
      </c>
      <c r="AM214" s="16">
        <f t="shared" si="99"/>
        <v>382668.79999999999</v>
      </c>
      <c r="AN214" s="16">
        <f t="shared" si="100"/>
        <v>149480</v>
      </c>
      <c r="AO214" s="16">
        <f t="shared" si="93"/>
        <v>233188.8</v>
      </c>
      <c r="AP214" s="16">
        <f t="shared" si="101"/>
        <v>138269</v>
      </c>
      <c r="AQ214" s="16">
        <f t="shared" si="102"/>
        <v>4119668.8</v>
      </c>
      <c r="AR214" s="16">
        <f t="shared" si="89"/>
        <v>247180.12799999997</v>
      </c>
      <c r="AS214" s="16">
        <f t="shared" si="103"/>
        <v>27189.814079999996</v>
      </c>
      <c r="AT214" s="16">
        <f t="shared" si="104"/>
        <v>-4943.6025599999994</v>
      </c>
      <c r="AU214" s="16">
        <f t="shared" si="105"/>
        <v>4361905.3254399998</v>
      </c>
      <c r="AV214" s="16">
        <f t="shared" si="106"/>
        <v>4366848.9279999994</v>
      </c>
      <c r="AW214" s="16">
        <f t="shared" si="107"/>
        <v>149480</v>
      </c>
      <c r="AX214" s="16" t="s">
        <v>286</v>
      </c>
      <c r="AY214" s="17"/>
      <c r="AZ214" s="17">
        <f t="shared" si="108"/>
        <v>0</v>
      </c>
      <c r="BA214" s="16">
        <f t="shared" si="109"/>
        <v>3587520</v>
      </c>
      <c r="BB214" s="16">
        <f t="shared" si="110"/>
        <v>3587520</v>
      </c>
      <c r="BC214" s="15">
        <v>0.03</v>
      </c>
      <c r="BD214" s="15">
        <v>0.01</v>
      </c>
      <c r="BE214" s="37">
        <f t="shared" si="111"/>
        <v>345298.8</v>
      </c>
      <c r="BF214" s="38">
        <f t="shared" si="112"/>
        <v>213009</v>
      </c>
      <c r="BG214" s="37">
        <f t="shared" si="116"/>
        <v>175400</v>
      </c>
      <c r="BH214" s="37">
        <f t="shared" si="113"/>
        <v>186850</v>
      </c>
      <c r="BI214">
        <v>175400</v>
      </c>
      <c r="BL214" s="8">
        <f t="shared" si="114"/>
        <v>0</v>
      </c>
      <c r="BM214" s="7" t="str">
        <f t="shared" si="94"/>
        <v>Terdaftar BPJS Kes &amp; Naker</v>
      </c>
      <c r="BN214" s="11">
        <f t="shared" si="95"/>
        <v>213009</v>
      </c>
      <c r="BO214" s="11">
        <f t="shared" si="96"/>
        <v>169659.80000000002</v>
      </c>
      <c r="BP214" s="9">
        <f t="shared" si="115"/>
        <v>0</v>
      </c>
      <c r="BQ214" t="str">
        <f>_xlfn.XLOOKUP(X214,'[2]NON TETAP'!$H:$H,'[2]NON TETAP'!$I:$I)</f>
        <v>GRAMEDIA ASRI MEDIA</v>
      </c>
    </row>
    <row r="215" spans="1:69" x14ac:dyDescent="0.3">
      <c r="A215" s="2">
        <v>214</v>
      </c>
      <c r="B215" s="5" t="s">
        <v>2892</v>
      </c>
      <c r="C215" s="6" t="s">
        <v>241</v>
      </c>
      <c r="D215" s="6"/>
      <c r="E215" s="6" t="s">
        <v>73</v>
      </c>
      <c r="F215" s="6" t="s">
        <v>73</v>
      </c>
      <c r="G215" s="6"/>
      <c r="H215" s="6"/>
      <c r="I215" s="6">
        <v>198000</v>
      </c>
      <c r="J215" s="6"/>
      <c r="K215" s="6">
        <v>800276</v>
      </c>
      <c r="L215" s="6"/>
      <c r="M215" s="6" t="s">
        <v>2891</v>
      </c>
      <c r="N215" s="46" t="s">
        <v>2890</v>
      </c>
      <c r="O215" s="6">
        <v>2343659106</v>
      </c>
      <c r="P215" s="78" t="s">
        <v>2889</v>
      </c>
      <c r="Q215" s="6">
        <v>10141</v>
      </c>
      <c r="R215" s="6">
        <v>27141</v>
      </c>
      <c r="S215" s="5" t="str">
        <f>VLOOKUP(T215,'[1]Kode Posisi'!$A$3:$B$45,2,)</f>
        <v>Outsourcing Keamanan</v>
      </c>
      <c r="T215" s="36" t="s">
        <v>37</v>
      </c>
      <c r="U215" s="44" t="s">
        <v>2849</v>
      </c>
      <c r="V215" s="44" t="s">
        <v>2888</v>
      </c>
      <c r="W215" s="36" t="s">
        <v>2847</v>
      </c>
      <c r="X215" s="36" t="s">
        <v>123</v>
      </c>
      <c r="Y215" s="36" t="s">
        <v>52</v>
      </c>
      <c r="Z215" s="79" t="s">
        <v>2887</v>
      </c>
      <c r="AA215" s="36" t="s">
        <v>2886</v>
      </c>
      <c r="AB215" s="47">
        <v>3825000</v>
      </c>
      <c r="AC215" s="47">
        <v>4023000</v>
      </c>
      <c r="AD215" s="47">
        <v>3825000</v>
      </c>
      <c r="AE215" s="16">
        <f t="shared" si="97"/>
        <v>0</v>
      </c>
      <c r="AF215" s="16">
        <v>0</v>
      </c>
      <c r="AG215" s="16">
        <v>0</v>
      </c>
      <c r="AH215" s="16"/>
      <c r="AI215" s="16">
        <v>88439.306358381509</v>
      </c>
      <c r="AJ215" s="16"/>
      <c r="AK215" s="16">
        <v>0</v>
      </c>
      <c r="AL215" s="11">
        <f t="shared" si="98"/>
        <v>3913439.3063583816</v>
      </c>
      <c r="AM215" s="16">
        <f t="shared" si="99"/>
        <v>411955.19999999995</v>
      </c>
      <c r="AN215" s="16">
        <f t="shared" si="100"/>
        <v>160920</v>
      </c>
      <c r="AO215" s="16">
        <f t="shared" si="93"/>
        <v>251035.19999999998</v>
      </c>
      <c r="AP215" s="16">
        <f t="shared" si="101"/>
        <v>141525</v>
      </c>
      <c r="AQ215" s="16">
        <f t="shared" si="102"/>
        <v>4325394.5063583814</v>
      </c>
      <c r="AR215" s="16">
        <f t="shared" si="89"/>
        <v>259523.67038150286</v>
      </c>
      <c r="AS215" s="16">
        <f t="shared" si="103"/>
        <v>28547.603741965315</v>
      </c>
      <c r="AT215" s="16">
        <f t="shared" si="104"/>
        <v>-5190.4734076300574</v>
      </c>
      <c r="AU215" s="16">
        <f t="shared" si="105"/>
        <v>4579727.7033322547</v>
      </c>
      <c r="AV215" s="16">
        <f t="shared" si="106"/>
        <v>4584918.1767398845</v>
      </c>
      <c r="AW215" s="16">
        <f t="shared" si="107"/>
        <v>160920</v>
      </c>
      <c r="AX215" s="16" t="s">
        <v>235</v>
      </c>
      <c r="AY215" s="17"/>
      <c r="AZ215" s="17">
        <f t="shared" si="108"/>
        <v>0</v>
      </c>
      <c r="BA215" s="16">
        <f t="shared" si="109"/>
        <v>3752519.3063583816</v>
      </c>
      <c r="BB215" s="16">
        <f t="shared" si="110"/>
        <v>3752519.3063583816</v>
      </c>
      <c r="BC215" s="15">
        <v>0.03</v>
      </c>
      <c r="BD215" s="15">
        <v>0.01</v>
      </c>
      <c r="BE215" s="37">
        <f t="shared" si="111"/>
        <v>371725.2</v>
      </c>
      <c r="BF215" s="38">
        <f t="shared" si="112"/>
        <v>229311.00000000003</v>
      </c>
      <c r="BG215" s="37">
        <f t="shared" si="116"/>
        <v>191250</v>
      </c>
      <c r="BH215" s="37">
        <f t="shared" si="113"/>
        <v>201150</v>
      </c>
      <c r="BI215">
        <v>191250</v>
      </c>
      <c r="BL215" s="8">
        <f t="shared" si="114"/>
        <v>88439.306358381509</v>
      </c>
      <c r="BM215" s="7" t="str">
        <f t="shared" si="94"/>
        <v>Terdaftar BPJS Kes &amp; Naker</v>
      </c>
      <c r="BN215" s="11">
        <f t="shared" si="95"/>
        <v>229311</v>
      </c>
      <c r="BO215" s="11">
        <f t="shared" si="96"/>
        <v>182644.2</v>
      </c>
      <c r="BP215" s="9">
        <f t="shared" si="115"/>
        <v>0</v>
      </c>
      <c r="BQ215" t="str">
        <f>_xlfn.XLOOKUP(X215,'[2]NON TETAP'!$H:$H,'[2]NON TETAP'!$I:$I)</f>
        <v>GRAMEDIA ASRI MEDIA</v>
      </c>
    </row>
    <row r="216" spans="1:69" x14ac:dyDescent="0.3">
      <c r="A216" s="2">
        <v>215</v>
      </c>
      <c r="B216" s="5" t="s">
        <v>2880</v>
      </c>
      <c r="C216" s="6" t="s">
        <v>241</v>
      </c>
      <c r="D216" s="6"/>
      <c r="E216" s="6" t="s">
        <v>73</v>
      </c>
      <c r="F216" s="6" t="s">
        <v>73</v>
      </c>
      <c r="G216" s="6"/>
      <c r="H216" s="6"/>
      <c r="I216" s="6">
        <v>198000</v>
      </c>
      <c r="J216" s="6"/>
      <c r="K216" s="6">
        <v>800278</v>
      </c>
      <c r="L216" s="6"/>
      <c r="M216" s="6" t="s">
        <v>2885</v>
      </c>
      <c r="N216" s="46" t="s">
        <v>2884</v>
      </c>
      <c r="O216" s="6">
        <v>139099241</v>
      </c>
      <c r="P216" s="78" t="s">
        <v>2883</v>
      </c>
      <c r="Q216" s="6">
        <v>10141</v>
      </c>
      <c r="R216" s="6">
        <v>27141</v>
      </c>
      <c r="S216" s="5" t="str">
        <f>VLOOKUP(T216,'[1]Kode Posisi'!$A$3:$B$45,2,)</f>
        <v>Outsourcing Keamanan</v>
      </c>
      <c r="T216" s="36" t="s">
        <v>37</v>
      </c>
      <c r="U216" s="44" t="s">
        <v>2849</v>
      </c>
      <c r="V216" s="44" t="s">
        <v>2882</v>
      </c>
      <c r="W216" s="36" t="s">
        <v>2847</v>
      </c>
      <c r="X216" s="36" t="s">
        <v>123</v>
      </c>
      <c r="Y216" s="36" t="s">
        <v>52</v>
      </c>
      <c r="Z216" s="79" t="s">
        <v>2881</v>
      </c>
      <c r="AA216" s="36" t="s">
        <v>2880</v>
      </c>
      <c r="AB216" s="47">
        <v>3825000</v>
      </c>
      <c r="AC216" s="47">
        <v>4023000</v>
      </c>
      <c r="AD216" s="47">
        <v>3825000</v>
      </c>
      <c r="AE216" s="16">
        <f t="shared" si="97"/>
        <v>0</v>
      </c>
      <c r="AF216" s="16">
        <v>0</v>
      </c>
      <c r="AG216" s="16">
        <v>0</v>
      </c>
      <c r="AH216" s="16"/>
      <c r="AI216" s="16">
        <v>88439.306358381509</v>
      </c>
      <c r="AJ216" s="16"/>
      <c r="AK216" s="16">
        <v>153000</v>
      </c>
      <c r="AL216" s="11">
        <f t="shared" si="98"/>
        <v>3760439.3063583816</v>
      </c>
      <c r="AM216" s="16">
        <f t="shared" si="99"/>
        <v>411955.19999999995</v>
      </c>
      <c r="AN216" s="16">
        <f t="shared" si="100"/>
        <v>160920</v>
      </c>
      <c r="AO216" s="16">
        <f t="shared" si="93"/>
        <v>251035.19999999998</v>
      </c>
      <c r="AP216" s="16">
        <f t="shared" si="101"/>
        <v>141525</v>
      </c>
      <c r="AQ216" s="16">
        <f t="shared" si="102"/>
        <v>4172394.5063583814</v>
      </c>
      <c r="AR216" s="16">
        <f t="shared" si="89"/>
        <v>250343.67038150286</v>
      </c>
      <c r="AS216" s="16">
        <f t="shared" si="103"/>
        <v>27537.803741965316</v>
      </c>
      <c r="AT216" s="16">
        <f t="shared" si="104"/>
        <v>-5006.873407630057</v>
      </c>
      <c r="AU216" s="16">
        <f t="shared" si="105"/>
        <v>4417731.3033322543</v>
      </c>
      <c r="AV216" s="16">
        <f t="shared" si="106"/>
        <v>4422738.1767398845</v>
      </c>
      <c r="AW216" s="16">
        <f t="shared" si="107"/>
        <v>160920</v>
      </c>
      <c r="AX216" s="16" t="s">
        <v>235</v>
      </c>
      <c r="AY216" s="17"/>
      <c r="AZ216" s="17">
        <f t="shared" si="108"/>
        <v>0</v>
      </c>
      <c r="BA216" s="16">
        <f t="shared" si="109"/>
        <v>3599519.3063583816</v>
      </c>
      <c r="BB216" s="16">
        <f t="shared" si="110"/>
        <v>3599519.3063583816</v>
      </c>
      <c r="BC216" s="15">
        <v>0.03</v>
      </c>
      <c r="BD216" s="15">
        <v>0.01</v>
      </c>
      <c r="BE216" s="37">
        <f t="shared" si="111"/>
        <v>371725.2</v>
      </c>
      <c r="BF216" s="38">
        <f t="shared" si="112"/>
        <v>229311.00000000003</v>
      </c>
      <c r="BG216" s="37">
        <f t="shared" si="116"/>
        <v>191250</v>
      </c>
      <c r="BH216" s="37">
        <f t="shared" si="113"/>
        <v>201150</v>
      </c>
      <c r="BI216">
        <v>191250</v>
      </c>
      <c r="BJ216" s="2">
        <v>191250</v>
      </c>
      <c r="BL216" s="8">
        <f t="shared" si="114"/>
        <v>-64560.693641618491</v>
      </c>
      <c r="BM216" s="7" t="str">
        <f t="shared" si="94"/>
        <v>Terdaftar BPJS Kes &amp; Naker</v>
      </c>
      <c r="BN216" s="11">
        <f t="shared" si="95"/>
        <v>229311</v>
      </c>
      <c r="BO216" s="11">
        <f t="shared" si="96"/>
        <v>182644.2</v>
      </c>
      <c r="BP216" s="9">
        <f t="shared" si="115"/>
        <v>0</v>
      </c>
      <c r="BQ216" t="str">
        <f>_xlfn.XLOOKUP(X216,'[2]NON TETAP'!$H:$H,'[2]NON TETAP'!$I:$I)</f>
        <v>GRAMEDIA ASRI MEDIA</v>
      </c>
    </row>
    <row r="217" spans="1:69" x14ac:dyDescent="0.3">
      <c r="A217" s="2">
        <v>216</v>
      </c>
      <c r="B217" s="5" t="s">
        <v>2879</v>
      </c>
      <c r="C217" s="6" t="s">
        <v>241</v>
      </c>
      <c r="D217" s="6"/>
      <c r="E217" s="6" t="s">
        <v>73</v>
      </c>
      <c r="F217" s="6" t="s">
        <v>73</v>
      </c>
      <c r="G217" s="6"/>
      <c r="H217" s="6"/>
      <c r="I217" s="6">
        <v>198000</v>
      </c>
      <c r="J217" s="6"/>
      <c r="K217" s="6">
        <v>800279</v>
      </c>
      <c r="L217" s="6"/>
      <c r="M217" s="6" t="s">
        <v>2878</v>
      </c>
      <c r="N217" s="46" t="s">
        <v>2877</v>
      </c>
      <c r="O217" s="6">
        <v>1424763922</v>
      </c>
      <c r="P217" s="78" t="s">
        <v>2876</v>
      </c>
      <c r="Q217" s="6">
        <v>10141</v>
      </c>
      <c r="R217" s="6">
        <v>27141</v>
      </c>
      <c r="S217" s="5" t="str">
        <f>VLOOKUP(T217,'[1]Kode Posisi'!$A$3:$B$45,2,)</f>
        <v>Outsourcing Keamanan</v>
      </c>
      <c r="T217" s="36" t="s">
        <v>37</v>
      </c>
      <c r="U217" s="44" t="s">
        <v>2849</v>
      </c>
      <c r="V217" s="44" t="s">
        <v>2875</v>
      </c>
      <c r="W217" s="36" t="s">
        <v>2847</v>
      </c>
      <c r="X217" s="36" t="s">
        <v>123</v>
      </c>
      <c r="Y217" s="36" t="s">
        <v>52</v>
      </c>
      <c r="Z217" s="79" t="s">
        <v>2874</v>
      </c>
      <c r="AA217" s="36" t="s">
        <v>2873</v>
      </c>
      <c r="AB217" s="47">
        <v>3825000</v>
      </c>
      <c r="AC217" s="47">
        <v>4023000</v>
      </c>
      <c r="AD217" s="47">
        <v>3825000</v>
      </c>
      <c r="AE217" s="16">
        <f t="shared" si="97"/>
        <v>0</v>
      </c>
      <c r="AF217" s="16">
        <v>0</v>
      </c>
      <c r="AG217" s="16">
        <v>0</v>
      </c>
      <c r="AH217" s="16"/>
      <c r="AI217" s="16">
        <v>132658.95953757226</v>
      </c>
      <c r="AJ217" s="16"/>
      <c r="AK217" s="16">
        <v>0</v>
      </c>
      <c r="AL217" s="11">
        <f t="shared" si="98"/>
        <v>3957658.9595375722</v>
      </c>
      <c r="AM217" s="16">
        <f t="shared" si="99"/>
        <v>411955.19999999995</v>
      </c>
      <c r="AN217" s="16">
        <f t="shared" si="100"/>
        <v>160920</v>
      </c>
      <c r="AO217" s="16">
        <f t="shared" si="93"/>
        <v>251035.19999999998</v>
      </c>
      <c r="AP217" s="16">
        <f t="shared" si="101"/>
        <v>141525</v>
      </c>
      <c r="AQ217" s="16">
        <f t="shared" si="102"/>
        <v>4369614.1595375724</v>
      </c>
      <c r="AR217" s="16">
        <f t="shared" si="89"/>
        <v>262176.84957225434</v>
      </c>
      <c r="AS217" s="16">
        <f t="shared" si="103"/>
        <v>28839.453452947979</v>
      </c>
      <c r="AT217" s="16">
        <f t="shared" si="104"/>
        <v>-5243.5369914450866</v>
      </c>
      <c r="AU217" s="16">
        <f t="shared" si="105"/>
        <v>4626547.4721183814</v>
      </c>
      <c r="AV217" s="16">
        <f t="shared" si="106"/>
        <v>4631791.0091098268</v>
      </c>
      <c r="AW217" s="16">
        <f t="shared" si="107"/>
        <v>160920</v>
      </c>
      <c r="AX217" s="16" t="s">
        <v>286</v>
      </c>
      <c r="AY217" s="17"/>
      <c r="AZ217" s="17">
        <f t="shared" si="108"/>
        <v>0</v>
      </c>
      <c r="BA217" s="16">
        <f t="shared" si="109"/>
        <v>3796738.9595375722</v>
      </c>
      <c r="BB217" s="16">
        <f t="shared" si="110"/>
        <v>3796738.9595375722</v>
      </c>
      <c r="BC217" s="15">
        <v>0.03</v>
      </c>
      <c r="BD217" s="15">
        <v>0.01</v>
      </c>
      <c r="BE217" s="37">
        <f t="shared" si="111"/>
        <v>371725.2</v>
      </c>
      <c r="BF217" s="38">
        <f t="shared" si="112"/>
        <v>229311.00000000003</v>
      </c>
      <c r="BG217" s="37">
        <f t="shared" si="116"/>
        <v>191250</v>
      </c>
      <c r="BH217" s="37">
        <f t="shared" si="113"/>
        <v>201150</v>
      </c>
      <c r="BI217">
        <v>191250</v>
      </c>
      <c r="BL217" s="8">
        <f t="shared" si="114"/>
        <v>132658.95953757226</v>
      </c>
      <c r="BM217" s="7" t="str">
        <f t="shared" si="94"/>
        <v>Terdaftar BPJS Kes &amp; Naker</v>
      </c>
      <c r="BN217" s="11">
        <f t="shared" si="95"/>
        <v>229311</v>
      </c>
      <c r="BO217" s="11">
        <f t="shared" si="96"/>
        <v>182644.2</v>
      </c>
      <c r="BP217" s="9">
        <f t="shared" si="115"/>
        <v>0</v>
      </c>
      <c r="BQ217" t="str">
        <f>_xlfn.XLOOKUP(X217,'[2]NON TETAP'!$H:$H,'[2]NON TETAP'!$I:$I)</f>
        <v>GRAMEDIA ASRI MEDIA</v>
      </c>
    </row>
    <row r="218" spans="1:69" x14ac:dyDescent="0.3">
      <c r="A218" s="2">
        <v>217</v>
      </c>
      <c r="B218" s="5" t="s">
        <v>2867</v>
      </c>
      <c r="C218" s="6" t="s">
        <v>241</v>
      </c>
      <c r="D218" s="6"/>
      <c r="E218" s="6" t="s">
        <v>73</v>
      </c>
      <c r="F218" s="6" t="s">
        <v>73</v>
      </c>
      <c r="G218" s="6"/>
      <c r="H218" s="6"/>
      <c r="I218" s="6">
        <v>198000</v>
      </c>
      <c r="J218" s="6"/>
      <c r="K218" s="6">
        <v>800280</v>
      </c>
      <c r="L218" s="6"/>
      <c r="M218" s="6" t="s">
        <v>2872</v>
      </c>
      <c r="N218" s="46" t="s">
        <v>2871</v>
      </c>
      <c r="O218" s="6">
        <v>1808705046</v>
      </c>
      <c r="P218" s="78" t="s">
        <v>2870</v>
      </c>
      <c r="Q218" s="6">
        <v>10141</v>
      </c>
      <c r="R218" s="6">
        <v>27141</v>
      </c>
      <c r="S218" s="5" t="str">
        <f>VLOOKUP(T218,'[1]Kode Posisi'!$A$3:$B$45,2,)</f>
        <v>Outsourcing Keamanan</v>
      </c>
      <c r="T218" s="36" t="s">
        <v>37</v>
      </c>
      <c r="U218" s="44" t="s">
        <v>2849</v>
      </c>
      <c r="V218" s="44" t="s">
        <v>2869</v>
      </c>
      <c r="W218" s="36" t="s">
        <v>2847</v>
      </c>
      <c r="X218" s="36" t="s">
        <v>123</v>
      </c>
      <c r="Y218" s="36" t="s">
        <v>262</v>
      </c>
      <c r="Z218" s="79" t="s">
        <v>2868</v>
      </c>
      <c r="AA218" s="36" t="s">
        <v>2867</v>
      </c>
      <c r="AB218" s="47">
        <v>3825000</v>
      </c>
      <c r="AC218" s="47">
        <v>4023000</v>
      </c>
      <c r="AD218" s="47">
        <v>3825000</v>
      </c>
      <c r="AE218" s="16">
        <f t="shared" si="97"/>
        <v>0</v>
      </c>
      <c r="AF218" s="16">
        <v>0</v>
      </c>
      <c r="AG218" s="16">
        <v>0</v>
      </c>
      <c r="AH218" s="16"/>
      <c r="AI218" s="16">
        <v>66329.479768786128</v>
      </c>
      <c r="AJ218" s="16"/>
      <c r="AK218" s="16">
        <v>0</v>
      </c>
      <c r="AL218" s="11">
        <f t="shared" si="98"/>
        <v>3891329.4797687861</v>
      </c>
      <c r="AM218" s="16">
        <f t="shared" si="99"/>
        <v>411955.19999999995</v>
      </c>
      <c r="AN218" s="16">
        <f t="shared" si="100"/>
        <v>160920</v>
      </c>
      <c r="AO218" s="16">
        <f t="shared" si="93"/>
        <v>251035.19999999998</v>
      </c>
      <c r="AP218" s="16">
        <f t="shared" si="101"/>
        <v>141525</v>
      </c>
      <c r="AQ218" s="16">
        <f t="shared" si="102"/>
        <v>4303284.6797687858</v>
      </c>
      <c r="AR218" s="16">
        <f t="shared" si="89"/>
        <v>258197.08078612713</v>
      </c>
      <c r="AS218" s="16">
        <f t="shared" si="103"/>
        <v>28401.678886473983</v>
      </c>
      <c r="AT218" s="16">
        <f t="shared" si="104"/>
        <v>-5163.9416157225423</v>
      </c>
      <c r="AU218" s="16">
        <f t="shared" si="105"/>
        <v>4556317.8189391913</v>
      </c>
      <c r="AV218" s="16">
        <f t="shared" si="106"/>
        <v>4561481.7605549134</v>
      </c>
      <c r="AW218" s="16">
        <f t="shared" si="107"/>
        <v>160920</v>
      </c>
      <c r="AX218" s="16" t="s">
        <v>235</v>
      </c>
      <c r="AY218" s="17"/>
      <c r="AZ218" s="17">
        <f t="shared" si="108"/>
        <v>2900</v>
      </c>
      <c r="BA218" s="16">
        <f t="shared" si="109"/>
        <v>3730409.4797687861</v>
      </c>
      <c r="BB218" s="16">
        <f t="shared" si="110"/>
        <v>3727509.4797687861</v>
      </c>
      <c r="BC218" s="15">
        <v>0.03</v>
      </c>
      <c r="BD218" s="15">
        <v>0.01</v>
      </c>
      <c r="BE218" s="37">
        <f t="shared" si="111"/>
        <v>371725.2</v>
      </c>
      <c r="BF218" s="38">
        <f t="shared" si="112"/>
        <v>229311.00000000003</v>
      </c>
      <c r="BG218" s="37">
        <f t="shared" si="116"/>
        <v>191250</v>
      </c>
      <c r="BH218" s="37">
        <f t="shared" si="113"/>
        <v>201150</v>
      </c>
      <c r="BI218">
        <v>191250</v>
      </c>
      <c r="BL218" s="8">
        <f t="shared" si="114"/>
        <v>66329.479768786128</v>
      </c>
      <c r="BM218" s="7" t="str">
        <f t="shared" si="94"/>
        <v>Terdaftar BPJS Kes &amp; Naker</v>
      </c>
      <c r="BN218" s="11">
        <f t="shared" si="95"/>
        <v>229311</v>
      </c>
      <c r="BO218" s="11">
        <f t="shared" si="96"/>
        <v>182644.2</v>
      </c>
      <c r="BP218" s="9">
        <f t="shared" si="115"/>
        <v>0</v>
      </c>
      <c r="BQ218" t="str">
        <f>_xlfn.XLOOKUP(X218,'[2]NON TETAP'!$H:$H,'[2]NON TETAP'!$I:$I)</f>
        <v>GRAMEDIA ASRI MEDIA</v>
      </c>
    </row>
    <row r="219" spans="1:69" x14ac:dyDescent="0.3">
      <c r="A219" s="2">
        <v>218</v>
      </c>
      <c r="B219" s="5" t="s">
        <v>2861</v>
      </c>
      <c r="C219" s="6" t="s">
        <v>241</v>
      </c>
      <c r="D219" s="6"/>
      <c r="E219" s="6" t="s">
        <v>73</v>
      </c>
      <c r="F219" s="6" t="s">
        <v>73</v>
      </c>
      <c r="G219" s="6"/>
      <c r="H219" s="6"/>
      <c r="I219" s="6">
        <v>198000</v>
      </c>
      <c r="J219" s="6"/>
      <c r="K219" s="6">
        <v>800281</v>
      </c>
      <c r="L219" s="6"/>
      <c r="M219" s="6" t="s">
        <v>2866</v>
      </c>
      <c r="N219" s="46" t="s">
        <v>2865</v>
      </c>
      <c r="O219" s="6">
        <v>909887826</v>
      </c>
      <c r="P219" s="78" t="s">
        <v>2864</v>
      </c>
      <c r="Q219" s="6">
        <v>10141</v>
      </c>
      <c r="R219" s="6">
        <v>27141</v>
      </c>
      <c r="S219" s="5" t="str">
        <f>VLOOKUP(T219,'[1]Kode Posisi'!$A$3:$B$45,2,)</f>
        <v>Outsourcing Keamanan</v>
      </c>
      <c r="T219" s="36" t="s">
        <v>37</v>
      </c>
      <c r="U219" s="44" t="s">
        <v>2849</v>
      </c>
      <c r="V219" s="44" t="s">
        <v>2863</v>
      </c>
      <c r="W219" s="36" t="s">
        <v>2847</v>
      </c>
      <c r="X219" s="36" t="s">
        <v>123</v>
      </c>
      <c r="Y219" s="36" t="s">
        <v>52</v>
      </c>
      <c r="Z219" s="79" t="s">
        <v>2862</v>
      </c>
      <c r="AA219" s="36" t="s">
        <v>2861</v>
      </c>
      <c r="AB219" s="47">
        <v>3825000</v>
      </c>
      <c r="AC219" s="47">
        <v>4023000</v>
      </c>
      <c r="AD219" s="47">
        <v>3825000</v>
      </c>
      <c r="AE219" s="16">
        <f t="shared" si="97"/>
        <v>0</v>
      </c>
      <c r="AF219" s="16">
        <v>0</v>
      </c>
      <c r="AG219" s="16">
        <v>0</v>
      </c>
      <c r="AH219" s="16"/>
      <c r="AI219" s="16">
        <v>0</v>
      </c>
      <c r="AJ219" s="16"/>
      <c r="AK219" s="16">
        <v>0</v>
      </c>
      <c r="AL219" s="11">
        <f t="shared" si="98"/>
        <v>3825000</v>
      </c>
      <c r="AM219" s="16">
        <f t="shared" si="99"/>
        <v>411955.19999999995</v>
      </c>
      <c r="AN219" s="16">
        <f t="shared" si="100"/>
        <v>160920</v>
      </c>
      <c r="AO219" s="16">
        <f t="shared" si="93"/>
        <v>251035.19999999998</v>
      </c>
      <c r="AP219" s="16">
        <f t="shared" si="101"/>
        <v>141525</v>
      </c>
      <c r="AQ219" s="16">
        <f t="shared" si="102"/>
        <v>4236955.2</v>
      </c>
      <c r="AR219" s="16">
        <f t="shared" si="89"/>
        <v>254217.31200000001</v>
      </c>
      <c r="AS219" s="16">
        <f t="shared" si="103"/>
        <v>27963.904320000001</v>
      </c>
      <c r="AT219" s="16">
        <f t="shared" si="104"/>
        <v>-5084.3462399999999</v>
      </c>
      <c r="AU219" s="16">
        <f t="shared" si="105"/>
        <v>4486088.1657600002</v>
      </c>
      <c r="AV219" s="16">
        <f t="shared" si="106"/>
        <v>4491172.5120000001</v>
      </c>
      <c r="AW219" s="16">
        <f t="shared" si="107"/>
        <v>160920</v>
      </c>
      <c r="AX219" s="16" t="s">
        <v>235</v>
      </c>
      <c r="AY219" s="17"/>
      <c r="AZ219" s="17">
        <f t="shared" si="108"/>
        <v>0</v>
      </c>
      <c r="BA219" s="16">
        <f t="shared" si="109"/>
        <v>3664080</v>
      </c>
      <c r="BB219" s="16">
        <f t="shared" si="110"/>
        <v>3664080</v>
      </c>
      <c r="BC219" s="15">
        <v>0.03</v>
      </c>
      <c r="BD219" s="15">
        <v>0.01</v>
      </c>
      <c r="BE219" s="37">
        <f t="shared" si="111"/>
        <v>371725.2</v>
      </c>
      <c r="BF219" s="38">
        <f t="shared" si="112"/>
        <v>229311.00000000003</v>
      </c>
      <c r="BG219" s="37">
        <f t="shared" si="116"/>
        <v>191250</v>
      </c>
      <c r="BH219" s="37">
        <f t="shared" si="113"/>
        <v>201150</v>
      </c>
      <c r="BI219">
        <v>191250</v>
      </c>
      <c r="BL219" s="8">
        <f t="shared" si="114"/>
        <v>0</v>
      </c>
      <c r="BM219" s="7" t="str">
        <f t="shared" si="94"/>
        <v>Terdaftar BPJS Kes &amp; Naker</v>
      </c>
      <c r="BN219" s="11">
        <f t="shared" si="95"/>
        <v>229311</v>
      </c>
      <c r="BO219" s="11">
        <f t="shared" si="96"/>
        <v>182644.2</v>
      </c>
      <c r="BP219" s="9">
        <f t="shared" si="115"/>
        <v>0</v>
      </c>
      <c r="BQ219" t="str">
        <f>_xlfn.XLOOKUP(X219,'[2]NON TETAP'!$H:$H,'[2]NON TETAP'!$I:$I)</f>
        <v>GRAMEDIA ASRI MEDIA</v>
      </c>
    </row>
    <row r="220" spans="1:69" x14ac:dyDescent="0.3">
      <c r="A220" s="2">
        <v>219</v>
      </c>
      <c r="B220" s="5" t="s">
        <v>2855</v>
      </c>
      <c r="C220" s="6" t="s">
        <v>241</v>
      </c>
      <c r="D220" s="6"/>
      <c r="E220" s="6" t="s">
        <v>73</v>
      </c>
      <c r="F220" s="6" t="s">
        <v>73</v>
      </c>
      <c r="G220" s="6"/>
      <c r="H220" s="6"/>
      <c r="I220" s="6">
        <v>198000</v>
      </c>
      <c r="J220" s="6"/>
      <c r="K220" s="6">
        <v>800284</v>
      </c>
      <c r="L220" s="6"/>
      <c r="M220" s="6" t="s">
        <v>2860</v>
      </c>
      <c r="N220" s="46" t="s">
        <v>2859</v>
      </c>
      <c r="O220" s="6">
        <v>1152283645</v>
      </c>
      <c r="P220" s="78" t="s">
        <v>2858</v>
      </c>
      <c r="Q220" s="6">
        <v>10141</v>
      </c>
      <c r="R220" s="6">
        <v>27141</v>
      </c>
      <c r="S220" s="5" t="str">
        <f>VLOOKUP(T220,'[1]Kode Posisi'!$A$3:$B$45,2,)</f>
        <v>Outsourcing Cleaning Service</v>
      </c>
      <c r="T220" s="36" t="s">
        <v>47</v>
      </c>
      <c r="U220" s="44" t="s">
        <v>2849</v>
      </c>
      <c r="V220" s="44" t="s">
        <v>2857</v>
      </c>
      <c r="W220" s="36" t="s">
        <v>2847</v>
      </c>
      <c r="X220" s="36" t="s">
        <v>123</v>
      </c>
      <c r="Y220" s="36" t="s">
        <v>52</v>
      </c>
      <c r="Z220" s="79" t="s">
        <v>2856</v>
      </c>
      <c r="AA220" s="36" t="s">
        <v>2855</v>
      </c>
      <c r="AB220" s="47">
        <v>3825000</v>
      </c>
      <c r="AC220" s="47">
        <v>4023000</v>
      </c>
      <c r="AD220" s="47">
        <v>3825000</v>
      </c>
      <c r="AE220" s="16">
        <f t="shared" si="97"/>
        <v>0</v>
      </c>
      <c r="AF220" s="16">
        <v>0</v>
      </c>
      <c r="AG220" s="16">
        <v>0</v>
      </c>
      <c r="AH220" s="16"/>
      <c r="AI220" s="16">
        <v>0</v>
      </c>
      <c r="AJ220" s="16"/>
      <c r="AK220" s="16">
        <v>0</v>
      </c>
      <c r="AL220" s="11">
        <f t="shared" si="98"/>
        <v>3825000</v>
      </c>
      <c r="AM220" s="16">
        <f t="shared" si="99"/>
        <v>411955.19999999995</v>
      </c>
      <c r="AN220" s="16">
        <f t="shared" si="100"/>
        <v>160920</v>
      </c>
      <c r="AO220" s="16">
        <f t="shared" si="93"/>
        <v>251035.19999999998</v>
      </c>
      <c r="AP220" s="16">
        <f t="shared" si="101"/>
        <v>141525</v>
      </c>
      <c r="AQ220" s="16">
        <f t="shared" si="102"/>
        <v>4236955.2</v>
      </c>
      <c r="AR220" s="16">
        <f t="shared" si="89"/>
        <v>254217.31200000001</v>
      </c>
      <c r="AS220" s="16">
        <f t="shared" si="103"/>
        <v>27963.904320000001</v>
      </c>
      <c r="AT220" s="16">
        <f t="shared" si="104"/>
        <v>-5084.3462399999999</v>
      </c>
      <c r="AU220" s="16">
        <f t="shared" si="105"/>
        <v>4486088.1657600002</v>
      </c>
      <c r="AV220" s="16">
        <f t="shared" si="106"/>
        <v>4491172.5120000001</v>
      </c>
      <c r="AW220" s="16">
        <f t="shared" si="107"/>
        <v>160920</v>
      </c>
      <c r="AX220" s="16" t="s">
        <v>286</v>
      </c>
      <c r="AY220" s="17"/>
      <c r="AZ220" s="17">
        <f t="shared" si="108"/>
        <v>0</v>
      </c>
      <c r="BA220" s="16">
        <f t="shared" si="109"/>
        <v>3664080</v>
      </c>
      <c r="BB220" s="16">
        <f t="shared" si="110"/>
        <v>3664080</v>
      </c>
      <c r="BC220" s="15">
        <v>0.03</v>
      </c>
      <c r="BD220" s="15">
        <v>0.01</v>
      </c>
      <c r="BE220" s="37">
        <f t="shared" si="111"/>
        <v>371725.2</v>
      </c>
      <c r="BF220" s="38">
        <f t="shared" si="112"/>
        <v>229311.00000000003</v>
      </c>
      <c r="BG220" s="37">
        <f t="shared" si="116"/>
        <v>191250</v>
      </c>
      <c r="BH220" s="37">
        <f t="shared" si="113"/>
        <v>201150</v>
      </c>
      <c r="BI220">
        <v>191250</v>
      </c>
      <c r="BL220" s="8">
        <f t="shared" si="114"/>
        <v>0</v>
      </c>
      <c r="BM220" s="7" t="str">
        <f t="shared" si="94"/>
        <v>Terdaftar BPJS Kes &amp; Naker</v>
      </c>
      <c r="BN220" s="11">
        <f t="shared" si="95"/>
        <v>229311</v>
      </c>
      <c r="BO220" s="11">
        <f t="shared" si="96"/>
        <v>182644.2</v>
      </c>
      <c r="BP220" s="9">
        <f t="shared" si="115"/>
        <v>0</v>
      </c>
      <c r="BQ220" t="str">
        <f>_xlfn.XLOOKUP(X220,'[2]NON TETAP'!$H:$H,'[2]NON TETAP'!$I:$I)</f>
        <v>GRAMEDIA ASRI MEDIA</v>
      </c>
    </row>
    <row r="221" spans="1:69" x14ac:dyDescent="0.3">
      <c r="A221" s="2">
        <v>220</v>
      </c>
      <c r="B221" s="4" t="s">
        <v>2854</v>
      </c>
      <c r="C221" s="6" t="s">
        <v>241</v>
      </c>
      <c r="D221" s="6"/>
      <c r="E221" s="6" t="s">
        <v>73</v>
      </c>
      <c r="F221" s="6" t="s">
        <v>73</v>
      </c>
      <c r="G221" s="6"/>
      <c r="H221" s="6"/>
      <c r="I221" s="2">
        <v>198000</v>
      </c>
      <c r="J221" s="2" t="s">
        <v>2853</v>
      </c>
      <c r="K221" s="6">
        <v>800285</v>
      </c>
      <c r="L221" s="6"/>
      <c r="M221" s="6"/>
      <c r="N221" s="46" t="s">
        <v>2852</v>
      </c>
      <c r="O221" s="6">
        <v>906707046</v>
      </c>
      <c r="P221" s="78" t="s">
        <v>2851</v>
      </c>
      <c r="Q221" s="6">
        <v>10141</v>
      </c>
      <c r="R221" s="6">
        <v>27141</v>
      </c>
      <c r="S221" s="5" t="str">
        <f>VLOOKUP(T221,'[1]Kode Posisi'!$A$3:$B$45,2,)</f>
        <v>Outsourcing Keamanan</v>
      </c>
      <c r="T221" s="36" t="s">
        <v>2850</v>
      </c>
      <c r="U221" s="44" t="s">
        <v>2849</v>
      </c>
      <c r="V221" s="44" t="s">
        <v>2848</v>
      </c>
      <c r="W221" s="36" t="s">
        <v>2847</v>
      </c>
      <c r="X221" s="36" t="s">
        <v>123</v>
      </c>
      <c r="Y221" s="36" t="s">
        <v>52</v>
      </c>
      <c r="Z221" s="79" t="s">
        <v>2846</v>
      </c>
      <c r="AA221" s="36" t="s">
        <v>2845</v>
      </c>
      <c r="AB221" s="47">
        <v>3825000</v>
      </c>
      <c r="AC221" s="47">
        <v>4023000</v>
      </c>
      <c r="AD221" s="47">
        <v>3825000</v>
      </c>
      <c r="AE221" s="16">
        <f t="shared" si="97"/>
        <v>0</v>
      </c>
      <c r="AF221" s="16">
        <v>0</v>
      </c>
      <c r="AG221" s="16">
        <v>200000</v>
      </c>
      <c r="AH221" s="16"/>
      <c r="AI221" s="16">
        <v>132658.95953757226</v>
      </c>
      <c r="AJ221" s="16">
        <v>1400000</v>
      </c>
      <c r="AK221" s="16">
        <v>0</v>
      </c>
      <c r="AL221" s="11">
        <f t="shared" si="98"/>
        <v>5557658.9595375722</v>
      </c>
      <c r="AM221" s="16">
        <f t="shared" si="99"/>
        <v>411955.19999999995</v>
      </c>
      <c r="AN221" s="16">
        <f t="shared" si="100"/>
        <v>160920</v>
      </c>
      <c r="AO221" s="16">
        <f t="shared" si="93"/>
        <v>251035.19999999998</v>
      </c>
      <c r="AP221" s="16">
        <f t="shared" si="101"/>
        <v>141525</v>
      </c>
      <c r="AQ221" s="16">
        <f t="shared" si="102"/>
        <v>5969614.1595375724</v>
      </c>
      <c r="AR221" s="16">
        <f t="shared" si="89"/>
        <v>358176.84957225434</v>
      </c>
      <c r="AS221" s="16">
        <f t="shared" si="103"/>
        <v>39399.453452947979</v>
      </c>
      <c r="AT221" s="16">
        <f t="shared" si="104"/>
        <v>-7163.5369914450866</v>
      </c>
      <c r="AU221" s="16">
        <f t="shared" si="105"/>
        <v>6320627.4721183814</v>
      </c>
      <c r="AV221" s="16">
        <f t="shared" si="106"/>
        <v>6327791.0091098268</v>
      </c>
      <c r="AW221" s="16">
        <f t="shared" si="107"/>
        <v>160920</v>
      </c>
      <c r="AX221" s="16" t="s">
        <v>319</v>
      </c>
      <c r="AY221" s="17"/>
      <c r="AZ221" s="17">
        <f t="shared" si="108"/>
        <v>0</v>
      </c>
      <c r="BA221" s="16">
        <f t="shared" si="109"/>
        <v>5396738.9595375722</v>
      </c>
      <c r="BB221" s="16">
        <f t="shared" si="110"/>
        <v>5396738.9595375722</v>
      </c>
      <c r="BC221" s="15">
        <v>0.03</v>
      </c>
      <c r="BD221" s="15">
        <v>0.01</v>
      </c>
      <c r="BE221" s="37">
        <f t="shared" si="111"/>
        <v>371725.2</v>
      </c>
      <c r="BF221" s="38">
        <f t="shared" si="112"/>
        <v>229311.00000000003</v>
      </c>
      <c r="BG221" s="37">
        <f t="shared" si="116"/>
        <v>191250</v>
      </c>
      <c r="BH221" s="37">
        <f t="shared" si="113"/>
        <v>201150</v>
      </c>
      <c r="BI221">
        <v>191250</v>
      </c>
      <c r="BL221" s="8">
        <f t="shared" si="114"/>
        <v>1732658.9595375722</v>
      </c>
      <c r="BM221" s="7" t="str">
        <f t="shared" si="94"/>
        <v>Terdaftar BPJS Kes &amp; Naker</v>
      </c>
      <c r="BN221" s="11">
        <f t="shared" si="95"/>
        <v>229311</v>
      </c>
      <c r="BO221" s="11">
        <f t="shared" si="96"/>
        <v>182644.2</v>
      </c>
      <c r="BP221" s="9">
        <f t="shared" si="115"/>
        <v>0</v>
      </c>
      <c r="BQ221" t="str">
        <f>_xlfn.XLOOKUP(X221,'[2]NON TETAP'!$H:$H,'[2]NON TETAP'!$I:$I)</f>
        <v>GRAMEDIA ASRI MEDIA</v>
      </c>
    </row>
    <row r="222" spans="1:69" x14ac:dyDescent="0.3">
      <c r="A222" s="2">
        <v>221</v>
      </c>
      <c r="B222" s="5" t="s">
        <v>2836</v>
      </c>
      <c r="C222" s="6" t="s">
        <v>241</v>
      </c>
      <c r="D222" s="6"/>
      <c r="E222" s="6" t="s">
        <v>73</v>
      </c>
      <c r="F222" s="6" t="s">
        <v>73</v>
      </c>
      <c r="G222" s="6"/>
      <c r="H222" s="6"/>
      <c r="I222" s="6">
        <v>198000</v>
      </c>
      <c r="J222" s="6"/>
      <c r="K222" s="6">
        <v>800286</v>
      </c>
      <c r="L222" s="6"/>
      <c r="M222" s="6" t="s">
        <v>2844</v>
      </c>
      <c r="N222" s="46" t="s">
        <v>2843</v>
      </c>
      <c r="O222" s="6">
        <v>2039780035</v>
      </c>
      <c r="P222" s="78" t="s">
        <v>2842</v>
      </c>
      <c r="Q222" s="6">
        <v>10484</v>
      </c>
      <c r="R222" s="6">
        <v>27484</v>
      </c>
      <c r="S222" s="5" t="str">
        <f>VLOOKUP(T222,'[1]Kode Posisi'!$A$3:$B$45,2,)</f>
        <v>Outsourcing Keamanan</v>
      </c>
      <c r="T222" s="36" t="s">
        <v>37</v>
      </c>
      <c r="U222" s="44" t="s">
        <v>2841</v>
      </c>
      <c r="V222" s="44" t="s">
        <v>2840</v>
      </c>
      <c r="W222" s="36" t="s">
        <v>2839</v>
      </c>
      <c r="X222" s="36" t="s">
        <v>2838</v>
      </c>
      <c r="Y222" s="36" t="s">
        <v>52</v>
      </c>
      <c r="Z222" s="79" t="s">
        <v>2837</v>
      </c>
      <c r="AA222" s="36" t="s">
        <v>2836</v>
      </c>
      <c r="AB222" s="47">
        <v>3825000</v>
      </c>
      <c r="AC222" s="47">
        <v>4023000</v>
      </c>
      <c r="AD222" s="47">
        <v>3825000</v>
      </c>
      <c r="AE222" s="16">
        <f t="shared" si="97"/>
        <v>0</v>
      </c>
      <c r="AF222" s="16">
        <v>0</v>
      </c>
      <c r="AG222" s="16">
        <v>0</v>
      </c>
      <c r="AH222" s="16"/>
      <c r="AI222" s="16">
        <v>0</v>
      </c>
      <c r="AJ222" s="16"/>
      <c r="AK222" s="16">
        <v>0</v>
      </c>
      <c r="AL222" s="11">
        <f t="shared" si="98"/>
        <v>3825000</v>
      </c>
      <c r="AM222" s="16">
        <f t="shared" si="99"/>
        <v>411955.19999999995</v>
      </c>
      <c r="AN222" s="16">
        <f t="shared" si="100"/>
        <v>160920</v>
      </c>
      <c r="AO222" s="16">
        <f t="shared" si="93"/>
        <v>251035.19999999998</v>
      </c>
      <c r="AP222" s="16">
        <f t="shared" si="101"/>
        <v>141525</v>
      </c>
      <c r="AQ222" s="16">
        <f t="shared" si="102"/>
        <v>4236955.2</v>
      </c>
      <c r="AR222" s="16">
        <f t="shared" si="89"/>
        <v>254217.31200000001</v>
      </c>
      <c r="AS222" s="16">
        <f t="shared" si="103"/>
        <v>27963.904320000001</v>
      </c>
      <c r="AT222" s="16">
        <f t="shared" si="104"/>
        <v>-5084.3462399999999</v>
      </c>
      <c r="AU222" s="16">
        <f t="shared" si="105"/>
        <v>4486088.1657600002</v>
      </c>
      <c r="AV222" s="16">
        <f t="shared" si="106"/>
        <v>4491172.5120000001</v>
      </c>
      <c r="AW222" s="16">
        <f t="shared" si="107"/>
        <v>160920</v>
      </c>
      <c r="AX222" s="16" t="s">
        <v>319</v>
      </c>
      <c r="AY222" s="17"/>
      <c r="AZ222" s="17">
        <f t="shared" si="108"/>
        <v>0</v>
      </c>
      <c r="BA222" s="16">
        <f t="shared" si="109"/>
        <v>3664080</v>
      </c>
      <c r="BB222" s="16">
        <f t="shared" si="110"/>
        <v>3664080</v>
      </c>
      <c r="BC222" s="15">
        <v>0.03</v>
      </c>
      <c r="BD222" s="15">
        <v>0.01</v>
      </c>
      <c r="BE222" s="37">
        <f t="shared" si="111"/>
        <v>371725.2</v>
      </c>
      <c r="BF222" s="38">
        <f t="shared" si="112"/>
        <v>229311.00000000003</v>
      </c>
      <c r="BG222" s="37">
        <f t="shared" si="116"/>
        <v>191250</v>
      </c>
      <c r="BH222" s="37">
        <f t="shared" si="113"/>
        <v>201150</v>
      </c>
      <c r="BI222">
        <v>191250</v>
      </c>
      <c r="BL222" s="8">
        <f t="shared" si="114"/>
        <v>0</v>
      </c>
      <c r="BM222" s="7" t="str">
        <f t="shared" si="94"/>
        <v>Terdaftar BPJS Kes &amp; Naker</v>
      </c>
      <c r="BN222" s="11">
        <f t="shared" si="95"/>
        <v>229311</v>
      </c>
      <c r="BO222" s="11">
        <f t="shared" si="96"/>
        <v>182644.2</v>
      </c>
      <c r="BP222" s="9">
        <f t="shared" si="115"/>
        <v>0</v>
      </c>
      <c r="BQ222" t="str">
        <f>_xlfn.XLOOKUP(X222,'[2]NON TETAP'!$H:$H,'[2]NON TETAP'!$I:$I)</f>
        <v>GRAMEDIA ASRI MEDIA</v>
      </c>
    </row>
    <row r="223" spans="1:69" x14ac:dyDescent="0.3">
      <c r="A223" s="2">
        <v>222</v>
      </c>
      <c r="B223" s="5" t="s">
        <v>2835</v>
      </c>
      <c r="C223" s="6" t="s">
        <v>241</v>
      </c>
      <c r="D223" s="6"/>
      <c r="E223" s="6" t="s">
        <v>73</v>
      </c>
      <c r="F223" s="6" t="s">
        <v>73</v>
      </c>
      <c r="G223" s="6"/>
      <c r="H223" s="6"/>
      <c r="I223" s="6"/>
      <c r="J223" s="6"/>
      <c r="K223" s="6">
        <v>800288</v>
      </c>
      <c r="L223" s="6"/>
      <c r="M223" s="6" t="s">
        <v>2834</v>
      </c>
      <c r="N223" s="46" t="s">
        <v>2833</v>
      </c>
      <c r="O223" s="6">
        <v>1125197728</v>
      </c>
      <c r="P223" s="78" t="s">
        <v>2832</v>
      </c>
      <c r="Q223" s="6">
        <v>10183</v>
      </c>
      <c r="R223" s="6">
        <v>27183</v>
      </c>
      <c r="S223" s="5" t="str">
        <f>VLOOKUP(T223,'[1]Kode Posisi'!$A$3:$B$45,2,)</f>
        <v>Outsourcing Keamanan</v>
      </c>
      <c r="T223" s="36" t="s">
        <v>37</v>
      </c>
      <c r="U223" s="44" t="s">
        <v>1395</v>
      </c>
      <c r="V223" s="44" t="s">
        <v>2831</v>
      </c>
      <c r="W223" s="36" t="s">
        <v>1393</v>
      </c>
      <c r="X223" s="36" t="s">
        <v>57</v>
      </c>
      <c r="Y223" s="36" t="s">
        <v>1294</v>
      </c>
      <c r="Z223" s="79" t="s">
        <v>2830</v>
      </c>
      <c r="AA223" s="36" t="s">
        <v>2829</v>
      </c>
      <c r="AB223" s="47">
        <v>5289000</v>
      </c>
      <c r="AC223" s="41">
        <v>5289000</v>
      </c>
      <c r="AD223" s="47">
        <v>4962000</v>
      </c>
      <c r="AE223" s="16">
        <f t="shared" si="97"/>
        <v>327000</v>
      </c>
      <c r="AF223" s="16">
        <v>0</v>
      </c>
      <c r="AG223" s="16">
        <v>0</v>
      </c>
      <c r="AH223" s="16"/>
      <c r="AI223" s="16">
        <v>0</v>
      </c>
      <c r="AJ223" s="16"/>
      <c r="AK223" s="16">
        <v>0</v>
      </c>
      <c r="AL223" s="11">
        <f t="shared" si="98"/>
        <v>5289000</v>
      </c>
      <c r="AM223" s="16">
        <f t="shared" si="99"/>
        <v>541593.59999999998</v>
      </c>
      <c r="AN223" s="16">
        <f t="shared" si="100"/>
        <v>211560</v>
      </c>
      <c r="AO223" s="16">
        <f t="shared" si="93"/>
        <v>330033.59999999998</v>
      </c>
      <c r="AP223" s="16">
        <f t="shared" si="101"/>
        <v>195693</v>
      </c>
      <c r="AQ223" s="16">
        <f t="shared" si="102"/>
        <v>5830593.5999999996</v>
      </c>
      <c r="AR223" s="16">
        <f t="shared" si="89"/>
        <v>349835.61599999998</v>
      </c>
      <c r="AS223" s="16">
        <f t="shared" si="103"/>
        <v>38481.917759999997</v>
      </c>
      <c r="AT223" s="16">
        <f t="shared" si="104"/>
        <v>-6996.7123199999996</v>
      </c>
      <c r="AU223" s="16">
        <f t="shared" si="105"/>
        <v>6173432.5036800001</v>
      </c>
      <c r="AV223" s="16">
        <f t="shared" si="106"/>
        <v>6180429.216</v>
      </c>
      <c r="AW223" s="16">
        <f t="shared" si="107"/>
        <v>211560</v>
      </c>
      <c r="AX223" s="16" t="s">
        <v>91</v>
      </c>
      <c r="AY223" s="17"/>
      <c r="AZ223" s="17">
        <f t="shared" si="108"/>
        <v>2900</v>
      </c>
      <c r="BA223" s="16">
        <f t="shared" si="109"/>
        <v>5077440</v>
      </c>
      <c r="BB223" s="16">
        <f t="shared" si="110"/>
        <v>5074540</v>
      </c>
      <c r="BC223" s="15">
        <v>0.03</v>
      </c>
      <c r="BD223" s="15">
        <v>0.01</v>
      </c>
      <c r="BE223" s="37">
        <f t="shared" si="111"/>
        <v>488703.6</v>
      </c>
      <c r="BF223" s="38">
        <f t="shared" si="112"/>
        <v>301473</v>
      </c>
      <c r="BG223" s="37">
        <f t="shared" si="116"/>
        <v>248100</v>
      </c>
      <c r="BH223" s="37">
        <f t="shared" si="113"/>
        <v>264450</v>
      </c>
      <c r="BI223">
        <v>248100</v>
      </c>
      <c r="BL223" s="8">
        <f t="shared" si="114"/>
        <v>0</v>
      </c>
      <c r="BM223" s="7" t="str">
        <f t="shared" si="94"/>
        <v>Terdaftar BPJS Kes &amp; Naker</v>
      </c>
      <c r="BN223" s="11">
        <f t="shared" si="95"/>
        <v>301473</v>
      </c>
      <c r="BO223" s="11">
        <f t="shared" si="96"/>
        <v>240120.6</v>
      </c>
      <c r="BP223" s="9">
        <f t="shared" si="115"/>
        <v>0</v>
      </c>
      <c r="BQ223" t="str">
        <f>_xlfn.XLOOKUP(X223,'[2]NON TETAP'!$H:$H,'[2]NON TETAP'!$I:$I)</f>
        <v>GRAMEDIA ASRI MEDIA</v>
      </c>
    </row>
    <row r="224" spans="1:69" x14ac:dyDescent="0.3">
      <c r="A224" s="2">
        <v>223</v>
      </c>
      <c r="B224" s="5" t="s">
        <v>2828</v>
      </c>
      <c r="C224" s="6" t="s">
        <v>241</v>
      </c>
      <c r="D224" s="6"/>
      <c r="E224" s="6" t="s">
        <v>73</v>
      </c>
      <c r="F224" s="6" t="s">
        <v>73</v>
      </c>
      <c r="G224" s="6"/>
      <c r="H224" s="6"/>
      <c r="I224" s="6"/>
      <c r="J224" s="6"/>
      <c r="K224" s="6">
        <v>800289</v>
      </c>
      <c r="L224" s="6"/>
      <c r="M224" s="6" t="s">
        <v>2827</v>
      </c>
      <c r="N224" s="46" t="s">
        <v>2826</v>
      </c>
      <c r="O224" s="6">
        <v>1106680105</v>
      </c>
      <c r="P224" s="78" t="s">
        <v>2825</v>
      </c>
      <c r="Q224" s="6">
        <v>10441</v>
      </c>
      <c r="R224" s="6">
        <v>27441</v>
      </c>
      <c r="S224" s="5" t="str">
        <f>VLOOKUP(T224,'[1]Kode Posisi'!$A$3:$B$45,2,)</f>
        <v>Outsourcing Keamanan</v>
      </c>
      <c r="T224" s="36" t="s">
        <v>37</v>
      </c>
      <c r="U224" s="44" t="s">
        <v>1395</v>
      </c>
      <c r="V224" s="44" t="s">
        <v>2824</v>
      </c>
      <c r="W224" s="36" t="s">
        <v>2823</v>
      </c>
      <c r="X224" s="36" t="s">
        <v>1331</v>
      </c>
      <c r="Y224" s="36" t="s">
        <v>52</v>
      </c>
      <c r="Z224" s="79" t="s">
        <v>2822</v>
      </c>
      <c r="AA224" s="36" t="s">
        <v>2821</v>
      </c>
      <c r="AB224" s="47">
        <v>5289000</v>
      </c>
      <c r="AC224" s="41">
        <v>5289000</v>
      </c>
      <c r="AD224" s="47">
        <v>4962000</v>
      </c>
      <c r="AE224" s="16">
        <f t="shared" si="97"/>
        <v>327000</v>
      </c>
      <c r="AF224" s="16">
        <v>0</v>
      </c>
      <c r="AG224" s="16">
        <v>0</v>
      </c>
      <c r="AH224" s="16"/>
      <c r="AI224" s="16">
        <v>0</v>
      </c>
      <c r="AJ224" s="16"/>
      <c r="AK224" s="16">
        <v>0</v>
      </c>
      <c r="AL224" s="11">
        <f t="shared" si="98"/>
        <v>5289000</v>
      </c>
      <c r="AM224" s="16">
        <f t="shared" si="99"/>
        <v>541593.59999999998</v>
      </c>
      <c r="AN224" s="16">
        <f t="shared" si="100"/>
        <v>211560</v>
      </c>
      <c r="AO224" s="16">
        <f t="shared" si="93"/>
        <v>330033.59999999998</v>
      </c>
      <c r="AP224" s="16">
        <f t="shared" si="101"/>
        <v>195693</v>
      </c>
      <c r="AQ224" s="16">
        <f t="shared" si="102"/>
        <v>5830593.5999999996</v>
      </c>
      <c r="AR224" s="16">
        <f t="shared" si="89"/>
        <v>349835.61599999998</v>
      </c>
      <c r="AS224" s="16">
        <f t="shared" si="103"/>
        <v>38481.917759999997</v>
      </c>
      <c r="AT224" s="16">
        <f t="shared" si="104"/>
        <v>-6996.7123199999996</v>
      </c>
      <c r="AU224" s="16">
        <f t="shared" si="105"/>
        <v>6173432.5036800001</v>
      </c>
      <c r="AV224" s="16">
        <f t="shared" si="106"/>
        <v>6180429.216</v>
      </c>
      <c r="AW224" s="16">
        <f t="shared" si="107"/>
        <v>211560</v>
      </c>
      <c r="AX224" s="16" t="s">
        <v>286</v>
      </c>
      <c r="AY224" s="17"/>
      <c r="AZ224" s="17">
        <f t="shared" si="108"/>
        <v>0</v>
      </c>
      <c r="BA224" s="16">
        <f t="shared" si="109"/>
        <v>5077440</v>
      </c>
      <c r="BB224" s="16">
        <f t="shared" si="110"/>
        <v>5077440</v>
      </c>
      <c r="BC224" s="15">
        <v>0.03</v>
      </c>
      <c r="BD224" s="15">
        <v>0.01</v>
      </c>
      <c r="BE224" s="37">
        <f t="shared" si="111"/>
        <v>488703.6</v>
      </c>
      <c r="BF224" s="38">
        <f t="shared" si="112"/>
        <v>301473</v>
      </c>
      <c r="BG224" s="37">
        <f t="shared" si="116"/>
        <v>248100</v>
      </c>
      <c r="BH224" s="37">
        <f t="shared" si="113"/>
        <v>264450</v>
      </c>
      <c r="BI224">
        <v>248100</v>
      </c>
      <c r="BL224" s="8">
        <f t="shared" si="114"/>
        <v>0</v>
      </c>
      <c r="BM224" s="7" t="str">
        <f t="shared" si="94"/>
        <v>Terdaftar BPJS Kes &amp; Naker</v>
      </c>
      <c r="BN224" s="11">
        <f t="shared" si="95"/>
        <v>301473</v>
      </c>
      <c r="BO224" s="11">
        <f t="shared" si="96"/>
        <v>240120.6</v>
      </c>
      <c r="BP224" s="9">
        <f t="shared" si="115"/>
        <v>0</v>
      </c>
      <c r="BQ224" t="str">
        <f>_xlfn.XLOOKUP(X224,'[2]NON TETAP'!$H:$H,'[2]NON TETAP'!$I:$I)</f>
        <v>GRAMEDIA ASRI MEDIA</v>
      </c>
    </row>
    <row r="225" spans="1:69" x14ac:dyDescent="0.3">
      <c r="A225" s="2">
        <v>224</v>
      </c>
      <c r="B225" s="4" t="s">
        <v>2816</v>
      </c>
      <c r="C225" s="6" t="s">
        <v>241</v>
      </c>
      <c r="D225" s="6"/>
      <c r="E225" s="6" t="s">
        <v>73</v>
      </c>
      <c r="F225" s="6" t="s">
        <v>73</v>
      </c>
      <c r="G225" s="6"/>
      <c r="H225" s="6"/>
      <c r="I225" s="2"/>
      <c r="J225" s="2"/>
      <c r="K225" s="6">
        <v>800290</v>
      </c>
      <c r="L225" s="6"/>
      <c r="M225" s="6"/>
      <c r="N225" s="46" t="s">
        <v>2820</v>
      </c>
      <c r="O225" s="6">
        <v>1864950164</v>
      </c>
      <c r="P225" s="78" t="s">
        <v>2819</v>
      </c>
      <c r="Q225" s="6">
        <v>10183</v>
      </c>
      <c r="R225" s="6">
        <v>27183</v>
      </c>
      <c r="S225" s="5" t="str">
        <f>VLOOKUP(T225,'[1]Kode Posisi'!$A$3:$B$45,2,)</f>
        <v>Outsourcing Keamanan</v>
      </c>
      <c r="T225" s="36" t="s">
        <v>37</v>
      </c>
      <c r="U225" s="44" t="s">
        <v>1395</v>
      </c>
      <c r="V225" s="44" t="s">
        <v>2818</v>
      </c>
      <c r="W225" s="36" t="s">
        <v>1393</v>
      </c>
      <c r="X225" s="36" t="s">
        <v>57</v>
      </c>
      <c r="Y225" s="36" t="s">
        <v>1294</v>
      </c>
      <c r="Z225" s="79" t="s">
        <v>2817</v>
      </c>
      <c r="AA225" s="36" t="s">
        <v>2816</v>
      </c>
      <c r="AB225" s="47">
        <v>5289000</v>
      </c>
      <c r="AC225" s="41">
        <v>5289000</v>
      </c>
      <c r="AD225" s="47">
        <v>4962000</v>
      </c>
      <c r="AE225" s="16">
        <f t="shared" si="97"/>
        <v>327000</v>
      </c>
      <c r="AF225" s="16">
        <v>0</v>
      </c>
      <c r="AG225" s="16">
        <v>0</v>
      </c>
      <c r="AH225" s="16"/>
      <c r="AI225" s="16">
        <v>0</v>
      </c>
      <c r="AJ225" s="16"/>
      <c r="AK225" s="16">
        <v>0</v>
      </c>
      <c r="AL225" s="11">
        <f t="shared" si="98"/>
        <v>5289000</v>
      </c>
      <c r="AM225" s="16">
        <f t="shared" si="99"/>
        <v>541593.59999999998</v>
      </c>
      <c r="AN225" s="16">
        <f t="shared" si="100"/>
        <v>211560</v>
      </c>
      <c r="AO225" s="16">
        <f t="shared" si="93"/>
        <v>330033.59999999998</v>
      </c>
      <c r="AP225" s="16">
        <f t="shared" si="101"/>
        <v>195693</v>
      </c>
      <c r="AQ225" s="16">
        <f t="shared" si="102"/>
        <v>5830593.5999999996</v>
      </c>
      <c r="AR225" s="16">
        <f t="shared" si="89"/>
        <v>349835.61599999998</v>
      </c>
      <c r="AS225" s="16">
        <f t="shared" si="103"/>
        <v>38481.917759999997</v>
      </c>
      <c r="AT225" s="16">
        <f t="shared" si="104"/>
        <v>-6996.7123199999996</v>
      </c>
      <c r="AU225" s="16">
        <f t="shared" si="105"/>
        <v>6173432.5036800001</v>
      </c>
      <c r="AV225" s="16">
        <f t="shared" si="106"/>
        <v>6180429.216</v>
      </c>
      <c r="AW225" s="16">
        <f t="shared" si="107"/>
        <v>211560</v>
      </c>
      <c r="AX225" s="16" t="s">
        <v>286</v>
      </c>
      <c r="AY225" s="17"/>
      <c r="AZ225" s="17">
        <f t="shared" si="108"/>
        <v>2900</v>
      </c>
      <c r="BA225" s="16">
        <f t="shared" si="109"/>
        <v>5077440</v>
      </c>
      <c r="BB225" s="16">
        <f t="shared" si="110"/>
        <v>5074540</v>
      </c>
      <c r="BC225" s="15">
        <v>0.03</v>
      </c>
      <c r="BD225" s="15">
        <v>0.01</v>
      </c>
      <c r="BE225" s="37">
        <f t="shared" si="111"/>
        <v>488703.6</v>
      </c>
      <c r="BF225" s="38">
        <f t="shared" si="112"/>
        <v>301473</v>
      </c>
      <c r="BG225" s="37">
        <f t="shared" si="116"/>
        <v>248100</v>
      </c>
      <c r="BH225" s="37">
        <f t="shared" si="113"/>
        <v>264450</v>
      </c>
      <c r="BI225">
        <v>248100</v>
      </c>
      <c r="BL225" s="8">
        <f t="shared" si="114"/>
        <v>0</v>
      </c>
      <c r="BM225" s="7" t="str">
        <f t="shared" si="94"/>
        <v>Terdaftar BPJS Kes &amp; Naker</v>
      </c>
      <c r="BN225" s="11">
        <f t="shared" si="95"/>
        <v>301473</v>
      </c>
      <c r="BO225" s="11">
        <f t="shared" si="96"/>
        <v>240120.6</v>
      </c>
      <c r="BP225" s="9">
        <f t="shared" si="115"/>
        <v>0</v>
      </c>
      <c r="BQ225" t="str">
        <f>_xlfn.XLOOKUP(X225,'[2]NON TETAP'!$H:$H,'[2]NON TETAP'!$I:$I)</f>
        <v>GRAMEDIA ASRI MEDIA</v>
      </c>
    </row>
    <row r="226" spans="1:69" x14ac:dyDescent="0.3">
      <c r="A226" s="2">
        <v>225</v>
      </c>
      <c r="B226" s="5" t="s">
        <v>2815</v>
      </c>
      <c r="C226" s="6" t="s">
        <v>241</v>
      </c>
      <c r="D226" s="6"/>
      <c r="E226" s="6" t="s">
        <v>73</v>
      </c>
      <c r="F226" s="6" t="s">
        <v>73</v>
      </c>
      <c r="G226" s="6"/>
      <c r="H226" s="6"/>
      <c r="I226" s="6"/>
      <c r="J226" s="6"/>
      <c r="K226" s="6">
        <v>800292</v>
      </c>
      <c r="L226" s="6"/>
      <c r="M226" s="6" t="s">
        <v>2814</v>
      </c>
      <c r="N226" s="46" t="s">
        <v>2813</v>
      </c>
      <c r="O226" s="6">
        <v>1784776217</v>
      </c>
      <c r="P226" s="78" t="s">
        <v>2812</v>
      </c>
      <c r="Q226" s="6">
        <v>10111</v>
      </c>
      <c r="R226" s="6">
        <v>27111</v>
      </c>
      <c r="S226" s="5" t="str">
        <f>VLOOKUP(T226,'[1]Kode Posisi'!$A$3:$B$45,2,)</f>
        <v>Outsourcing Keamanan</v>
      </c>
      <c r="T226" s="36" t="s">
        <v>37</v>
      </c>
      <c r="U226" s="44" t="s">
        <v>1368</v>
      </c>
      <c r="V226" s="44" t="s">
        <v>2811</v>
      </c>
      <c r="W226" s="36" t="s">
        <v>1366</v>
      </c>
      <c r="X226" s="36" t="s">
        <v>1090</v>
      </c>
      <c r="Y226" s="36" t="s">
        <v>52</v>
      </c>
      <c r="Z226" s="79" t="s">
        <v>2810</v>
      </c>
      <c r="AA226" s="36" t="s">
        <v>2809</v>
      </c>
      <c r="AB226" s="47">
        <v>5289000</v>
      </c>
      <c r="AC226" s="41">
        <v>5289000</v>
      </c>
      <c r="AD226" s="47">
        <v>4962000</v>
      </c>
      <c r="AE226" s="16">
        <f t="shared" si="97"/>
        <v>327000</v>
      </c>
      <c r="AF226" s="16">
        <v>0</v>
      </c>
      <c r="AG226" s="16">
        <v>0</v>
      </c>
      <c r="AH226" s="16"/>
      <c r="AI226" s="16">
        <v>0</v>
      </c>
      <c r="AJ226" s="16"/>
      <c r="AK226" s="16">
        <v>0</v>
      </c>
      <c r="AL226" s="11">
        <f t="shared" si="98"/>
        <v>5289000</v>
      </c>
      <c r="AM226" s="16">
        <f t="shared" si="99"/>
        <v>541593.59999999998</v>
      </c>
      <c r="AN226" s="16">
        <f t="shared" si="100"/>
        <v>211560</v>
      </c>
      <c r="AO226" s="16">
        <f t="shared" si="93"/>
        <v>330033.59999999998</v>
      </c>
      <c r="AP226" s="16">
        <f t="shared" si="101"/>
        <v>195693</v>
      </c>
      <c r="AQ226" s="16">
        <f t="shared" si="102"/>
        <v>5830593.5999999996</v>
      </c>
      <c r="AR226" s="16">
        <f t="shared" si="89"/>
        <v>349835.61599999998</v>
      </c>
      <c r="AS226" s="16">
        <f t="shared" si="103"/>
        <v>38481.917759999997</v>
      </c>
      <c r="AT226" s="16">
        <f t="shared" si="104"/>
        <v>-6996.7123199999996</v>
      </c>
      <c r="AU226" s="16">
        <f t="shared" si="105"/>
        <v>6173432.5036800001</v>
      </c>
      <c r="AV226" s="16">
        <f t="shared" si="106"/>
        <v>6180429.216</v>
      </c>
      <c r="AW226" s="16">
        <f t="shared" si="107"/>
        <v>211560</v>
      </c>
      <c r="AX226" s="16" t="s">
        <v>91</v>
      </c>
      <c r="AY226" s="17"/>
      <c r="AZ226" s="17">
        <f t="shared" si="108"/>
        <v>0</v>
      </c>
      <c r="BA226" s="16">
        <f t="shared" si="109"/>
        <v>5077440</v>
      </c>
      <c r="BB226" s="16">
        <f t="shared" si="110"/>
        <v>5077440</v>
      </c>
      <c r="BC226" s="15">
        <v>0.03</v>
      </c>
      <c r="BD226" s="15">
        <v>0.01</v>
      </c>
      <c r="BE226" s="37">
        <f t="shared" si="111"/>
        <v>488703.6</v>
      </c>
      <c r="BF226" s="38">
        <f t="shared" si="112"/>
        <v>301473</v>
      </c>
      <c r="BG226" s="37">
        <f t="shared" si="116"/>
        <v>248100</v>
      </c>
      <c r="BH226" s="37">
        <f t="shared" si="113"/>
        <v>264450</v>
      </c>
      <c r="BI226">
        <v>248100</v>
      </c>
      <c r="BL226" s="8">
        <f t="shared" si="114"/>
        <v>0</v>
      </c>
      <c r="BM226" s="7" t="str">
        <f t="shared" si="94"/>
        <v>Terdaftar BPJS Kes &amp; Naker</v>
      </c>
      <c r="BN226" s="11">
        <f t="shared" si="95"/>
        <v>301473</v>
      </c>
      <c r="BO226" s="11">
        <f t="shared" si="96"/>
        <v>240120.6</v>
      </c>
      <c r="BP226" s="9">
        <f t="shared" si="115"/>
        <v>0</v>
      </c>
      <c r="BQ226" t="str">
        <f>_xlfn.XLOOKUP(X226,'[2]NON TETAP'!$H:$H,'[2]NON TETAP'!$I:$I)</f>
        <v>GRAMEDIA ASRI MEDIA</v>
      </c>
    </row>
    <row r="227" spans="1:69" x14ac:dyDescent="0.3">
      <c r="A227" s="2">
        <v>226</v>
      </c>
      <c r="B227" s="5" t="s">
        <v>2803</v>
      </c>
      <c r="C227" s="6" t="s">
        <v>241</v>
      </c>
      <c r="D227" s="6"/>
      <c r="E227" s="6" t="s">
        <v>73</v>
      </c>
      <c r="F227" s="6" t="s">
        <v>73</v>
      </c>
      <c r="G227" s="6"/>
      <c r="H227" s="6"/>
      <c r="I227" s="6"/>
      <c r="J227" s="6"/>
      <c r="K227" s="6">
        <v>800293</v>
      </c>
      <c r="L227" s="6"/>
      <c r="M227" s="6" t="s">
        <v>2808</v>
      </c>
      <c r="N227" s="46" t="s">
        <v>2807</v>
      </c>
      <c r="O227" s="6">
        <v>745318269</v>
      </c>
      <c r="P227" s="78" t="s">
        <v>2806</v>
      </c>
      <c r="Q227" s="6">
        <v>10111</v>
      </c>
      <c r="R227" s="6">
        <v>27111</v>
      </c>
      <c r="S227" s="5" t="str">
        <f>VLOOKUP(T227,'[1]Kode Posisi'!$A$3:$B$45,2,)</f>
        <v>Outsourcing Keamanan</v>
      </c>
      <c r="T227" s="36" t="s">
        <v>37</v>
      </c>
      <c r="U227" s="44" t="s">
        <v>1368</v>
      </c>
      <c r="V227" s="44" t="s">
        <v>2805</v>
      </c>
      <c r="W227" s="36" t="s">
        <v>1366</v>
      </c>
      <c r="X227" s="36" t="s">
        <v>1090</v>
      </c>
      <c r="Y227" s="36" t="s">
        <v>1294</v>
      </c>
      <c r="Z227" s="79" t="s">
        <v>2804</v>
      </c>
      <c r="AA227" s="36" t="s">
        <v>2803</v>
      </c>
      <c r="AB227" s="47">
        <v>5289000</v>
      </c>
      <c r="AC227" s="41">
        <v>5289000</v>
      </c>
      <c r="AD227" s="47">
        <v>4962000</v>
      </c>
      <c r="AE227" s="16">
        <f t="shared" si="97"/>
        <v>327000</v>
      </c>
      <c r="AF227" s="16">
        <v>0</v>
      </c>
      <c r="AG227" s="16">
        <v>0</v>
      </c>
      <c r="AH227" s="16"/>
      <c r="AI227" s="16">
        <v>0</v>
      </c>
      <c r="AJ227" s="16"/>
      <c r="AK227" s="16">
        <v>0</v>
      </c>
      <c r="AL227" s="11">
        <f t="shared" si="98"/>
        <v>5289000</v>
      </c>
      <c r="AM227" s="16">
        <f t="shared" si="99"/>
        <v>541593.59999999998</v>
      </c>
      <c r="AN227" s="16">
        <f t="shared" si="100"/>
        <v>211560</v>
      </c>
      <c r="AO227" s="16">
        <f t="shared" si="93"/>
        <v>330033.59999999998</v>
      </c>
      <c r="AP227" s="16">
        <f t="shared" si="101"/>
        <v>195693</v>
      </c>
      <c r="AQ227" s="16">
        <f t="shared" si="102"/>
        <v>5830593.5999999996</v>
      </c>
      <c r="AR227" s="16">
        <f t="shared" si="89"/>
        <v>349835.61599999998</v>
      </c>
      <c r="AS227" s="16">
        <f t="shared" si="103"/>
        <v>38481.917759999997</v>
      </c>
      <c r="AT227" s="16">
        <f t="shared" si="104"/>
        <v>-6996.7123199999996</v>
      </c>
      <c r="AU227" s="16">
        <f t="shared" si="105"/>
        <v>6173432.5036800001</v>
      </c>
      <c r="AV227" s="16">
        <f t="shared" si="106"/>
        <v>6180429.216</v>
      </c>
      <c r="AW227" s="16">
        <f t="shared" si="107"/>
        <v>211560</v>
      </c>
      <c r="AX227" s="16" t="s">
        <v>91</v>
      </c>
      <c r="AY227" s="17"/>
      <c r="AZ227" s="17">
        <f t="shared" si="108"/>
        <v>2900</v>
      </c>
      <c r="BA227" s="16">
        <f t="shared" si="109"/>
        <v>5077440</v>
      </c>
      <c r="BB227" s="16">
        <f t="shared" si="110"/>
        <v>5074540</v>
      </c>
      <c r="BC227" s="15">
        <v>0.03</v>
      </c>
      <c r="BD227" s="15">
        <v>0.01</v>
      </c>
      <c r="BE227" s="37">
        <f t="shared" si="111"/>
        <v>488703.6</v>
      </c>
      <c r="BF227" s="38">
        <f t="shared" si="112"/>
        <v>301473</v>
      </c>
      <c r="BG227" s="37">
        <f t="shared" si="116"/>
        <v>248100</v>
      </c>
      <c r="BH227" s="37">
        <f t="shared" si="113"/>
        <v>264450</v>
      </c>
      <c r="BI227">
        <v>248100</v>
      </c>
      <c r="BL227" s="8">
        <f t="shared" si="114"/>
        <v>0</v>
      </c>
      <c r="BM227" s="7" t="str">
        <f t="shared" si="94"/>
        <v>Terdaftar BPJS Kes &amp; Naker</v>
      </c>
      <c r="BN227" s="11">
        <f t="shared" si="95"/>
        <v>301473</v>
      </c>
      <c r="BO227" s="11">
        <f t="shared" si="96"/>
        <v>240120.6</v>
      </c>
      <c r="BP227" s="9">
        <f t="shared" si="115"/>
        <v>0</v>
      </c>
      <c r="BQ227" t="str">
        <f>_xlfn.XLOOKUP(X227,'[2]NON TETAP'!$H:$H,'[2]NON TETAP'!$I:$I)</f>
        <v>GRAMEDIA ASRI MEDIA</v>
      </c>
    </row>
    <row r="228" spans="1:69" x14ac:dyDescent="0.3">
      <c r="A228" s="2">
        <v>227</v>
      </c>
      <c r="B228" s="5" t="s">
        <v>2797</v>
      </c>
      <c r="C228" s="6" t="s">
        <v>241</v>
      </c>
      <c r="D228" s="6"/>
      <c r="E228" s="6" t="s">
        <v>73</v>
      </c>
      <c r="F228" s="6" t="s">
        <v>73</v>
      </c>
      <c r="G228" s="6" t="s">
        <v>73</v>
      </c>
      <c r="H228" s="6"/>
      <c r="I228" s="6"/>
      <c r="J228" s="6"/>
      <c r="K228" s="6">
        <v>800295</v>
      </c>
      <c r="L228" s="6"/>
      <c r="M228" s="6" t="s">
        <v>2802</v>
      </c>
      <c r="N228" s="46" t="s">
        <v>2801</v>
      </c>
      <c r="O228" s="6">
        <v>1153432484</v>
      </c>
      <c r="P228" s="78" t="s">
        <v>2800</v>
      </c>
      <c r="Q228" s="6">
        <v>10102</v>
      </c>
      <c r="R228" s="6">
        <v>27102</v>
      </c>
      <c r="S228" s="5" t="str">
        <f>VLOOKUP(T228,'[1]Kode Posisi'!$A$3:$B$45,2,)</f>
        <v>Outsourcing Keamanan</v>
      </c>
      <c r="T228" s="36" t="s">
        <v>37</v>
      </c>
      <c r="U228" s="44" t="s">
        <v>1359</v>
      </c>
      <c r="V228" s="44" t="s">
        <v>2799</v>
      </c>
      <c r="W228" s="36" t="s">
        <v>1357</v>
      </c>
      <c r="X228" s="36" t="s">
        <v>1356</v>
      </c>
      <c r="Y228" s="36" t="s">
        <v>1294</v>
      </c>
      <c r="Z228" s="79" t="s">
        <v>2798</v>
      </c>
      <c r="AA228" s="36" t="s">
        <v>2797</v>
      </c>
      <c r="AB228" s="47">
        <v>5289000</v>
      </c>
      <c r="AC228" s="41">
        <v>5289000</v>
      </c>
      <c r="AD228" s="47">
        <v>4962000</v>
      </c>
      <c r="AE228" s="16">
        <f t="shared" si="97"/>
        <v>327000</v>
      </c>
      <c r="AF228" s="16">
        <v>0</v>
      </c>
      <c r="AG228" s="16">
        <v>0</v>
      </c>
      <c r="AH228" s="16"/>
      <c r="AI228" s="16">
        <v>0</v>
      </c>
      <c r="AJ228" s="16"/>
      <c r="AK228" s="16">
        <v>0</v>
      </c>
      <c r="AL228" s="11">
        <f t="shared" si="98"/>
        <v>5289000</v>
      </c>
      <c r="AM228" s="16">
        <f t="shared" si="99"/>
        <v>541593.59999999998</v>
      </c>
      <c r="AN228" s="16">
        <f t="shared" si="100"/>
        <v>211560</v>
      </c>
      <c r="AO228" s="16">
        <f t="shared" si="93"/>
        <v>330033.59999999998</v>
      </c>
      <c r="AP228" s="16">
        <f t="shared" si="101"/>
        <v>195693</v>
      </c>
      <c r="AQ228" s="16">
        <f t="shared" si="102"/>
        <v>5830593.5999999996</v>
      </c>
      <c r="AR228" s="16">
        <f t="shared" ref="AR228:AR244" si="117">SUM(AQ228*0.06)</f>
        <v>349835.61599999998</v>
      </c>
      <c r="AS228" s="16">
        <f t="shared" si="103"/>
        <v>38481.917759999997</v>
      </c>
      <c r="AT228" s="16">
        <f t="shared" si="104"/>
        <v>-6996.7123199999996</v>
      </c>
      <c r="AU228" s="16">
        <f t="shared" si="105"/>
        <v>6173432.5036800001</v>
      </c>
      <c r="AV228" s="16">
        <f t="shared" si="106"/>
        <v>6180429.216</v>
      </c>
      <c r="AW228" s="16">
        <f t="shared" si="107"/>
        <v>211560</v>
      </c>
      <c r="AX228" s="16" t="s">
        <v>243</v>
      </c>
      <c r="AY228" s="17"/>
      <c r="AZ228" s="17">
        <f t="shared" si="108"/>
        <v>2900</v>
      </c>
      <c r="BA228" s="16">
        <f t="shared" si="109"/>
        <v>5077440</v>
      </c>
      <c r="BB228" s="16">
        <f t="shared" si="110"/>
        <v>5074540</v>
      </c>
      <c r="BC228" s="15">
        <v>0.03</v>
      </c>
      <c r="BD228" s="15">
        <v>0.01</v>
      </c>
      <c r="BE228" s="37">
        <f t="shared" si="111"/>
        <v>488703.6</v>
      </c>
      <c r="BF228" s="38">
        <f t="shared" si="112"/>
        <v>301473</v>
      </c>
      <c r="BG228" s="37">
        <f t="shared" si="116"/>
        <v>248100</v>
      </c>
      <c r="BH228" s="37">
        <f t="shared" si="113"/>
        <v>264450</v>
      </c>
      <c r="BI228">
        <v>248100</v>
      </c>
      <c r="BL228" s="8">
        <f t="shared" si="114"/>
        <v>0</v>
      </c>
      <c r="BM228" s="7" t="str">
        <f t="shared" si="94"/>
        <v>Terdaftar BPJS Kes &amp; Naker</v>
      </c>
      <c r="BN228" s="11">
        <f t="shared" si="95"/>
        <v>301473</v>
      </c>
      <c r="BO228" s="11">
        <f t="shared" si="96"/>
        <v>240120.6</v>
      </c>
      <c r="BP228" s="9">
        <f t="shared" si="115"/>
        <v>0</v>
      </c>
      <c r="BQ228" t="str">
        <f>_xlfn.XLOOKUP(X228,'[2]NON TETAP'!$H:$H,'[2]NON TETAP'!$I:$I)</f>
        <v>GRAMEDIA ASRI MEDIA</v>
      </c>
    </row>
    <row r="229" spans="1:69" x14ac:dyDescent="0.3">
      <c r="A229" s="2">
        <v>228</v>
      </c>
      <c r="B229" s="4" t="s">
        <v>2796</v>
      </c>
      <c r="C229" s="6" t="s">
        <v>241</v>
      </c>
      <c r="D229" s="6"/>
      <c r="E229" s="6" t="s">
        <v>73</v>
      </c>
      <c r="F229" s="6" t="s">
        <v>73</v>
      </c>
      <c r="G229" s="6"/>
      <c r="H229" s="6"/>
      <c r="I229" s="2"/>
      <c r="J229" s="2"/>
      <c r="K229" s="6">
        <v>800296</v>
      </c>
      <c r="L229" s="6"/>
      <c r="M229" s="6"/>
      <c r="N229" s="46" t="s">
        <v>2795</v>
      </c>
      <c r="O229" s="6">
        <v>2938164568</v>
      </c>
      <c r="P229" s="78" t="s">
        <v>2794</v>
      </c>
      <c r="Q229" s="6">
        <v>10139</v>
      </c>
      <c r="R229" s="6">
        <v>27139</v>
      </c>
      <c r="S229" s="5" t="str">
        <f>VLOOKUP(T229,'[1]Kode Posisi'!$A$3:$B$45,2,)</f>
        <v>Outsourcing Keamanan</v>
      </c>
      <c r="T229" s="36" t="s">
        <v>37</v>
      </c>
      <c r="U229" s="44" t="s">
        <v>1351</v>
      </c>
      <c r="V229" s="44" t="s">
        <v>2793</v>
      </c>
      <c r="W229" s="36" t="s">
        <v>1349</v>
      </c>
      <c r="X229" s="36" t="s">
        <v>1348</v>
      </c>
      <c r="Y229" s="36" t="s">
        <v>52</v>
      </c>
      <c r="Z229" s="79" t="s">
        <v>2792</v>
      </c>
      <c r="AA229" s="36" t="s">
        <v>2791</v>
      </c>
      <c r="AB229" s="47">
        <v>5289000</v>
      </c>
      <c r="AC229" s="41">
        <v>5289000</v>
      </c>
      <c r="AD229" s="47">
        <v>4962000</v>
      </c>
      <c r="AE229" s="16">
        <f t="shared" si="97"/>
        <v>327000</v>
      </c>
      <c r="AF229" s="16">
        <v>0</v>
      </c>
      <c r="AG229" s="16">
        <v>0</v>
      </c>
      <c r="AH229" s="16"/>
      <c r="AI229" s="16">
        <v>0</v>
      </c>
      <c r="AJ229" s="16"/>
      <c r="AK229" s="16">
        <v>0</v>
      </c>
      <c r="AL229" s="11">
        <f t="shared" si="98"/>
        <v>5289000</v>
      </c>
      <c r="AM229" s="16">
        <f t="shared" si="99"/>
        <v>541593.59999999998</v>
      </c>
      <c r="AN229" s="16">
        <f t="shared" si="100"/>
        <v>211560</v>
      </c>
      <c r="AO229" s="16">
        <f t="shared" si="93"/>
        <v>330033.59999999998</v>
      </c>
      <c r="AP229" s="16">
        <f t="shared" si="101"/>
        <v>195693</v>
      </c>
      <c r="AQ229" s="16">
        <f t="shared" si="102"/>
        <v>5830593.5999999996</v>
      </c>
      <c r="AR229" s="16">
        <f t="shared" si="117"/>
        <v>349835.61599999998</v>
      </c>
      <c r="AS229" s="16">
        <f t="shared" si="103"/>
        <v>38481.917759999997</v>
      </c>
      <c r="AT229" s="16">
        <f t="shared" si="104"/>
        <v>-6996.7123199999996</v>
      </c>
      <c r="AU229" s="16">
        <f t="shared" si="105"/>
        <v>6173432.5036800001</v>
      </c>
      <c r="AV229" s="16">
        <f t="shared" si="106"/>
        <v>6180429.216</v>
      </c>
      <c r="AW229" s="16">
        <f t="shared" si="107"/>
        <v>211560</v>
      </c>
      <c r="AX229" s="16" t="s">
        <v>319</v>
      </c>
      <c r="AY229" s="17"/>
      <c r="AZ229" s="17">
        <f t="shared" si="108"/>
        <v>0</v>
      </c>
      <c r="BA229" s="16">
        <f t="shared" si="109"/>
        <v>5077440</v>
      </c>
      <c r="BB229" s="16">
        <f t="shared" si="110"/>
        <v>5077440</v>
      </c>
      <c r="BC229" s="15">
        <v>0.03</v>
      </c>
      <c r="BD229" s="15">
        <v>0.01</v>
      </c>
      <c r="BE229" s="37">
        <f t="shared" si="111"/>
        <v>488703.6</v>
      </c>
      <c r="BF229" s="38">
        <f t="shared" si="112"/>
        <v>301473</v>
      </c>
      <c r="BG229" s="37">
        <f t="shared" si="116"/>
        <v>248100</v>
      </c>
      <c r="BH229" s="37">
        <f t="shared" si="113"/>
        <v>264450</v>
      </c>
      <c r="BI229">
        <v>248100</v>
      </c>
      <c r="BL229" s="8">
        <f t="shared" si="114"/>
        <v>0</v>
      </c>
      <c r="BM229" s="7" t="str">
        <f t="shared" si="94"/>
        <v>Terdaftar BPJS Kes &amp; Naker</v>
      </c>
      <c r="BN229" s="11">
        <f t="shared" si="95"/>
        <v>301473</v>
      </c>
      <c r="BO229" s="11">
        <f t="shared" si="96"/>
        <v>240120.6</v>
      </c>
      <c r="BP229" s="9">
        <f t="shared" si="115"/>
        <v>0</v>
      </c>
      <c r="BQ229" t="str">
        <f>_xlfn.XLOOKUP(X229,'[2]NON TETAP'!$H:$H,'[2]NON TETAP'!$I:$I)</f>
        <v>GRAMEDIA ASRI MEDIA</v>
      </c>
    </row>
    <row r="230" spans="1:69" x14ac:dyDescent="0.3">
      <c r="A230" s="2">
        <v>229</v>
      </c>
      <c r="B230" s="5" t="s">
        <v>2785</v>
      </c>
      <c r="C230" s="6" t="s">
        <v>241</v>
      </c>
      <c r="D230" s="6"/>
      <c r="E230" s="6" t="s">
        <v>73</v>
      </c>
      <c r="F230" s="6" t="s">
        <v>73</v>
      </c>
      <c r="G230" s="6"/>
      <c r="H230" s="6"/>
      <c r="I230" s="6"/>
      <c r="J230" s="6"/>
      <c r="K230" s="6">
        <v>800297</v>
      </c>
      <c r="L230" s="6"/>
      <c r="M230" s="6" t="s">
        <v>2790</v>
      </c>
      <c r="N230" s="46" t="s">
        <v>2789</v>
      </c>
      <c r="O230" s="6">
        <v>1483220722</v>
      </c>
      <c r="P230" s="78" t="s">
        <v>2788</v>
      </c>
      <c r="Q230" s="6">
        <v>10220</v>
      </c>
      <c r="R230" s="6">
        <v>27220</v>
      </c>
      <c r="S230" s="5" t="str">
        <f>VLOOKUP(T230,'[1]Kode Posisi'!$A$3:$B$45,2,)</f>
        <v>Outsourcing Keamanan</v>
      </c>
      <c r="T230" s="36" t="s">
        <v>37</v>
      </c>
      <c r="U230" s="44" t="s">
        <v>1343</v>
      </c>
      <c r="V230" s="44" t="s">
        <v>2787</v>
      </c>
      <c r="W230" s="36" t="s">
        <v>1341</v>
      </c>
      <c r="X230" s="36" t="s">
        <v>1340</v>
      </c>
      <c r="Y230" s="36" t="s">
        <v>1294</v>
      </c>
      <c r="Z230" s="79" t="s">
        <v>2786</v>
      </c>
      <c r="AA230" s="36" t="s">
        <v>2785</v>
      </c>
      <c r="AB230" s="47">
        <v>5192000</v>
      </c>
      <c r="AC230" s="41">
        <v>5192000</v>
      </c>
      <c r="AD230" s="47">
        <v>4871000</v>
      </c>
      <c r="AE230" s="16">
        <f t="shared" si="97"/>
        <v>321000</v>
      </c>
      <c r="AF230" s="16">
        <v>0</v>
      </c>
      <c r="AG230" s="16">
        <v>0</v>
      </c>
      <c r="AH230" s="16"/>
      <c r="AI230" s="16">
        <v>0</v>
      </c>
      <c r="AJ230" s="16"/>
      <c r="AK230" s="16">
        <v>0</v>
      </c>
      <c r="AL230" s="11">
        <f t="shared" si="98"/>
        <v>5192000</v>
      </c>
      <c r="AM230" s="16">
        <f t="shared" si="99"/>
        <v>531660.80000000005</v>
      </c>
      <c r="AN230" s="16">
        <f t="shared" si="100"/>
        <v>207680</v>
      </c>
      <c r="AO230" s="16">
        <f t="shared" si="93"/>
        <v>323980.79999999999</v>
      </c>
      <c r="AP230" s="16">
        <f t="shared" si="101"/>
        <v>192104</v>
      </c>
      <c r="AQ230" s="16">
        <f t="shared" si="102"/>
        <v>5723660.7999999998</v>
      </c>
      <c r="AR230" s="16">
        <f t="shared" si="117"/>
        <v>343419.64799999999</v>
      </c>
      <c r="AS230" s="16">
        <f t="shared" si="103"/>
        <v>37776.16128</v>
      </c>
      <c r="AT230" s="16">
        <f t="shared" si="104"/>
        <v>-6868.3929600000001</v>
      </c>
      <c r="AU230" s="16">
        <f t="shared" si="105"/>
        <v>6060212.05504</v>
      </c>
      <c r="AV230" s="16">
        <f t="shared" si="106"/>
        <v>6067080.4479999999</v>
      </c>
      <c r="AW230" s="16">
        <f t="shared" si="107"/>
        <v>207680</v>
      </c>
      <c r="AX230" s="16" t="s">
        <v>319</v>
      </c>
      <c r="AY230" s="17"/>
      <c r="AZ230" s="17">
        <f t="shared" si="108"/>
        <v>2900</v>
      </c>
      <c r="BA230" s="16">
        <f t="shared" si="109"/>
        <v>4984320</v>
      </c>
      <c r="BB230" s="16">
        <f t="shared" si="110"/>
        <v>4981420</v>
      </c>
      <c r="BC230" s="15">
        <v>0.03</v>
      </c>
      <c r="BD230" s="15">
        <v>0.01</v>
      </c>
      <c r="BE230" s="37">
        <f t="shared" si="111"/>
        <v>479740.8</v>
      </c>
      <c r="BF230" s="38">
        <f t="shared" si="112"/>
        <v>295944</v>
      </c>
      <c r="BG230" s="37">
        <f t="shared" si="116"/>
        <v>243550</v>
      </c>
      <c r="BH230" s="37">
        <f t="shared" si="113"/>
        <v>259600</v>
      </c>
      <c r="BI230">
        <v>243550</v>
      </c>
      <c r="BL230" s="8">
        <f t="shared" si="114"/>
        <v>0</v>
      </c>
      <c r="BM230" s="7" t="str">
        <f t="shared" si="94"/>
        <v>Terdaftar BPJS Kes &amp; Naker</v>
      </c>
      <c r="BN230" s="11">
        <f t="shared" si="95"/>
        <v>295944</v>
      </c>
      <c r="BO230" s="11">
        <f t="shared" si="96"/>
        <v>235716.80000000002</v>
      </c>
      <c r="BP230" s="9">
        <f t="shared" si="115"/>
        <v>0</v>
      </c>
      <c r="BQ230" t="str">
        <f>_xlfn.XLOOKUP(X230,'[2]NON TETAP'!$H:$H,'[2]NON TETAP'!$I:$I)</f>
        <v>GRAMEDIA ASRI MEDIA</v>
      </c>
    </row>
    <row r="231" spans="1:69" x14ac:dyDescent="0.3">
      <c r="A231" s="2">
        <v>230</v>
      </c>
      <c r="B231" s="5" t="s">
        <v>2784</v>
      </c>
      <c r="C231" s="6" t="s">
        <v>241</v>
      </c>
      <c r="D231" s="6"/>
      <c r="E231" s="6" t="s">
        <v>73</v>
      </c>
      <c r="F231" s="6" t="s">
        <v>73</v>
      </c>
      <c r="G231" s="6"/>
      <c r="H231" s="6"/>
      <c r="I231" s="6"/>
      <c r="J231" s="6"/>
      <c r="K231" s="6">
        <v>800298</v>
      </c>
      <c r="L231" s="6"/>
      <c r="M231" s="6" t="s">
        <v>2783</v>
      </c>
      <c r="N231" s="46" t="s">
        <v>2782</v>
      </c>
      <c r="O231" s="6">
        <v>3125320997</v>
      </c>
      <c r="P231" s="78" t="s">
        <v>2781</v>
      </c>
      <c r="Q231" s="6">
        <v>10441</v>
      </c>
      <c r="R231" s="6">
        <v>27441</v>
      </c>
      <c r="S231" s="5" t="str">
        <f>VLOOKUP(T231,'[1]Kode Posisi'!$A$3:$B$45,2,)</f>
        <v>Outsourcing Keamanan</v>
      </c>
      <c r="T231" s="36" t="s">
        <v>37</v>
      </c>
      <c r="U231" s="44" t="s">
        <v>1334</v>
      </c>
      <c r="V231" s="44" t="s">
        <v>2780</v>
      </c>
      <c r="W231" s="36" t="s">
        <v>1332</v>
      </c>
      <c r="X231" s="36" t="s">
        <v>1331</v>
      </c>
      <c r="Y231" s="36" t="s">
        <v>1294</v>
      </c>
      <c r="Z231" s="79" t="s">
        <v>2779</v>
      </c>
      <c r="AA231" s="36" t="s">
        <v>2321</v>
      </c>
      <c r="AB231" s="47">
        <v>5289000</v>
      </c>
      <c r="AC231" s="41">
        <v>5289000</v>
      </c>
      <c r="AD231" s="47">
        <v>4962000</v>
      </c>
      <c r="AE231" s="16">
        <f t="shared" si="97"/>
        <v>327000</v>
      </c>
      <c r="AF231" s="16">
        <v>0</v>
      </c>
      <c r="AG231" s="16">
        <v>0</v>
      </c>
      <c r="AH231" s="16"/>
      <c r="AI231" s="16">
        <v>0</v>
      </c>
      <c r="AJ231" s="16"/>
      <c r="AK231" s="16">
        <v>0</v>
      </c>
      <c r="AL231" s="11">
        <f t="shared" si="98"/>
        <v>5289000</v>
      </c>
      <c r="AM231" s="16">
        <f t="shared" si="99"/>
        <v>541593.59999999998</v>
      </c>
      <c r="AN231" s="16">
        <f t="shared" si="100"/>
        <v>211560</v>
      </c>
      <c r="AO231" s="16">
        <f t="shared" si="93"/>
        <v>330033.59999999998</v>
      </c>
      <c r="AP231" s="16">
        <f t="shared" si="101"/>
        <v>195693</v>
      </c>
      <c r="AQ231" s="16">
        <f t="shared" si="102"/>
        <v>5830593.5999999996</v>
      </c>
      <c r="AR231" s="16">
        <f t="shared" si="117"/>
        <v>349835.61599999998</v>
      </c>
      <c r="AS231" s="16">
        <f t="shared" si="103"/>
        <v>38481.917759999997</v>
      </c>
      <c r="AT231" s="16">
        <f t="shared" si="104"/>
        <v>-6996.7123199999996</v>
      </c>
      <c r="AU231" s="16">
        <f t="shared" si="105"/>
        <v>6173432.5036800001</v>
      </c>
      <c r="AV231" s="16">
        <f t="shared" si="106"/>
        <v>6180429.216</v>
      </c>
      <c r="AW231" s="16">
        <f t="shared" si="107"/>
        <v>211560</v>
      </c>
      <c r="AX231" s="16" t="s">
        <v>286</v>
      </c>
      <c r="AY231" s="17"/>
      <c r="AZ231" s="17">
        <f t="shared" si="108"/>
        <v>2900</v>
      </c>
      <c r="BA231" s="16">
        <f t="shared" si="109"/>
        <v>5077440</v>
      </c>
      <c r="BB231" s="16">
        <f t="shared" si="110"/>
        <v>5074540</v>
      </c>
      <c r="BC231" s="15">
        <v>0.03</v>
      </c>
      <c r="BD231" s="15">
        <v>0.01</v>
      </c>
      <c r="BE231" s="37">
        <f t="shared" si="111"/>
        <v>488703.6</v>
      </c>
      <c r="BF231" s="38">
        <f t="shared" si="112"/>
        <v>301473</v>
      </c>
      <c r="BG231" s="37">
        <f t="shared" si="116"/>
        <v>248100</v>
      </c>
      <c r="BH231" s="37">
        <f t="shared" si="113"/>
        <v>264450</v>
      </c>
      <c r="BI231">
        <v>248100</v>
      </c>
      <c r="BL231" s="8">
        <f t="shared" si="114"/>
        <v>0</v>
      </c>
      <c r="BM231" s="7" t="str">
        <f t="shared" si="94"/>
        <v>Terdaftar BPJS Kes &amp; Naker</v>
      </c>
      <c r="BN231" s="11">
        <f t="shared" si="95"/>
        <v>301473</v>
      </c>
      <c r="BO231" s="11">
        <f t="shared" si="96"/>
        <v>240120.6</v>
      </c>
      <c r="BP231" s="9">
        <f t="shared" si="115"/>
        <v>0</v>
      </c>
      <c r="BQ231" t="str">
        <f>_xlfn.XLOOKUP(X231,'[2]NON TETAP'!$H:$H,'[2]NON TETAP'!$I:$I)</f>
        <v>GRAMEDIA ASRI MEDIA</v>
      </c>
    </row>
    <row r="232" spans="1:69" x14ac:dyDescent="0.3">
      <c r="A232" s="2">
        <v>231</v>
      </c>
      <c r="B232" s="5" t="s">
        <v>2773</v>
      </c>
      <c r="C232" s="6" t="s">
        <v>241</v>
      </c>
      <c r="D232" s="6"/>
      <c r="E232" s="6" t="s">
        <v>73</v>
      </c>
      <c r="F232" s="6" t="s">
        <v>73</v>
      </c>
      <c r="G232" s="6" t="s">
        <v>73</v>
      </c>
      <c r="H232" s="6"/>
      <c r="I232" s="6"/>
      <c r="J232" s="6" t="s">
        <v>2778</v>
      </c>
      <c r="K232" s="6">
        <v>800299</v>
      </c>
      <c r="L232" s="6"/>
      <c r="M232" s="6"/>
      <c r="N232" s="46" t="s">
        <v>2777</v>
      </c>
      <c r="O232" s="6">
        <v>1308225947</v>
      </c>
      <c r="P232" s="78" t="s">
        <v>2776</v>
      </c>
      <c r="Q232" s="6">
        <v>10161</v>
      </c>
      <c r="R232" s="6">
        <v>27161</v>
      </c>
      <c r="S232" s="5" t="str">
        <f>VLOOKUP(T232,'[1]Kode Posisi'!$A$3:$B$45,2,)</f>
        <v>Outsourcing Keamanan</v>
      </c>
      <c r="T232" s="36" t="s">
        <v>2743</v>
      </c>
      <c r="U232" s="44" t="s">
        <v>1227</v>
      </c>
      <c r="V232" s="44" t="s">
        <v>2775</v>
      </c>
      <c r="W232" s="36" t="s">
        <v>1225</v>
      </c>
      <c r="X232" s="36" t="s">
        <v>427</v>
      </c>
      <c r="Y232" s="36" t="s">
        <v>1294</v>
      </c>
      <c r="Z232" s="79" t="s">
        <v>2774</v>
      </c>
      <c r="AA232" s="36" t="s">
        <v>2773</v>
      </c>
      <c r="AB232" s="47">
        <v>5248000</v>
      </c>
      <c r="AC232" s="41">
        <v>5248000</v>
      </c>
      <c r="AD232" s="47">
        <v>4975000</v>
      </c>
      <c r="AE232" s="16">
        <f t="shared" si="97"/>
        <v>273000</v>
      </c>
      <c r="AF232" s="16">
        <v>0</v>
      </c>
      <c r="AG232" s="16">
        <v>500000</v>
      </c>
      <c r="AH232" s="16"/>
      <c r="AI232" s="16">
        <v>0</v>
      </c>
      <c r="AJ232" s="16"/>
      <c r="AK232" s="16">
        <v>0</v>
      </c>
      <c r="AL232" s="11">
        <f t="shared" si="98"/>
        <v>5748000</v>
      </c>
      <c r="AM232" s="16">
        <f t="shared" si="99"/>
        <v>0</v>
      </c>
      <c r="AN232" s="16">
        <f t="shared" si="100"/>
        <v>0</v>
      </c>
      <c r="AO232" s="16">
        <f t="shared" si="93"/>
        <v>0</v>
      </c>
      <c r="AP232" s="16">
        <f t="shared" si="101"/>
        <v>0</v>
      </c>
      <c r="AQ232" s="16">
        <f t="shared" si="102"/>
        <v>5748000</v>
      </c>
      <c r="AR232" s="16">
        <f t="shared" si="117"/>
        <v>344880</v>
      </c>
      <c r="AS232" s="16">
        <f t="shared" si="103"/>
        <v>37936.800000000003</v>
      </c>
      <c r="AT232" s="16">
        <f t="shared" si="104"/>
        <v>-6897.6</v>
      </c>
      <c r="AU232" s="16">
        <f t="shared" si="105"/>
        <v>6085982.4000000004</v>
      </c>
      <c r="AV232" s="16">
        <f t="shared" si="106"/>
        <v>6092880</v>
      </c>
      <c r="AW232" s="16">
        <f t="shared" si="107"/>
        <v>0</v>
      </c>
      <c r="AX232" s="16" t="s">
        <v>286</v>
      </c>
      <c r="AY232" s="17"/>
      <c r="AZ232" s="17">
        <f t="shared" si="108"/>
        <v>2900</v>
      </c>
      <c r="BA232" s="16">
        <f t="shared" si="109"/>
        <v>5748000</v>
      </c>
      <c r="BB232" s="16">
        <f t="shared" si="110"/>
        <v>5745100</v>
      </c>
      <c r="BC232" s="15"/>
      <c r="BD232" s="15"/>
      <c r="BE232" s="37">
        <f t="shared" si="111"/>
        <v>0</v>
      </c>
      <c r="BF232" s="38">
        <f t="shared" si="112"/>
        <v>0</v>
      </c>
      <c r="BG232" s="37">
        <f t="shared" si="116"/>
        <v>248750</v>
      </c>
      <c r="BH232" s="37">
        <f t="shared" si="113"/>
        <v>0</v>
      </c>
      <c r="BI232">
        <v>248750</v>
      </c>
      <c r="BL232" s="8">
        <f t="shared" si="114"/>
        <v>500000</v>
      </c>
      <c r="BM232" s="7" t="str">
        <f>IF(AND(BC232=0.03,0.2,BD232=0.01),"Terdaftar BPJS Kes &amp; Naker","Tidak Terdaftar")</f>
        <v>Tidak Terdaftar</v>
      </c>
      <c r="BN232" s="11"/>
      <c r="BO232" s="11"/>
      <c r="BP232" s="9">
        <f t="shared" si="115"/>
        <v>0</v>
      </c>
      <c r="BQ232" t="str">
        <f>_xlfn.XLOOKUP(X232,'[2]NON TETAP'!$H:$H,'[2]NON TETAP'!$I:$I)</f>
        <v>GRAMEDIA ASRI MEDIA</v>
      </c>
    </row>
    <row r="233" spans="1:69" x14ac:dyDescent="0.3">
      <c r="A233" s="2">
        <v>232</v>
      </c>
      <c r="B233" s="94" t="s">
        <v>2768</v>
      </c>
      <c r="C233" s="6" t="s">
        <v>241</v>
      </c>
      <c r="D233" s="6"/>
      <c r="E233" s="6" t="s">
        <v>73</v>
      </c>
      <c r="F233" s="6" t="s">
        <v>73</v>
      </c>
      <c r="G233" s="6"/>
      <c r="H233" s="6"/>
      <c r="I233" s="93">
        <v>151000</v>
      </c>
      <c r="J233" s="93"/>
      <c r="K233" s="6">
        <v>800300</v>
      </c>
      <c r="L233" s="6"/>
      <c r="M233" s="6"/>
      <c r="N233" s="46" t="s">
        <v>2772</v>
      </c>
      <c r="O233" s="6">
        <v>2406651917</v>
      </c>
      <c r="P233" s="78" t="s">
        <v>2771</v>
      </c>
      <c r="Q233" s="6">
        <v>10159</v>
      </c>
      <c r="R233" s="6">
        <v>27159</v>
      </c>
      <c r="S233" s="5" t="str">
        <f>VLOOKUP(T233,'[1]Kode Posisi'!$A$3:$B$45,2,)</f>
        <v>Outsourcing Keamanan</v>
      </c>
      <c r="T233" s="36" t="s">
        <v>37</v>
      </c>
      <c r="U233" s="44" t="s">
        <v>2759</v>
      </c>
      <c r="V233" s="44" t="s">
        <v>2770</v>
      </c>
      <c r="W233" s="36" t="s">
        <v>2757</v>
      </c>
      <c r="X233" s="36" t="s">
        <v>2756</v>
      </c>
      <c r="Y233" s="36" t="s">
        <v>473</v>
      </c>
      <c r="Z233" s="76" t="s">
        <v>2769</v>
      </c>
      <c r="AA233" s="36" t="s">
        <v>2768</v>
      </c>
      <c r="AB233" s="47">
        <v>4286000</v>
      </c>
      <c r="AC233" s="47">
        <v>4437000</v>
      </c>
      <c r="AD233" s="47">
        <v>4286000</v>
      </c>
      <c r="AE233" s="16">
        <f t="shared" si="97"/>
        <v>0</v>
      </c>
      <c r="AF233" s="16">
        <v>0</v>
      </c>
      <c r="AG233" s="16">
        <v>0</v>
      </c>
      <c r="AH233" s="16"/>
      <c r="AI233" s="16">
        <v>0</v>
      </c>
      <c r="AJ233" s="16"/>
      <c r="AK233" s="16">
        <v>0</v>
      </c>
      <c r="AL233" s="11">
        <f t="shared" si="98"/>
        <v>4286000</v>
      </c>
      <c r="AM233" s="16">
        <f t="shared" si="99"/>
        <v>454348.79999999999</v>
      </c>
      <c r="AN233" s="16">
        <f t="shared" si="100"/>
        <v>177480</v>
      </c>
      <c r="AO233" s="16">
        <f t="shared" si="93"/>
        <v>276868.8</v>
      </c>
      <c r="AP233" s="16">
        <f t="shared" si="101"/>
        <v>158582</v>
      </c>
      <c r="AQ233" s="16">
        <f t="shared" si="102"/>
        <v>4740348.8</v>
      </c>
      <c r="AR233" s="16">
        <f t="shared" si="117"/>
        <v>284420.92799999996</v>
      </c>
      <c r="AS233" s="16">
        <f t="shared" si="103"/>
        <v>31286.302079999994</v>
      </c>
      <c r="AT233" s="16">
        <f t="shared" si="104"/>
        <v>-5688.4185599999992</v>
      </c>
      <c r="AU233" s="16">
        <f t="shared" si="105"/>
        <v>5019081.30944</v>
      </c>
      <c r="AV233" s="16">
        <f t="shared" si="106"/>
        <v>5024769.7280000001</v>
      </c>
      <c r="AW233" s="16">
        <f t="shared" si="107"/>
        <v>177480</v>
      </c>
      <c r="AX233" s="16" t="s">
        <v>235</v>
      </c>
      <c r="AY233" s="17"/>
      <c r="AZ233" s="17">
        <f t="shared" si="108"/>
        <v>2900</v>
      </c>
      <c r="BA233" s="16">
        <f t="shared" si="109"/>
        <v>4108520</v>
      </c>
      <c r="BB233" s="16">
        <f t="shared" si="110"/>
        <v>4105620</v>
      </c>
      <c r="BC233" s="15">
        <v>0.03</v>
      </c>
      <c r="BD233" s="15">
        <v>0.01</v>
      </c>
      <c r="BE233" s="37">
        <f t="shared" si="111"/>
        <v>409978.8</v>
      </c>
      <c r="BF233" s="38">
        <f t="shared" si="112"/>
        <v>252909</v>
      </c>
      <c r="BG233" s="37">
        <f t="shared" si="116"/>
        <v>214300</v>
      </c>
      <c r="BH233" s="37">
        <f t="shared" si="113"/>
        <v>221850</v>
      </c>
      <c r="BI233">
        <v>214300</v>
      </c>
      <c r="BL233" s="8">
        <f t="shared" si="114"/>
        <v>0</v>
      </c>
      <c r="BM233" s="7" t="str">
        <f>IF(AND(BC233=0.03,BD233=0.01),"Terdaftar BPJS Kes &amp; Naker","Tidak Terdaftar")</f>
        <v>Terdaftar BPJS Kes &amp; Naker</v>
      </c>
      <c r="BN233" s="11">
        <f>AC233*5.7%</f>
        <v>252909</v>
      </c>
      <c r="BO233" s="11">
        <f>AC233*4.54%</f>
        <v>201439.80000000002</v>
      </c>
      <c r="BP233" s="9">
        <f t="shared" si="115"/>
        <v>0</v>
      </c>
      <c r="BQ233" t="str">
        <f>_xlfn.XLOOKUP(X233,'[2]NON TETAP'!$H:$H,'[2]NON TETAP'!$I:$I)</f>
        <v>GRAMEDIA ASRI MEDIA</v>
      </c>
    </row>
    <row r="234" spans="1:69" x14ac:dyDescent="0.3">
      <c r="A234" s="2">
        <v>233</v>
      </c>
      <c r="B234" s="4" t="s">
        <v>2763</v>
      </c>
      <c r="C234" s="6" t="s">
        <v>241</v>
      </c>
      <c r="D234" s="6"/>
      <c r="E234" s="6" t="s">
        <v>73</v>
      </c>
      <c r="F234" s="6" t="s">
        <v>73</v>
      </c>
      <c r="G234" s="6"/>
      <c r="H234" s="6"/>
      <c r="I234" s="2">
        <v>151000</v>
      </c>
      <c r="J234" s="2"/>
      <c r="K234" s="6">
        <v>800301</v>
      </c>
      <c r="L234" s="6"/>
      <c r="M234" s="6"/>
      <c r="N234" s="46" t="s">
        <v>2767</v>
      </c>
      <c r="O234" s="6">
        <v>2066289963</v>
      </c>
      <c r="P234" s="78" t="s">
        <v>2766</v>
      </c>
      <c r="Q234" s="6">
        <v>10159</v>
      </c>
      <c r="R234" s="6">
        <v>27159</v>
      </c>
      <c r="S234" s="5" t="str">
        <f>VLOOKUP(T234,'[1]Kode Posisi'!$A$3:$B$45,2,)</f>
        <v>Outsourcing Keamanan</v>
      </c>
      <c r="T234" s="36" t="s">
        <v>37</v>
      </c>
      <c r="U234" s="44" t="s">
        <v>2759</v>
      </c>
      <c r="V234" s="44" t="s">
        <v>2765</v>
      </c>
      <c r="W234" s="36" t="s">
        <v>2757</v>
      </c>
      <c r="X234" s="36" t="s">
        <v>2756</v>
      </c>
      <c r="Y234" s="36" t="s">
        <v>473</v>
      </c>
      <c r="Z234" s="79" t="s">
        <v>2764</v>
      </c>
      <c r="AA234" s="36" t="s">
        <v>2763</v>
      </c>
      <c r="AB234" s="47">
        <v>4286000</v>
      </c>
      <c r="AC234" s="47">
        <v>4437000</v>
      </c>
      <c r="AD234" s="47">
        <v>4286000</v>
      </c>
      <c r="AE234" s="16">
        <f t="shared" si="97"/>
        <v>0</v>
      </c>
      <c r="AF234" s="16">
        <v>0</v>
      </c>
      <c r="AG234" s="16">
        <v>0</v>
      </c>
      <c r="AH234" s="16"/>
      <c r="AI234" s="16">
        <v>0</v>
      </c>
      <c r="AJ234" s="16"/>
      <c r="AK234" s="16">
        <v>0</v>
      </c>
      <c r="AL234" s="11">
        <f t="shared" si="98"/>
        <v>4286000</v>
      </c>
      <c r="AM234" s="16">
        <f t="shared" si="99"/>
        <v>454348.79999999999</v>
      </c>
      <c r="AN234" s="16">
        <f t="shared" si="100"/>
        <v>177480</v>
      </c>
      <c r="AO234" s="16">
        <f t="shared" si="93"/>
        <v>276868.8</v>
      </c>
      <c r="AP234" s="16">
        <f t="shared" si="101"/>
        <v>158582</v>
      </c>
      <c r="AQ234" s="16">
        <f t="shared" si="102"/>
        <v>4740348.8</v>
      </c>
      <c r="AR234" s="16">
        <f t="shared" si="117"/>
        <v>284420.92799999996</v>
      </c>
      <c r="AS234" s="16">
        <f t="shared" si="103"/>
        <v>31286.302079999994</v>
      </c>
      <c r="AT234" s="16">
        <f t="shared" si="104"/>
        <v>-5688.4185599999992</v>
      </c>
      <c r="AU234" s="16">
        <f t="shared" si="105"/>
        <v>5019081.30944</v>
      </c>
      <c r="AV234" s="16">
        <f t="shared" si="106"/>
        <v>5024769.7280000001</v>
      </c>
      <c r="AW234" s="16">
        <f t="shared" si="107"/>
        <v>177480</v>
      </c>
      <c r="AX234" s="16" t="s">
        <v>319</v>
      </c>
      <c r="AY234" s="17"/>
      <c r="AZ234" s="17">
        <f t="shared" si="108"/>
        <v>2900</v>
      </c>
      <c r="BA234" s="16">
        <f t="shared" si="109"/>
        <v>4108520</v>
      </c>
      <c r="BB234" s="16">
        <f t="shared" si="110"/>
        <v>4105620</v>
      </c>
      <c r="BC234" s="15">
        <v>0.03</v>
      </c>
      <c r="BD234" s="15">
        <v>0.01</v>
      </c>
      <c r="BE234" s="37">
        <f t="shared" si="111"/>
        <v>409978.8</v>
      </c>
      <c r="BF234" s="38">
        <f t="shared" si="112"/>
        <v>252909</v>
      </c>
      <c r="BG234" s="37">
        <f t="shared" si="116"/>
        <v>214300</v>
      </c>
      <c r="BH234" s="37">
        <f t="shared" si="113"/>
        <v>221850</v>
      </c>
      <c r="BI234">
        <v>214300</v>
      </c>
      <c r="BL234" s="8">
        <f t="shared" si="114"/>
        <v>0</v>
      </c>
      <c r="BM234" s="7" t="str">
        <f>IF(AND(BC234=0.03,BD234=0.01),"Terdaftar BPJS Kes &amp; Naker","Tidak Terdaftar")</f>
        <v>Terdaftar BPJS Kes &amp; Naker</v>
      </c>
      <c r="BN234" s="11">
        <f>AC234*5.7%</f>
        <v>252909</v>
      </c>
      <c r="BO234" s="11">
        <f>AC234*4.54%</f>
        <v>201439.80000000002</v>
      </c>
      <c r="BP234" s="9">
        <f t="shared" si="115"/>
        <v>0</v>
      </c>
      <c r="BQ234" t="str">
        <f>_xlfn.XLOOKUP(X234,'[2]NON TETAP'!$H:$H,'[2]NON TETAP'!$I:$I)</f>
        <v>GRAMEDIA ASRI MEDIA</v>
      </c>
    </row>
    <row r="235" spans="1:69" x14ac:dyDescent="0.3">
      <c r="A235" s="2">
        <v>234</v>
      </c>
      <c r="B235" s="4" t="s">
        <v>2754</v>
      </c>
      <c r="C235" s="6" t="s">
        <v>241</v>
      </c>
      <c r="D235" s="6"/>
      <c r="E235" s="6" t="s">
        <v>73</v>
      </c>
      <c r="F235" s="6" t="s">
        <v>73</v>
      </c>
      <c r="G235" s="6"/>
      <c r="H235" s="6"/>
      <c r="I235" s="2">
        <v>151000</v>
      </c>
      <c r="J235" s="2"/>
      <c r="K235" s="6">
        <v>800302</v>
      </c>
      <c r="L235" s="6"/>
      <c r="M235" s="6" t="s">
        <v>2762</v>
      </c>
      <c r="N235" s="46" t="s">
        <v>2761</v>
      </c>
      <c r="O235" s="6">
        <v>171097064</v>
      </c>
      <c r="P235" s="78" t="s">
        <v>2760</v>
      </c>
      <c r="Q235" s="6">
        <v>10159</v>
      </c>
      <c r="R235" s="6">
        <v>27159</v>
      </c>
      <c r="S235" s="5" t="str">
        <f>VLOOKUP(T235,'[1]Kode Posisi'!$A$3:$B$45,2,)</f>
        <v>Outsourcing Keamanan</v>
      </c>
      <c r="T235" s="36" t="s">
        <v>37</v>
      </c>
      <c r="U235" s="44" t="s">
        <v>2759</v>
      </c>
      <c r="V235" s="44" t="s">
        <v>2758</v>
      </c>
      <c r="W235" s="36" t="s">
        <v>2757</v>
      </c>
      <c r="X235" s="36" t="s">
        <v>2756</v>
      </c>
      <c r="Y235" s="36" t="s">
        <v>1294</v>
      </c>
      <c r="Z235" s="79" t="s">
        <v>2755</v>
      </c>
      <c r="AA235" s="36" t="s">
        <v>2754</v>
      </c>
      <c r="AB235" s="47">
        <v>4286000</v>
      </c>
      <c r="AC235" s="47">
        <v>4437000</v>
      </c>
      <c r="AD235" s="47">
        <v>4286000</v>
      </c>
      <c r="AE235" s="16">
        <f t="shared" si="97"/>
        <v>0</v>
      </c>
      <c r="AF235" s="16">
        <v>0</v>
      </c>
      <c r="AG235" s="16">
        <v>0</v>
      </c>
      <c r="AH235" s="16"/>
      <c r="AI235" s="16">
        <v>0</v>
      </c>
      <c r="AJ235" s="16"/>
      <c r="AK235" s="16">
        <v>0</v>
      </c>
      <c r="AL235" s="11">
        <f t="shared" si="98"/>
        <v>4286000</v>
      </c>
      <c r="AM235" s="16">
        <f t="shared" si="99"/>
        <v>454348.79999999999</v>
      </c>
      <c r="AN235" s="16">
        <f t="shared" si="100"/>
        <v>177480</v>
      </c>
      <c r="AO235" s="16">
        <f t="shared" si="93"/>
        <v>276868.8</v>
      </c>
      <c r="AP235" s="16">
        <f t="shared" si="101"/>
        <v>158582</v>
      </c>
      <c r="AQ235" s="16">
        <f t="shared" si="102"/>
        <v>4740348.8</v>
      </c>
      <c r="AR235" s="16">
        <f t="shared" si="117"/>
        <v>284420.92799999996</v>
      </c>
      <c r="AS235" s="16">
        <f t="shared" si="103"/>
        <v>31286.302079999994</v>
      </c>
      <c r="AT235" s="16">
        <f t="shared" si="104"/>
        <v>-5688.4185599999992</v>
      </c>
      <c r="AU235" s="16">
        <f t="shared" si="105"/>
        <v>5019081.30944</v>
      </c>
      <c r="AV235" s="16">
        <f t="shared" si="106"/>
        <v>5024769.7280000001</v>
      </c>
      <c r="AW235" s="16">
        <f t="shared" si="107"/>
        <v>177480</v>
      </c>
      <c r="AX235" s="16" t="s">
        <v>235</v>
      </c>
      <c r="AY235" s="17"/>
      <c r="AZ235" s="17">
        <f t="shared" si="108"/>
        <v>2900</v>
      </c>
      <c r="BA235" s="16">
        <f t="shared" si="109"/>
        <v>4108520</v>
      </c>
      <c r="BB235" s="16">
        <f t="shared" si="110"/>
        <v>4105620</v>
      </c>
      <c r="BC235" s="15">
        <v>0.03</v>
      </c>
      <c r="BD235" s="15">
        <v>0.01</v>
      </c>
      <c r="BE235" s="37">
        <f t="shared" si="111"/>
        <v>409978.8</v>
      </c>
      <c r="BF235" s="38">
        <f t="shared" si="112"/>
        <v>252909</v>
      </c>
      <c r="BG235" s="37">
        <f t="shared" si="116"/>
        <v>214300</v>
      </c>
      <c r="BH235" s="37">
        <f t="shared" si="113"/>
        <v>221850</v>
      </c>
      <c r="BI235">
        <v>214300</v>
      </c>
      <c r="BL235" s="8">
        <f t="shared" si="114"/>
        <v>0</v>
      </c>
      <c r="BM235" s="7" t="str">
        <f>IF(AND(BC235=0.03,BD235=0.01),"Terdaftar BPJS Kes &amp; Naker","Tidak Terdaftar")</f>
        <v>Terdaftar BPJS Kes &amp; Naker</v>
      </c>
      <c r="BN235" s="11">
        <f>AC235*5.7%</f>
        <v>252909</v>
      </c>
      <c r="BO235" s="11">
        <f>AC235*4.54%</f>
        <v>201439.80000000002</v>
      </c>
      <c r="BP235" s="9">
        <f t="shared" si="115"/>
        <v>0</v>
      </c>
      <c r="BQ235" t="str">
        <f>_xlfn.XLOOKUP(X235,'[2]NON TETAP'!$H:$H,'[2]NON TETAP'!$I:$I)</f>
        <v>GRAMEDIA ASRI MEDIA</v>
      </c>
    </row>
    <row r="236" spans="1:69" x14ac:dyDescent="0.3">
      <c r="A236" s="2">
        <v>235</v>
      </c>
      <c r="B236" s="5" t="s">
        <v>2747</v>
      </c>
      <c r="C236" s="6" t="s">
        <v>241</v>
      </c>
      <c r="D236" s="6"/>
      <c r="E236" s="6" t="s">
        <v>73</v>
      </c>
      <c r="F236" s="6" t="s">
        <v>73</v>
      </c>
      <c r="G236" s="6" t="s">
        <v>2753</v>
      </c>
      <c r="H236" s="6"/>
      <c r="I236" s="6"/>
      <c r="J236" s="6"/>
      <c r="K236" s="6">
        <v>800303</v>
      </c>
      <c r="L236" s="6"/>
      <c r="M236" s="6" t="s">
        <v>2752</v>
      </c>
      <c r="N236" s="46" t="s">
        <v>2751</v>
      </c>
      <c r="O236" s="6">
        <v>2008715804</v>
      </c>
      <c r="P236" s="78" t="s">
        <v>2750</v>
      </c>
      <c r="Q236" s="6">
        <v>10106</v>
      </c>
      <c r="R236" s="6">
        <v>27106</v>
      </c>
      <c r="S236" s="5" t="str">
        <f>VLOOKUP(T236,'[1]Kode Posisi'!$A$3:$B$45,2,)</f>
        <v>Outsourcing Keamanan</v>
      </c>
      <c r="T236" s="36" t="s">
        <v>37</v>
      </c>
      <c r="U236" s="44" t="s">
        <v>1167</v>
      </c>
      <c r="V236" s="44" t="s">
        <v>2749</v>
      </c>
      <c r="W236" s="36" t="s">
        <v>1045</v>
      </c>
      <c r="X236" s="36" t="s">
        <v>1044</v>
      </c>
      <c r="Y236" s="36" t="s">
        <v>1294</v>
      </c>
      <c r="Z236" s="79" t="s">
        <v>2748</v>
      </c>
      <c r="AA236" s="36" t="s">
        <v>2747</v>
      </c>
      <c r="AB236" s="47">
        <v>3702000</v>
      </c>
      <c r="AC236" s="41">
        <v>3702000</v>
      </c>
      <c r="AD236" s="47">
        <v>3455000</v>
      </c>
      <c r="AE236" s="16">
        <f t="shared" si="97"/>
        <v>247000</v>
      </c>
      <c r="AF236" s="16">
        <v>0</v>
      </c>
      <c r="AG236" s="16">
        <v>0</v>
      </c>
      <c r="AH236" s="16"/>
      <c r="AI236" s="16">
        <v>0</v>
      </c>
      <c r="AJ236" s="16"/>
      <c r="AK236" s="16">
        <v>0</v>
      </c>
      <c r="AL236" s="11">
        <f t="shared" si="98"/>
        <v>3702000</v>
      </c>
      <c r="AM236" s="16">
        <f t="shared" si="99"/>
        <v>379084.79999999999</v>
      </c>
      <c r="AN236" s="16">
        <f t="shared" si="100"/>
        <v>148080</v>
      </c>
      <c r="AO236" s="16">
        <f t="shared" si="93"/>
        <v>231004.79999999999</v>
      </c>
      <c r="AP236" s="16">
        <f t="shared" si="101"/>
        <v>136974</v>
      </c>
      <c r="AQ236" s="16">
        <f t="shared" si="102"/>
        <v>4081084.8</v>
      </c>
      <c r="AR236" s="16">
        <f t="shared" si="117"/>
        <v>244865.08799999999</v>
      </c>
      <c r="AS236" s="16">
        <f t="shared" si="103"/>
        <v>26935.159680000001</v>
      </c>
      <c r="AT236" s="16">
        <f t="shared" si="104"/>
        <v>-4897.3017600000003</v>
      </c>
      <c r="AU236" s="16">
        <f t="shared" si="105"/>
        <v>4321052.5862400001</v>
      </c>
      <c r="AV236" s="16">
        <f t="shared" si="106"/>
        <v>4325949.8880000003</v>
      </c>
      <c r="AW236" s="16">
        <f t="shared" si="107"/>
        <v>148080</v>
      </c>
      <c r="AX236" s="16" t="s">
        <v>235</v>
      </c>
      <c r="AY236" s="17"/>
      <c r="AZ236" s="17">
        <f t="shared" si="108"/>
        <v>2900</v>
      </c>
      <c r="BA236" s="16">
        <f t="shared" si="109"/>
        <v>3553920</v>
      </c>
      <c r="BB236" s="16">
        <f t="shared" si="110"/>
        <v>3551020</v>
      </c>
      <c r="BC236" s="15">
        <v>0.03</v>
      </c>
      <c r="BD236" s="15">
        <v>0.01</v>
      </c>
      <c r="BE236" s="37">
        <f t="shared" si="111"/>
        <v>342064.8</v>
      </c>
      <c r="BF236" s="38">
        <f t="shared" si="112"/>
        <v>211014</v>
      </c>
      <c r="BG236" s="37">
        <f t="shared" si="116"/>
        <v>172750</v>
      </c>
      <c r="BH236" s="37">
        <f t="shared" si="113"/>
        <v>185100</v>
      </c>
      <c r="BI236">
        <v>172750</v>
      </c>
      <c r="BJ236" s="2">
        <v>172750</v>
      </c>
      <c r="BL236" s="8">
        <f t="shared" si="114"/>
        <v>0</v>
      </c>
      <c r="BM236" s="7" t="str">
        <f>IF(AND(BC236=0.03,BD236=0.01),"Terdaftar BPJS Kes &amp; Naker","Tidak Terdaftar")</f>
        <v>Terdaftar BPJS Kes &amp; Naker</v>
      </c>
      <c r="BN236" s="11">
        <f>AC236*5.7%</f>
        <v>211014</v>
      </c>
      <c r="BO236" s="11">
        <f>AC236*4.54%</f>
        <v>168070.80000000002</v>
      </c>
      <c r="BP236" s="9">
        <f t="shared" si="115"/>
        <v>0</v>
      </c>
      <c r="BQ236" t="str">
        <f>_xlfn.XLOOKUP(X236,'[2]NON TETAP'!$H:$H,'[2]NON TETAP'!$I:$I)</f>
        <v>GRAMEDIA ASRI MEDIA</v>
      </c>
    </row>
    <row r="237" spans="1:69" x14ac:dyDescent="0.3">
      <c r="A237" s="2">
        <v>236</v>
      </c>
      <c r="B237" s="5" t="s">
        <v>2740</v>
      </c>
      <c r="C237" s="6" t="s">
        <v>241</v>
      </c>
      <c r="D237" s="6"/>
      <c r="E237" s="6" t="s">
        <v>73</v>
      </c>
      <c r="F237" s="6" t="s">
        <v>73</v>
      </c>
      <c r="G237" s="6"/>
      <c r="H237" s="6"/>
      <c r="I237" s="6"/>
      <c r="J237" s="6" t="s">
        <v>2746</v>
      </c>
      <c r="K237" s="6">
        <v>800304</v>
      </c>
      <c r="L237" s="6"/>
      <c r="M237" s="6"/>
      <c r="N237" s="46" t="s">
        <v>2745</v>
      </c>
      <c r="O237" s="6"/>
      <c r="P237" s="36" t="s">
        <v>2744</v>
      </c>
      <c r="Q237" s="6">
        <v>10137</v>
      </c>
      <c r="R237" s="6">
        <v>27137</v>
      </c>
      <c r="S237" s="5" t="str">
        <f>VLOOKUP(T237,'[1]Kode Posisi'!$A$3:$B$45,2,)</f>
        <v>Outsourcing Keamanan</v>
      </c>
      <c r="T237" s="36" t="s">
        <v>2743</v>
      </c>
      <c r="U237" s="44" t="s">
        <v>2176</v>
      </c>
      <c r="V237" s="44" t="s">
        <v>2742</v>
      </c>
      <c r="W237" s="36" t="s">
        <v>2174</v>
      </c>
      <c r="X237" s="36" t="s">
        <v>135</v>
      </c>
      <c r="Y237" s="36" t="s">
        <v>1294</v>
      </c>
      <c r="Z237" s="76" t="s">
        <v>2741</v>
      </c>
      <c r="AA237" s="36" t="s">
        <v>2740</v>
      </c>
      <c r="AB237" s="47">
        <v>3856000</v>
      </c>
      <c r="AC237" s="41">
        <v>3856000</v>
      </c>
      <c r="AD237" s="47">
        <v>3600000</v>
      </c>
      <c r="AE237" s="16">
        <f t="shared" si="97"/>
        <v>256000</v>
      </c>
      <c r="AF237" s="16">
        <v>0</v>
      </c>
      <c r="AG237" s="16">
        <v>0</v>
      </c>
      <c r="AH237" s="16"/>
      <c r="AI237" s="16">
        <v>0</v>
      </c>
      <c r="AJ237" s="16"/>
      <c r="AK237" s="16">
        <v>0</v>
      </c>
      <c r="AL237" s="11">
        <f t="shared" si="98"/>
        <v>3856000</v>
      </c>
      <c r="AM237" s="16">
        <f t="shared" si="99"/>
        <v>58800</v>
      </c>
      <c r="AN237" s="16">
        <f t="shared" si="100"/>
        <v>0</v>
      </c>
      <c r="AO237" s="16">
        <f>352800/6</f>
        <v>58800</v>
      </c>
      <c r="AP237" s="16">
        <f t="shared" si="101"/>
        <v>0</v>
      </c>
      <c r="AQ237" s="16">
        <f t="shared" si="102"/>
        <v>3914800</v>
      </c>
      <c r="AR237" s="16">
        <f t="shared" si="117"/>
        <v>234888</v>
      </c>
      <c r="AS237" s="16">
        <f t="shared" si="103"/>
        <v>25837.68</v>
      </c>
      <c r="AT237" s="16">
        <f t="shared" si="104"/>
        <v>-4697.76</v>
      </c>
      <c r="AU237" s="16">
        <f t="shared" si="105"/>
        <v>4144990.24</v>
      </c>
      <c r="AV237" s="16">
        <f t="shared" si="106"/>
        <v>4149688</v>
      </c>
      <c r="AW237" s="16">
        <f t="shared" si="107"/>
        <v>0</v>
      </c>
      <c r="AX237" s="16" t="s">
        <v>243</v>
      </c>
      <c r="AY237" s="17"/>
      <c r="AZ237" s="17">
        <f t="shared" si="108"/>
        <v>2900</v>
      </c>
      <c r="BA237" s="16">
        <f t="shared" si="109"/>
        <v>3856000</v>
      </c>
      <c r="BB237" s="16">
        <f t="shared" si="110"/>
        <v>3853100</v>
      </c>
      <c r="BC237" s="15">
        <v>0</v>
      </c>
      <c r="BD237" s="15">
        <v>0</v>
      </c>
      <c r="BE237" s="37">
        <f t="shared" si="111"/>
        <v>0</v>
      </c>
      <c r="BF237" s="38">
        <f t="shared" si="112"/>
        <v>0</v>
      </c>
      <c r="BG237" s="37"/>
      <c r="BH237" s="37">
        <f t="shared" si="113"/>
        <v>0</v>
      </c>
      <c r="BI237">
        <v>0</v>
      </c>
      <c r="BL237" s="8">
        <f t="shared" si="114"/>
        <v>0</v>
      </c>
      <c r="BM237" s="7" t="str">
        <f>IF(AND(BC237=0.03,0.2,BD237=0.01),"Terdaftar BPJS Kes &amp; Naker","Tidak Terdaftar")</f>
        <v>Tidak Terdaftar</v>
      </c>
      <c r="BN237" s="11"/>
      <c r="BO237" s="92">
        <f>352800/6</f>
        <v>58800</v>
      </c>
      <c r="BP237" s="9">
        <f t="shared" si="115"/>
        <v>0</v>
      </c>
      <c r="BQ237" t="str">
        <f>_xlfn.XLOOKUP(X237,'[2]NON TETAP'!$H:$H,'[2]NON TETAP'!$I:$I)</f>
        <v>GRAMEDIA ASRI MEDIA</v>
      </c>
    </row>
    <row r="238" spans="1:69" x14ac:dyDescent="0.3">
      <c r="A238" s="2">
        <v>237</v>
      </c>
      <c r="B238" s="5" t="s">
        <v>2739</v>
      </c>
      <c r="C238" s="6" t="s">
        <v>241</v>
      </c>
      <c r="D238" s="6"/>
      <c r="E238" s="6" t="s">
        <v>73</v>
      </c>
      <c r="F238" s="6" t="s">
        <v>73</v>
      </c>
      <c r="G238" s="6"/>
      <c r="H238" s="6"/>
      <c r="I238" s="6"/>
      <c r="J238" s="6"/>
      <c r="K238" s="6">
        <v>800305</v>
      </c>
      <c r="L238" s="6"/>
      <c r="M238" s="6" t="s">
        <v>2738</v>
      </c>
      <c r="N238" s="46" t="s">
        <v>2737</v>
      </c>
      <c r="O238" s="6">
        <v>1160790939</v>
      </c>
      <c r="P238" s="78" t="s">
        <v>2736</v>
      </c>
      <c r="Q238" s="6">
        <v>31070</v>
      </c>
      <c r="R238" s="6">
        <v>27501</v>
      </c>
      <c r="S238" s="5" t="str">
        <f>VLOOKUP(T238,'[1]Kode Posisi'!$A$3:$B$45,2,)</f>
        <v>Outsourcing Petugas Administrasi</v>
      </c>
      <c r="T238" s="36" t="s">
        <v>2735</v>
      </c>
      <c r="U238" s="44" t="s">
        <v>1167</v>
      </c>
      <c r="V238" s="44" t="s">
        <v>2734</v>
      </c>
      <c r="W238" s="36" t="s">
        <v>2733</v>
      </c>
      <c r="X238" s="36" t="s">
        <v>2733</v>
      </c>
      <c r="Y238" s="36" t="s">
        <v>52</v>
      </c>
      <c r="Z238" s="79" t="s">
        <v>2732</v>
      </c>
      <c r="AA238" s="36" t="s">
        <v>2731</v>
      </c>
      <c r="AB238" s="47">
        <v>3702000</v>
      </c>
      <c r="AC238" s="41">
        <v>3702000</v>
      </c>
      <c r="AD238" s="47">
        <v>3455000</v>
      </c>
      <c r="AE238" s="16">
        <f t="shared" si="97"/>
        <v>247000</v>
      </c>
      <c r="AF238" s="16">
        <v>0</v>
      </c>
      <c r="AG238" s="16">
        <v>1400000</v>
      </c>
      <c r="AH238" s="16"/>
      <c r="AI238" s="16">
        <v>0</v>
      </c>
      <c r="AJ238" s="16"/>
      <c r="AK238" s="16">
        <v>0</v>
      </c>
      <c r="AL238" s="11">
        <f t="shared" si="98"/>
        <v>5102000</v>
      </c>
      <c r="AM238" s="16">
        <f t="shared" si="99"/>
        <v>379084.79999999999</v>
      </c>
      <c r="AN238" s="16">
        <f t="shared" si="100"/>
        <v>148080</v>
      </c>
      <c r="AO238" s="16">
        <f t="shared" ref="AO238:AO301" si="118">IF(BC238=0.03,AC238*0.0624,0)</f>
        <v>231004.79999999999</v>
      </c>
      <c r="AP238" s="16">
        <f t="shared" si="101"/>
        <v>136974</v>
      </c>
      <c r="AQ238" s="16">
        <f t="shared" si="102"/>
        <v>5481084.7999999998</v>
      </c>
      <c r="AR238" s="16">
        <f t="shared" si="117"/>
        <v>328865.08799999999</v>
      </c>
      <c r="AS238" s="16">
        <f t="shared" si="103"/>
        <v>36175.159679999997</v>
      </c>
      <c r="AT238" s="16">
        <f t="shared" si="104"/>
        <v>-6577.3017600000003</v>
      </c>
      <c r="AU238" s="16">
        <f t="shared" si="105"/>
        <v>5803372.5862400001</v>
      </c>
      <c r="AV238" s="16">
        <f t="shared" si="106"/>
        <v>5809949.8880000003</v>
      </c>
      <c r="AW238" s="16">
        <f t="shared" si="107"/>
        <v>148080</v>
      </c>
      <c r="AX238" s="16" t="s">
        <v>235</v>
      </c>
      <c r="AY238" s="17"/>
      <c r="AZ238" s="17">
        <f t="shared" si="108"/>
        <v>0</v>
      </c>
      <c r="BA238" s="16">
        <f t="shared" si="109"/>
        <v>4953920</v>
      </c>
      <c r="BB238" s="16">
        <f t="shared" si="110"/>
        <v>4953920</v>
      </c>
      <c r="BC238" s="15">
        <v>0.03</v>
      </c>
      <c r="BD238" s="15">
        <v>0.01</v>
      </c>
      <c r="BE238" s="37">
        <f t="shared" si="111"/>
        <v>342064.8</v>
      </c>
      <c r="BF238" s="38">
        <f t="shared" si="112"/>
        <v>211014</v>
      </c>
      <c r="BG238" s="37">
        <f t="shared" ref="BG238:BG301" si="119">5%*AD238</f>
        <v>172750</v>
      </c>
      <c r="BH238" s="37">
        <f t="shared" si="113"/>
        <v>185100</v>
      </c>
      <c r="BI238">
        <v>172750</v>
      </c>
      <c r="BL238" s="8">
        <f t="shared" si="114"/>
        <v>1400000</v>
      </c>
      <c r="BM238" s="7" t="str">
        <f t="shared" ref="BM238:BM269" si="120">IF(AND(BC238=0.03,BD238=0.01),"Terdaftar BPJS Kes &amp; Naker","Tidak Terdaftar")</f>
        <v>Terdaftar BPJS Kes &amp; Naker</v>
      </c>
      <c r="BN238" s="11">
        <f t="shared" ref="BN238:BN269" si="121">AC238*5.7%</f>
        <v>211014</v>
      </c>
      <c r="BO238" s="11">
        <f t="shared" ref="BO238:BO269" si="122">AC238*4.54%</f>
        <v>168070.80000000002</v>
      </c>
      <c r="BP238" s="9">
        <f t="shared" si="115"/>
        <v>0</v>
      </c>
      <c r="BQ238" t="str">
        <f>_xlfn.XLOOKUP(X238,'[2]NON TETAP'!$H:$H,'[2]NON TETAP'!$I:$I)</f>
        <v>GRAMEDIA ASRI MEDIA</v>
      </c>
    </row>
    <row r="239" spans="1:69" x14ac:dyDescent="0.3">
      <c r="A239" s="2">
        <v>238</v>
      </c>
      <c r="B239" s="5" t="s">
        <v>2724</v>
      </c>
      <c r="C239" s="6" t="s">
        <v>241</v>
      </c>
      <c r="D239" s="6"/>
      <c r="E239" s="6" t="s">
        <v>73</v>
      </c>
      <c r="F239" s="6" t="s">
        <v>73</v>
      </c>
      <c r="G239" s="6"/>
      <c r="H239" s="6"/>
      <c r="I239" s="6"/>
      <c r="J239" s="6"/>
      <c r="K239" s="6">
        <v>800306</v>
      </c>
      <c r="L239" s="6"/>
      <c r="M239" s="6" t="s">
        <v>2730</v>
      </c>
      <c r="N239" s="46" t="s">
        <v>2729</v>
      </c>
      <c r="O239" s="6">
        <v>2267450346</v>
      </c>
      <c r="P239" s="78" t="s">
        <v>2728</v>
      </c>
      <c r="Q239" s="6">
        <v>99090</v>
      </c>
      <c r="R239" s="6">
        <v>27004</v>
      </c>
      <c r="S239" s="5" t="str">
        <f>VLOOKUP(T239,'[1]Kode Posisi'!$A$3:$B$45,2,)</f>
        <v>Outsourcing Penjualan</v>
      </c>
      <c r="T239" s="36" t="s">
        <v>21</v>
      </c>
      <c r="U239" s="44" t="s">
        <v>2727</v>
      </c>
      <c r="V239" s="44" t="s">
        <v>2726</v>
      </c>
      <c r="W239" s="36" t="s">
        <v>2725</v>
      </c>
      <c r="X239" s="36" t="s">
        <v>23</v>
      </c>
      <c r="Y239" s="36" t="s">
        <v>52</v>
      </c>
      <c r="Z239" s="79">
        <v>4452377865</v>
      </c>
      <c r="AA239" s="36" t="s">
        <v>2724</v>
      </c>
      <c r="AB239" s="47">
        <v>2828000</v>
      </c>
      <c r="AC239" s="41">
        <v>2828000</v>
      </c>
      <c r="AD239" s="47">
        <v>2656000</v>
      </c>
      <c r="AE239" s="16">
        <f t="shared" si="97"/>
        <v>172000</v>
      </c>
      <c r="AF239" s="16">
        <v>0</v>
      </c>
      <c r="AG239" s="16">
        <v>0</v>
      </c>
      <c r="AH239" s="16"/>
      <c r="AI239" s="16">
        <v>0</v>
      </c>
      <c r="AJ239" s="16"/>
      <c r="AK239" s="16">
        <v>0</v>
      </c>
      <c r="AL239" s="11">
        <f t="shared" si="98"/>
        <v>2828000</v>
      </c>
      <c r="AM239" s="16">
        <f t="shared" si="99"/>
        <v>289587.19999999995</v>
      </c>
      <c r="AN239" s="16">
        <f t="shared" si="100"/>
        <v>113120</v>
      </c>
      <c r="AO239" s="16">
        <f t="shared" si="118"/>
        <v>176467.19999999998</v>
      </c>
      <c r="AP239" s="16">
        <f t="shared" si="101"/>
        <v>104636</v>
      </c>
      <c r="AQ239" s="16">
        <f t="shared" si="102"/>
        <v>3117587.2</v>
      </c>
      <c r="AR239" s="16">
        <f t="shared" si="117"/>
        <v>187055.23200000002</v>
      </c>
      <c r="AS239" s="16">
        <f t="shared" si="103"/>
        <v>20576.075520000002</v>
      </c>
      <c r="AT239" s="16">
        <f t="shared" si="104"/>
        <v>-3741.1046400000005</v>
      </c>
      <c r="AU239" s="16">
        <f t="shared" si="105"/>
        <v>3300901.32736</v>
      </c>
      <c r="AV239" s="16">
        <f t="shared" si="106"/>
        <v>3304642.432</v>
      </c>
      <c r="AW239" s="16">
        <f t="shared" si="107"/>
        <v>113120</v>
      </c>
      <c r="AX239" s="16" t="s">
        <v>235</v>
      </c>
      <c r="AY239" s="17"/>
      <c r="AZ239" s="17">
        <f t="shared" si="108"/>
        <v>0</v>
      </c>
      <c r="BA239" s="16">
        <f t="shared" si="109"/>
        <v>2714880</v>
      </c>
      <c r="BB239" s="16">
        <f t="shared" si="110"/>
        <v>2714880</v>
      </c>
      <c r="BC239" s="15">
        <v>0.03</v>
      </c>
      <c r="BD239" s="15">
        <v>0.01</v>
      </c>
      <c r="BE239" s="37">
        <f t="shared" si="111"/>
        <v>261307.19999999998</v>
      </c>
      <c r="BF239" s="38">
        <f t="shared" si="112"/>
        <v>161196</v>
      </c>
      <c r="BG239" s="37">
        <f t="shared" si="119"/>
        <v>132800</v>
      </c>
      <c r="BH239" s="37">
        <f t="shared" si="113"/>
        <v>141400</v>
      </c>
      <c r="BI239">
        <v>132800</v>
      </c>
      <c r="BL239" s="8">
        <f t="shared" si="114"/>
        <v>0</v>
      </c>
      <c r="BM239" s="7" t="str">
        <f t="shared" si="120"/>
        <v>Terdaftar BPJS Kes &amp; Naker</v>
      </c>
      <c r="BN239" s="11">
        <f t="shared" si="121"/>
        <v>161196</v>
      </c>
      <c r="BO239" s="11">
        <f t="shared" si="122"/>
        <v>128391.20000000001</v>
      </c>
      <c r="BP239" s="9">
        <f t="shared" si="115"/>
        <v>0</v>
      </c>
      <c r="BQ239" t="str">
        <f>_xlfn.XLOOKUP(X239,'[2]NON TETAP'!$H:$H,'[2]NON TETAP'!$I:$I)</f>
        <v>GLOBAL LINTAS KARYA UTAMA</v>
      </c>
    </row>
    <row r="240" spans="1:69" x14ac:dyDescent="0.3">
      <c r="A240" s="2">
        <v>239</v>
      </c>
      <c r="B240" s="5" t="s">
        <v>2718</v>
      </c>
      <c r="C240" s="6" t="s">
        <v>241</v>
      </c>
      <c r="D240" s="6"/>
      <c r="E240" s="6" t="s">
        <v>73</v>
      </c>
      <c r="F240" s="6" t="s">
        <v>73</v>
      </c>
      <c r="G240" s="6"/>
      <c r="H240" s="6"/>
      <c r="I240" s="6"/>
      <c r="J240" s="6"/>
      <c r="K240" s="6">
        <v>800307</v>
      </c>
      <c r="L240" s="6"/>
      <c r="M240" s="6" t="s">
        <v>2723</v>
      </c>
      <c r="N240" s="46" t="s">
        <v>2722</v>
      </c>
      <c r="O240" s="6">
        <v>2798258624</v>
      </c>
      <c r="P240" s="78" t="s">
        <v>2721</v>
      </c>
      <c r="Q240" s="6">
        <v>99090</v>
      </c>
      <c r="R240" s="6">
        <v>27004</v>
      </c>
      <c r="S240" s="5" t="str">
        <f>VLOOKUP(T240,'[1]Kode Posisi'!$A$3:$B$45,2,)</f>
        <v>Outsourcing Penjualan</v>
      </c>
      <c r="T240" s="36" t="s">
        <v>21</v>
      </c>
      <c r="U240" s="44" t="s">
        <v>1632</v>
      </c>
      <c r="V240" s="44" t="s">
        <v>2720</v>
      </c>
      <c r="W240" s="36" t="s">
        <v>2719</v>
      </c>
      <c r="X240" s="36" t="s">
        <v>23</v>
      </c>
      <c r="Y240" s="36" t="s">
        <v>52</v>
      </c>
      <c r="Z240" s="79">
        <v>2090957506</v>
      </c>
      <c r="AA240" s="36" t="s">
        <v>2718</v>
      </c>
      <c r="AB240" s="47">
        <v>4738000</v>
      </c>
      <c r="AC240" s="41">
        <v>4738000</v>
      </c>
      <c r="AD240" s="47">
        <v>4483000</v>
      </c>
      <c r="AE240" s="16">
        <f t="shared" si="97"/>
        <v>255000</v>
      </c>
      <c r="AF240" s="16">
        <v>0</v>
      </c>
      <c r="AG240" s="16">
        <v>0</v>
      </c>
      <c r="AH240" s="16"/>
      <c r="AI240" s="16">
        <v>0</v>
      </c>
      <c r="AJ240" s="16"/>
      <c r="AK240" s="16">
        <v>0</v>
      </c>
      <c r="AL240" s="11">
        <f t="shared" si="98"/>
        <v>4738000</v>
      </c>
      <c r="AM240" s="16">
        <f t="shared" si="99"/>
        <v>485171.20000000001</v>
      </c>
      <c r="AN240" s="16">
        <f t="shared" si="100"/>
        <v>189520</v>
      </c>
      <c r="AO240" s="16">
        <f t="shared" si="118"/>
        <v>295651.20000000001</v>
      </c>
      <c r="AP240" s="16">
        <f t="shared" si="101"/>
        <v>175306</v>
      </c>
      <c r="AQ240" s="16">
        <f t="shared" si="102"/>
        <v>5223171.2</v>
      </c>
      <c r="AR240" s="16">
        <f t="shared" si="117"/>
        <v>313390.272</v>
      </c>
      <c r="AS240" s="16">
        <f t="shared" si="103"/>
        <v>34472.929920000002</v>
      </c>
      <c r="AT240" s="16">
        <f t="shared" si="104"/>
        <v>-6267.8054400000001</v>
      </c>
      <c r="AU240" s="16">
        <f t="shared" si="105"/>
        <v>5530293.6665599998</v>
      </c>
      <c r="AV240" s="16">
        <f t="shared" si="106"/>
        <v>5536561.4720000001</v>
      </c>
      <c r="AW240" s="16">
        <f t="shared" si="107"/>
        <v>189520</v>
      </c>
      <c r="AX240" s="16" t="s">
        <v>235</v>
      </c>
      <c r="AY240" s="17"/>
      <c r="AZ240" s="17">
        <f t="shared" si="108"/>
        <v>0</v>
      </c>
      <c r="BA240" s="16">
        <f t="shared" si="109"/>
        <v>4548480</v>
      </c>
      <c r="BB240" s="16">
        <f t="shared" si="110"/>
        <v>4548480</v>
      </c>
      <c r="BC240" s="15">
        <v>0.03</v>
      </c>
      <c r="BD240" s="15">
        <v>0.01</v>
      </c>
      <c r="BE240" s="37">
        <f t="shared" si="111"/>
        <v>437791.19999999995</v>
      </c>
      <c r="BF240" s="38">
        <f t="shared" si="112"/>
        <v>270066</v>
      </c>
      <c r="BG240" s="37">
        <f t="shared" si="119"/>
        <v>224150</v>
      </c>
      <c r="BH240" s="37">
        <f t="shared" si="113"/>
        <v>236900</v>
      </c>
      <c r="BI240">
        <v>224150</v>
      </c>
      <c r="BL240" s="8">
        <f t="shared" si="114"/>
        <v>0</v>
      </c>
      <c r="BM240" s="7" t="str">
        <f t="shared" si="120"/>
        <v>Terdaftar BPJS Kes &amp; Naker</v>
      </c>
      <c r="BN240" s="11">
        <f t="shared" si="121"/>
        <v>270066</v>
      </c>
      <c r="BO240" s="11">
        <f t="shared" si="122"/>
        <v>215105.2</v>
      </c>
      <c r="BP240" s="9">
        <f t="shared" si="115"/>
        <v>0</v>
      </c>
      <c r="BQ240" t="str">
        <f>_xlfn.XLOOKUP(X240,'[2]NON TETAP'!$H:$H,'[2]NON TETAP'!$I:$I)</f>
        <v>GLOBAL LINTAS KARYA UTAMA</v>
      </c>
    </row>
    <row r="241" spans="1:69" x14ac:dyDescent="0.3">
      <c r="A241" s="2">
        <v>240</v>
      </c>
      <c r="B241" s="91" t="s">
        <v>2713</v>
      </c>
      <c r="C241" s="6" t="s">
        <v>241</v>
      </c>
      <c r="D241" s="6"/>
      <c r="E241" s="6" t="s">
        <v>73</v>
      </c>
      <c r="F241" s="6" t="s">
        <v>73</v>
      </c>
      <c r="G241" s="6"/>
      <c r="H241" s="6"/>
      <c r="I241" s="90"/>
      <c r="J241" s="90"/>
      <c r="K241" s="6">
        <v>800308</v>
      </c>
      <c r="L241" s="6"/>
      <c r="M241" s="6" t="s">
        <v>2717</v>
      </c>
      <c r="N241" s="46" t="s">
        <v>2716</v>
      </c>
      <c r="O241" s="6">
        <v>649305819</v>
      </c>
      <c r="P241" s="78" t="s">
        <v>2715</v>
      </c>
      <c r="Q241" s="6">
        <v>11197</v>
      </c>
      <c r="R241" s="6">
        <v>27197</v>
      </c>
      <c r="S241" s="5" t="str">
        <f>VLOOKUP(T241,'[1]Kode Posisi'!$A$3:$B$45,2,)</f>
        <v>Outsourcing Petugas Gudang</v>
      </c>
      <c r="T241" s="36" t="s">
        <v>2392</v>
      </c>
      <c r="U241" s="44" t="s">
        <v>2675</v>
      </c>
      <c r="V241" s="44" t="s">
        <v>2714</v>
      </c>
      <c r="W241" s="5" t="s">
        <v>232</v>
      </c>
      <c r="X241" s="5" t="s">
        <v>17</v>
      </c>
      <c r="Y241" s="36" t="s">
        <v>52</v>
      </c>
      <c r="Z241" s="79">
        <v>7317020447</v>
      </c>
      <c r="AA241" s="36" t="s">
        <v>2713</v>
      </c>
      <c r="AB241" s="47">
        <v>2828000</v>
      </c>
      <c r="AC241" s="41">
        <v>2828000</v>
      </c>
      <c r="AD241" s="47">
        <v>2656000</v>
      </c>
      <c r="AE241" s="16">
        <f t="shared" si="97"/>
        <v>172000</v>
      </c>
      <c r="AF241" s="16">
        <v>0</v>
      </c>
      <c r="AG241" s="16">
        <v>0</v>
      </c>
      <c r="AH241" s="16"/>
      <c r="AI241" s="16">
        <v>207260.11560693642</v>
      </c>
      <c r="AJ241" s="16"/>
      <c r="AK241" s="16">
        <v>106240</v>
      </c>
      <c r="AL241" s="11">
        <f t="shared" si="98"/>
        <v>2929020.1156069366</v>
      </c>
      <c r="AM241" s="16">
        <f t="shared" si="99"/>
        <v>289587.19999999995</v>
      </c>
      <c r="AN241" s="16">
        <f t="shared" si="100"/>
        <v>113120</v>
      </c>
      <c r="AO241" s="16">
        <f t="shared" si="118"/>
        <v>176467.19999999998</v>
      </c>
      <c r="AP241" s="16">
        <f t="shared" si="101"/>
        <v>104636</v>
      </c>
      <c r="AQ241" s="16">
        <f t="shared" si="102"/>
        <v>3218607.3156069368</v>
      </c>
      <c r="AR241" s="16">
        <f t="shared" si="117"/>
        <v>193116.43893641621</v>
      </c>
      <c r="AS241" s="16">
        <f t="shared" si="103"/>
        <v>21242.808283005783</v>
      </c>
      <c r="AT241" s="16">
        <f t="shared" si="104"/>
        <v>-3862.3287787283243</v>
      </c>
      <c r="AU241" s="16">
        <f t="shared" si="105"/>
        <v>3407861.4257646245</v>
      </c>
      <c r="AV241" s="16">
        <f t="shared" si="106"/>
        <v>3411723.7545433529</v>
      </c>
      <c r="AW241" s="16">
        <f t="shared" si="107"/>
        <v>113120</v>
      </c>
      <c r="AX241" s="16" t="s">
        <v>235</v>
      </c>
      <c r="AY241" s="17"/>
      <c r="AZ241" s="17">
        <f t="shared" si="108"/>
        <v>0</v>
      </c>
      <c r="BA241" s="16">
        <f t="shared" si="109"/>
        <v>2815900.1156069366</v>
      </c>
      <c r="BB241" s="16">
        <f t="shared" si="110"/>
        <v>2815900.1156069366</v>
      </c>
      <c r="BC241" s="15">
        <v>0.03</v>
      </c>
      <c r="BD241" s="15">
        <v>0.01</v>
      </c>
      <c r="BE241" s="37">
        <f t="shared" si="111"/>
        <v>261307.19999999998</v>
      </c>
      <c r="BF241" s="38">
        <f t="shared" si="112"/>
        <v>161196</v>
      </c>
      <c r="BG241" s="37">
        <f t="shared" si="119"/>
        <v>132800</v>
      </c>
      <c r="BH241" s="37">
        <f t="shared" si="113"/>
        <v>141400</v>
      </c>
      <c r="BI241">
        <v>132800</v>
      </c>
      <c r="BL241" s="8">
        <f t="shared" si="114"/>
        <v>101020.11560693642</v>
      </c>
      <c r="BM241" s="7" t="str">
        <f t="shared" si="120"/>
        <v>Terdaftar BPJS Kes &amp; Naker</v>
      </c>
      <c r="BN241" s="11">
        <f t="shared" si="121"/>
        <v>161196</v>
      </c>
      <c r="BO241" s="11">
        <f t="shared" si="122"/>
        <v>128391.20000000001</v>
      </c>
      <c r="BP241" s="9">
        <f t="shared" si="115"/>
        <v>0</v>
      </c>
      <c r="BQ241" t="s">
        <v>8</v>
      </c>
    </row>
    <row r="242" spans="1:69" x14ac:dyDescent="0.3">
      <c r="A242" s="2">
        <v>241</v>
      </c>
      <c r="B242" s="91" t="s">
        <v>2708</v>
      </c>
      <c r="C242" s="6" t="s">
        <v>241</v>
      </c>
      <c r="D242" s="6"/>
      <c r="E242" s="6" t="s">
        <v>73</v>
      </c>
      <c r="F242" s="6" t="s">
        <v>73</v>
      </c>
      <c r="G242" s="6"/>
      <c r="H242" s="6"/>
      <c r="I242" s="90"/>
      <c r="J242" s="90"/>
      <c r="K242" s="6">
        <v>800310</v>
      </c>
      <c r="L242" s="6"/>
      <c r="M242" s="6" t="s">
        <v>2712</v>
      </c>
      <c r="N242" s="46" t="s">
        <v>2711</v>
      </c>
      <c r="O242" s="6">
        <v>1034854121</v>
      </c>
      <c r="P242" s="78" t="s">
        <v>2710</v>
      </c>
      <c r="Q242" s="6">
        <v>11197</v>
      </c>
      <c r="R242" s="6">
        <v>27197</v>
      </c>
      <c r="S242" s="5" t="str">
        <f>VLOOKUP(T242,'[1]Kode Posisi'!$A$3:$B$45,2,)</f>
        <v>Outsourcing Petugas Gudang</v>
      </c>
      <c r="T242" s="36" t="s">
        <v>2392</v>
      </c>
      <c r="U242" s="44" t="s">
        <v>2675</v>
      </c>
      <c r="V242" s="44" t="s">
        <v>2709</v>
      </c>
      <c r="W242" s="5" t="s">
        <v>232</v>
      </c>
      <c r="X242" s="5" t="s">
        <v>17</v>
      </c>
      <c r="Y242" s="36" t="s">
        <v>52</v>
      </c>
      <c r="Z242" s="79">
        <v>1260717967</v>
      </c>
      <c r="AA242" s="36" t="s">
        <v>2708</v>
      </c>
      <c r="AB242" s="47">
        <v>2828000</v>
      </c>
      <c r="AC242" s="41">
        <v>2828000</v>
      </c>
      <c r="AD242" s="47">
        <v>2656000</v>
      </c>
      <c r="AE242" s="16">
        <f t="shared" si="97"/>
        <v>172000</v>
      </c>
      <c r="AF242" s="16">
        <v>0</v>
      </c>
      <c r="AG242" s="16">
        <v>0</v>
      </c>
      <c r="AH242" s="16"/>
      <c r="AI242" s="16">
        <v>284023.12138728326</v>
      </c>
      <c r="AJ242" s="16"/>
      <c r="AK242" s="16">
        <v>0</v>
      </c>
      <c r="AL242" s="11">
        <f t="shared" si="98"/>
        <v>3112023.1213872833</v>
      </c>
      <c r="AM242" s="16">
        <f t="shared" si="99"/>
        <v>289587.19999999995</v>
      </c>
      <c r="AN242" s="16">
        <f t="shared" si="100"/>
        <v>113120</v>
      </c>
      <c r="AO242" s="16">
        <f t="shared" si="118"/>
        <v>176467.19999999998</v>
      </c>
      <c r="AP242" s="16">
        <f t="shared" si="101"/>
        <v>104636</v>
      </c>
      <c r="AQ242" s="16">
        <f t="shared" si="102"/>
        <v>3401610.3213872835</v>
      </c>
      <c r="AR242" s="16">
        <f t="shared" si="117"/>
        <v>204096.619283237</v>
      </c>
      <c r="AS242" s="16">
        <f t="shared" si="103"/>
        <v>22450.628121156071</v>
      </c>
      <c r="AT242" s="16">
        <f t="shared" si="104"/>
        <v>-4081.9323856647402</v>
      </c>
      <c r="AU242" s="16">
        <f t="shared" si="105"/>
        <v>3601625.0082848556</v>
      </c>
      <c r="AV242" s="16">
        <f t="shared" si="106"/>
        <v>3605706.9406705205</v>
      </c>
      <c r="AW242" s="16">
        <f t="shared" si="107"/>
        <v>113120</v>
      </c>
      <c r="AX242" s="16" t="s">
        <v>235</v>
      </c>
      <c r="AY242" s="17"/>
      <c r="AZ242" s="17">
        <f t="shared" si="108"/>
        <v>0</v>
      </c>
      <c r="BA242" s="16">
        <f t="shared" si="109"/>
        <v>2998903.1213872833</v>
      </c>
      <c r="BB242" s="16">
        <f t="shared" si="110"/>
        <v>2998903.1213872833</v>
      </c>
      <c r="BC242" s="15">
        <v>0.03</v>
      </c>
      <c r="BD242" s="15">
        <v>0.01</v>
      </c>
      <c r="BE242" s="37">
        <f t="shared" si="111"/>
        <v>261307.19999999998</v>
      </c>
      <c r="BF242" s="38">
        <f t="shared" si="112"/>
        <v>161196</v>
      </c>
      <c r="BG242" s="37">
        <f t="shared" si="119"/>
        <v>132800</v>
      </c>
      <c r="BH242" s="37">
        <f t="shared" si="113"/>
        <v>141400</v>
      </c>
      <c r="BI242">
        <v>132800</v>
      </c>
      <c r="BL242" s="8">
        <f t="shared" si="114"/>
        <v>284023.12138728326</v>
      </c>
      <c r="BM242" s="7" t="str">
        <f t="shared" si="120"/>
        <v>Terdaftar BPJS Kes &amp; Naker</v>
      </c>
      <c r="BN242" s="11">
        <f t="shared" si="121"/>
        <v>161196</v>
      </c>
      <c r="BO242" s="11">
        <f t="shared" si="122"/>
        <v>128391.20000000001</v>
      </c>
      <c r="BP242" s="9">
        <f t="shared" si="115"/>
        <v>0</v>
      </c>
      <c r="BQ242" t="s">
        <v>8</v>
      </c>
    </row>
    <row r="243" spans="1:69" x14ac:dyDescent="0.3">
      <c r="A243" s="2">
        <v>242</v>
      </c>
      <c r="B243" s="5" t="s">
        <v>2703</v>
      </c>
      <c r="C243" s="6" t="s">
        <v>241</v>
      </c>
      <c r="D243" s="6"/>
      <c r="E243" s="6" t="s">
        <v>73</v>
      </c>
      <c r="F243" s="6" t="s">
        <v>73</v>
      </c>
      <c r="G243" s="6"/>
      <c r="H243" s="6"/>
      <c r="I243" s="6"/>
      <c r="J243" s="6"/>
      <c r="K243" s="6">
        <v>800312</v>
      </c>
      <c r="L243" s="6"/>
      <c r="M243" s="6"/>
      <c r="N243" s="46" t="s">
        <v>2707</v>
      </c>
      <c r="O243" s="6">
        <v>1476793304</v>
      </c>
      <c r="P243" s="89" t="s">
        <v>2706</v>
      </c>
      <c r="Q243" s="6">
        <v>11197</v>
      </c>
      <c r="R243" s="6">
        <v>27197</v>
      </c>
      <c r="S243" s="5" t="str">
        <f>VLOOKUP(T243,'[1]Kode Posisi'!$A$3:$B$45,2,)</f>
        <v>Outsourcing Petugas Gudang</v>
      </c>
      <c r="T243" s="36" t="s">
        <v>2392</v>
      </c>
      <c r="U243" s="44" t="s">
        <v>2675</v>
      </c>
      <c r="V243" s="44" t="s">
        <v>2705</v>
      </c>
      <c r="W243" s="5" t="s">
        <v>232</v>
      </c>
      <c r="X243" s="5" t="s">
        <v>17</v>
      </c>
      <c r="Y243" s="36" t="s">
        <v>52</v>
      </c>
      <c r="Z243" s="79" t="s">
        <v>2704</v>
      </c>
      <c r="AA243" s="36" t="s">
        <v>2703</v>
      </c>
      <c r="AB243" s="47">
        <v>2828000</v>
      </c>
      <c r="AC243" s="41">
        <v>2828000</v>
      </c>
      <c r="AD243" s="47">
        <v>2656000</v>
      </c>
      <c r="AE243" s="16">
        <f t="shared" si="97"/>
        <v>172000</v>
      </c>
      <c r="AF243" s="16">
        <v>0</v>
      </c>
      <c r="AG243" s="16">
        <v>0</v>
      </c>
      <c r="AH243" s="16"/>
      <c r="AI243" s="16">
        <v>207260.11560693642</v>
      </c>
      <c r="AJ243" s="16"/>
      <c r="AK243" s="16">
        <v>0</v>
      </c>
      <c r="AL243" s="11">
        <f t="shared" si="98"/>
        <v>3035260.1156069366</v>
      </c>
      <c r="AM243" s="16">
        <f t="shared" si="99"/>
        <v>289587.19999999995</v>
      </c>
      <c r="AN243" s="16">
        <f t="shared" si="100"/>
        <v>113120</v>
      </c>
      <c r="AO243" s="16">
        <f t="shared" si="118"/>
        <v>176467.19999999998</v>
      </c>
      <c r="AP243" s="16">
        <f t="shared" si="101"/>
        <v>104636</v>
      </c>
      <c r="AQ243" s="16">
        <f t="shared" si="102"/>
        <v>3324847.3156069368</v>
      </c>
      <c r="AR243" s="16">
        <f t="shared" si="117"/>
        <v>199490.8389364162</v>
      </c>
      <c r="AS243" s="16">
        <f t="shared" si="103"/>
        <v>21943.99228300578</v>
      </c>
      <c r="AT243" s="16">
        <f t="shared" si="104"/>
        <v>-3989.8167787283242</v>
      </c>
      <c r="AU243" s="16">
        <f t="shared" si="105"/>
        <v>3520348.337764625</v>
      </c>
      <c r="AV243" s="16">
        <f t="shared" si="106"/>
        <v>3524338.1545433532</v>
      </c>
      <c r="AW243" s="16">
        <f t="shared" si="107"/>
        <v>113120</v>
      </c>
      <c r="AX243" s="16" t="s">
        <v>235</v>
      </c>
      <c r="AY243" s="17"/>
      <c r="AZ243" s="17">
        <f t="shared" si="108"/>
        <v>0</v>
      </c>
      <c r="BA243" s="16">
        <f t="shared" si="109"/>
        <v>2922140.1156069366</v>
      </c>
      <c r="BB243" s="16">
        <f t="shared" si="110"/>
        <v>2922140.1156069366</v>
      </c>
      <c r="BC243">
        <v>0.03</v>
      </c>
      <c r="BD243">
        <v>0.01</v>
      </c>
      <c r="BE243" s="37">
        <f t="shared" si="111"/>
        <v>261307.19999999998</v>
      </c>
      <c r="BF243" s="38">
        <f t="shared" si="112"/>
        <v>161196</v>
      </c>
      <c r="BG243" s="37">
        <f t="shared" si="119"/>
        <v>132800</v>
      </c>
      <c r="BH243" s="37">
        <f t="shared" si="113"/>
        <v>141400</v>
      </c>
      <c r="BI243">
        <v>132800</v>
      </c>
      <c r="BL243" s="8">
        <f t="shared" si="114"/>
        <v>207260.11560693642</v>
      </c>
      <c r="BM243" s="7" t="str">
        <f t="shared" si="120"/>
        <v>Terdaftar BPJS Kes &amp; Naker</v>
      </c>
      <c r="BN243" s="11">
        <f t="shared" si="121"/>
        <v>161196</v>
      </c>
      <c r="BO243" s="11">
        <f t="shared" si="122"/>
        <v>128391.20000000001</v>
      </c>
      <c r="BP243" s="9">
        <f t="shared" si="115"/>
        <v>0</v>
      </c>
      <c r="BQ243" t="s">
        <v>8</v>
      </c>
    </row>
    <row r="244" spans="1:69" x14ac:dyDescent="0.3">
      <c r="A244" s="2">
        <v>243</v>
      </c>
      <c r="B244" s="5" t="s">
        <v>2697</v>
      </c>
      <c r="C244" s="6" t="s">
        <v>241</v>
      </c>
      <c r="D244" s="6"/>
      <c r="E244" s="6" t="s">
        <v>73</v>
      </c>
      <c r="F244" s="6" t="s">
        <v>73</v>
      </c>
      <c r="G244" s="6"/>
      <c r="H244" s="6"/>
      <c r="I244" s="6"/>
      <c r="J244" s="6"/>
      <c r="K244" s="6">
        <v>800313</v>
      </c>
      <c r="L244" s="6"/>
      <c r="M244" s="6"/>
      <c r="N244" s="46" t="s">
        <v>2702</v>
      </c>
      <c r="O244" s="6">
        <v>3124122827</v>
      </c>
      <c r="P244" s="89" t="s">
        <v>2701</v>
      </c>
      <c r="Q244" s="6">
        <v>11197</v>
      </c>
      <c r="R244" s="6">
        <v>27197</v>
      </c>
      <c r="S244" s="5" t="str">
        <f>VLOOKUP(T244,'[1]Kode Posisi'!$A$3:$B$45,2,)</f>
        <v>Outsourcing Petugas Gudang</v>
      </c>
      <c r="T244" s="36" t="s">
        <v>2392</v>
      </c>
      <c r="U244" s="44" t="s">
        <v>2675</v>
      </c>
      <c r="V244" s="44" t="s">
        <v>2700</v>
      </c>
      <c r="W244" s="5" t="s">
        <v>232</v>
      </c>
      <c r="X244" s="5" t="s">
        <v>17</v>
      </c>
      <c r="Y244" s="36" t="s">
        <v>2699</v>
      </c>
      <c r="Z244" s="79" t="s">
        <v>2698</v>
      </c>
      <c r="AA244" s="36" t="s">
        <v>2697</v>
      </c>
      <c r="AB244" s="47">
        <v>2828000</v>
      </c>
      <c r="AC244" s="41">
        <v>2828000</v>
      </c>
      <c r="AD244" s="47">
        <v>2656000</v>
      </c>
      <c r="AE244" s="16">
        <f t="shared" si="97"/>
        <v>172000</v>
      </c>
      <c r="AF244" s="16">
        <v>0</v>
      </c>
      <c r="AG244" s="16">
        <v>0</v>
      </c>
      <c r="AH244" s="16"/>
      <c r="AI244" s="16">
        <v>176554.91329479768</v>
      </c>
      <c r="AJ244" s="16"/>
      <c r="AK244" s="16">
        <v>106240</v>
      </c>
      <c r="AL244" s="11">
        <f t="shared" si="98"/>
        <v>2898314.9132947978</v>
      </c>
      <c r="AM244" s="16">
        <f t="shared" si="99"/>
        <v>289587.19999999995</v>
      </c>
      <c r="AN244" s="16">
        <f t="shared" si="100"/>
        <v>113120</v>
      </c>
      <c r="AO244" s="16">
        <f t="shared" si="118"/>
        <v>176467.19999999998</v>
      </c>
      <c r="AP244" s="16">
        <f t="shared" si="101"/>
        <v>104636</v>
      </c>
      <c r="AQ244" s="16">
        <f t="shared" si="102"/>
        <v>3187902.1132947979</v>
      </c>
      <c r="AR244" s="16">
        <f t="shared" si="117"/>
        <v>191274.12679768787</v>
      </c>
      <c r="AS244" s="16">
        <f t="shared" si="103"/>
        <v>21040.153947745664</v>
      </c>
      <c r="AT244" s="16">
        <f t="shared" si="104"/>
        <v>-3825.4825359537576</v>
      </c>
      <c r="AU244" s="16">
        <f t="shared" si="105"/>
        <v>3375350.757556532</v>
      </c>
      <c r="AV244" s="16">
        <f t="shared" si="106"/>
        <v>3379176.2400924857</v>
      </c>
      <c r="AW244" s="16">
        <f t="shared" si="107"/>
        <v>113120</v>
      </c>
      <c r="AX244" s="16" t="s">
        <v>235</v>
      </c>
      <c r="AY244" s="17"/>
      <c r="AZ244" s="17">
        <f t="shared" si="108"/>
        <v>2900</v>
      </c>
      <c r="BA244" s="16">
        <f t="shared" si="109"/>
        <v>2785194.9132947978</v>
      </c>
      <c r="BB244" s="16">
        <f t="shared" si="110"/>
        <v>2782294.9132947978</v>
      </c>
      <c r="BC244">
        <v>0.03</v>
      </c>
      <c r="BD244">
        <v>0.01</v>
      </c>
      <c r="BE244" s="37">
        <f t="shared" si="111"/>
        <v>261307.19999999998</v>
      </c>
      <c r="BF244" s="38">
        <f t="shared" si="112"/>
        <v>161196</v>
      </c>
      <c r="BG244" s="37">
        <f t="shared" si="119"/>
        <v>132800</v>
      </c>
      <c r="BH244" s="37">
        <f t="shared" si="113"/>
        <v>141400</v>
      </c>
      <c r="BI244">
        <v>132800</v>
      </c>
      <c r="BL244" s="8">
        <f t="shared" si="114"/>
        <v>70314.913294797676</v>
      </c>
      <c r="BM244" s="7" t="str">
        <f t="shared" si="120"/>
        <v>Terdaftar BPJS Kes &amp; Naker</v>
      </c>
      <c r="BN244" s="11">
        <f t="shared" si="121"/>
        <v>161196</v>
      </c>
      <c r="BO244" s="11">
        <f t="shared" si="122"/>
        <v>128391.20000000001</v>
      </c>
      <c r="BP244" s="9">
        <f t="shared" si="115"/>
        <v>0</v>
      </c>
      <c r="BQ244" t="s">
        <v>8</v>
      </c>
    </row>
    <row r="245" spans="1:69" ht="15.6" x14ac:dyDescent="0.3">
      <c r="A245" s="2">
        <v>244</v>
      </c>
      <c r="B245" s="5" t="s">
        <v>2691</v>
      </c>
      <c r="C245" s="6" t="s">
        <v>241</v>
      </c>
      <c r="D245" s="6"/>
      <c r="E245" s="6" t="s">
        <v>73</v>
      </c>
      <c r="F245" s="6" t="s">
        <v>73</v>
      </c>
      <c r="G245" s="6"/>
      <c r="H245" s="6"/>
      <c r="I245" s="6"/>
      <c r="J245" s="6" t="s">
        <v>2696</v>
      </c>
      <c r="K245" s="6">
        <v>800322</v>
      </c>
      <c r="M245" s="6" t="s">
        <v>2695</v>
      </c>
      <c r="N245" s="88" t="s">
        <v>2694</v>
      </c>
      <c r="O245" s="6">
        <v>367012732</v>
      </c>
      <c r="P245" s="78" t="s">
        <v>2693</v>
      </c>
      <c r="Q245" s="6" t="s">
        <v>30</v>
      </c>
      <c r="R245" s="6">
        <v>27090</v>
      </c>
      <c r="S245" s="5" t="str">
        <f>VLOOKUP(T245,'[1]Kode Posisi'!$A$3:$B$45,2,)</f>
        <v>Outsourcing Petugas Administrasi</v>
      </c>
      <c r="T245" s="36" t="s">
        <v>35</v>
      </c>
      <c r="U245" s="44" t="s">
        <v>1106</v>
      </c>
      <c r="V245" s="44" t="s">
        <v>2692</v>
      </c>
      <c r="W245" s="36" t="s">
        <v>30</v>
      </c>
      <c r="X245" s="36" t="s">
        <v>30</v>
      </c>
      <c r="Y245" s="36" t="s">
        <v>52</v>
      </c>
      <c r="Z245" s="79">
        <v>5406016346</v>
      </c>
      <c r="AA245" s="36" t="s">
        <v>2691</v>
      </c>
      <c r="AB245" s="47">
        <v>5000000</v>
      </c>
      <c r="AC245" s="41">
        <v>5730000</v>
      </c>
      <c r="AD245" s="3">
        <v>5397000</v>
      </c>
      <c r="AE245" s="16">
        <f t="shared" si="97"/>
        <v>-397000</v>
      </c>
      <c r="AF245" s="16">
        <v>1500000</v>
      </c>
      <c r="AG245" s="16">
        <v>0</v>
      </c>
      <c r="AI245" s="16">
        <v>0</v>
      </c>
      <c r="AK245" s="16">
        <v>0</v>
      </c>
      <c r="AL245" s="11">
        <f t="shared" si="98"/>
        <v>6500000</v>
      </c>
      <c r="AM245" s="16">
        <f t="shared" si="99"/>
        <v>586752</v>
      </c>
      <c r="AN245" s="16">
        <f t="shared" si="100"/>
        <v>229200</v>
      </c>
      <c r="AO245" s="16">
        <f t="shared" si="118"/>
        <v>357552</v>
      </c>
      <c r="AP245" s="16">
        <f t="shared" si="101"/>
        <v>240500</v>
      </c>
      <c r="AQ245" s="16">
        <f t="shared" si="102"/>
        <v>7086752</v>
      </c>
      <c r="AR245" s="16"/>
      <c r="AS245" s="16">
        <f t="shared" si="103"/>
        <v>0</v>
      </c>
      <c r="AT245" s="16">
        <f t="shared" si="104"/>
        <v>0</v>
      </c>
      <c r="AU245" s="16">
        <f t="shared" si="105"/>
        <v>7086752</v>
      </c>
      <c r="AV245" s="16">
        <f t="shared" si="106"/>
        <v>7086752</v>
      </c>
      <c r="AW245" s="16">
        <f t="shared" si="107"/>
        <v>229200</v>
      </c>
      <c r="AX245" s="16" t="s">
        <v>235</v>
      </c>
      <c r="AY245" s="11"/>
      <c r="AZ245" s="17">
        <f t="shared" si="108"/>
        <v>0</v>
      </c>
      <c r="BA245" s="16">
        <f t="shared" si="109"/>
        <v>6270800</v>
      </c>
      <c r="BB245" s="16">
        <f t="shared" si="110"/>
        <v>6270800</v>
      </c>
      <c r="BC245" s="15">
        <v>0.03</v>
      </c>
      <c r="BD245" s="15">
        <v>0.01</v>
      </c>
      <c r="BE245" s="37">
        <f t="shared" si="111"/>
        <v>529452</v>
      </c>
      <c r="BF245" s="38">
        <f t="shared" si="112"/>
        <v>326610</v>
      </c>
      <c r="BG245" s="37">
        <f t="shared" si="119"/>
        <v>269850</v>
      </c>
      <c r="BH245" s="37">
        <f t="shared" si="113"/>
        <v>286500</v>
      </c>
      <c r="BI245">
        <v>269850</v>
      </c>
      <c r="BL245" s="8">
        <f t="shared" si="114"/>
        <v>1500000</v>
      </c>
      <c r="BM245" s="7" t="str">
        <f t="shared" si="120"/>
        <v>Terdaftar BPJS Kes &amp; Naker</v>
      </c>
      <c r="BN245" s="11">
        <f t="shared" si="121"/>
        <v>326610</v>
      </c>
      <c r="BO245" s="11">
        <f t="shared" si="122"/>
        <v>260142.00000000003</v>
      </c>
      <c r="BP245" s="9">
        <f t="shared" si="115"/>
        <v>0</v>
      </c>
      <c r="BQ245" s="58" t="s">
        <v>29</v>
      </c>
    </row>
    <row r="246" spans="1:69" x14ac:dyDescent="0.3">
      <c r="A246" s="2">
        <v>245</v>
      </c>
      <c r="B246" s="5" t="s">
        <v>2690</v>
      </c>
      <c r="C246" s="6" t="s">
        <v>241</v>
      </c>
      <c r="D246" s="6"/>
      <c r="E246" s="6" t="s">
        <v>73</v>
      </c>
      <c r="F246" s="6"/>
      <c r="G246" s="6"/>
      <c r="H246" s="6"/>
      <c r="I246" s="6"/>
      <c r="J246" s="6"/>
      <c r="K246" s="6">
        <v>800323</v>
      </c>
      <c r="L246" s="6"/>
      <c r="M246" s="6" t="s">
        <v>2689</v>
      </c>
      <c r="N246" s="46" t="s">
        <v>2688</v>
      </c>
      <c r="O246" s="6">
        <v>2881564345</v>
      </c>
      <c r="P246" s="85" t="s">
        <v>2687</v>
      </c>
      <c r="Q246" s="6">
        <v>26010</v>
      </c>
      <c r="R246" s="6">
        <v>27001</v>
      </c>
      <c r="S246" s="5" t="str">
        <f>VLOOKUP(T246,'[1]Kode Posisi'!$A$3:$B$45,2,)</f>
        <v>Outsourcing Penjualan</v>
      </c>
      <c r="T246" s="36" t="s">
        <v>1063</v>
      </c>
      <c r="U246" s="44" t="s">
        <v>1071</v>
      </c>
      <c r="V246" s="44" t="s">
        <v>2686</v>
      </c>
      <c r="W246" s="36" t="s">
        <v>1069</v>
      </c>
      <c r="X246" s="36" t="s">
        <v>1069</v>
      </c>
      <c r="Y246" s="36" t="s">
        <v>52</v>
      </c>
      <c r="Z246" s="79">
        <v>5681637312</v>
      </c>
      <c r="AA246" s="36" t="s">
        <v>2685</v>
      </c>
      <c r="AB246" s="47">
        <v>3000000</v>
      </c>
      <c r="AC246" s="41">
        <v>2828000</v>
      </c>
      <c r="AD246" s="47">
        <v>2900000</v>
      </c>
      <c r="AE246" s="16">
        <f t="shared" si="97"/>
        <v>100000</v>
      </c>
      <c r="AF246" s="16">
        <v>250000</v>
      </c>
      <c r="AG246" s="16">
        <v>0</v>
      </c>
      <c r="AH246" s="16"/>
      <c r="AI246" s="16">
        <v>0</v>
      </c>
      <c r="AJ246" s="16"/>
      <c r="AK246" s="16">
        <v>0</v>
      </c>
      <c r="AL246" s="11">
        <f t="shared" si="98"/>
        <v>3250000</v>
      </c>
      <c r="AM246" s="16">
        <f t="shared" si="99"/>
        <v>289587.19999999995</v>
      </c>
      <c r="AN246" s="16">
        <f t="shared" si="100"/>
        <v>113120</v>
      </c>
      <c r="AO246" s="16">
        <f t="shared" si="118"/>
        <v>176467.19999999998</v>
      </c>
      <c r="AP246" s="16">
        <f t="shared" si="101"/>
        <v>120250</v>
      </c>
      <c r="AQ246" s="16">
        <f t="shared" si="102"/>
        <v>3539587.2</v>
      </c>
      <c r="AR246" s="16">
        <f t="shared" ref="AR246:AR277" si="123">SUM(AQ246*0.06)</f>
        <v>212375.23199999999</v>
      </c>
      <c r="AS246" s="16">
        <f t="shared" si="103"/>
        <v>23361.275519999999</v>
      </c>
      <c r="AT246" s="16">
        <f t="shared" si="104"/>
        <v>-4247.5046400000001</v>
      </c>
      <c r="AU246" s="16">
        <f t="shared" si="105"/>
        <v>3747714.9273600001</v>
      </c>
      <c r="AV246" s="16">
        <f t="shared" si="106"/>
        <v>3751962.432</v>
      </c>
      <c r="AW246" s="16">
        <f t="shared" si="107"/>
        <v>113120</v>
      </c>
      <c r="AX246" s="16" t="s">
        <v>235</v>
      </c>
      <c r="AY246" s="87"/>
      <c r="AZ246" s="17">
        <f t="shared" si="108"/>
        <v>0</v>
      </c>
      <c r="BA246" s="16">
        <f t="shared" si="109"/>
        <v>3136880</v>
      </c>
      <c r="BB246" s="16">
        <f t="shared" si="110"/>
        <v>3136880</v>
      </c>
      <c r="BC246" s="15">
        <v>0.03</v>
      </c>
      <c r="BD246" s="15">
        <v>0.01</v>
      </c>
      <c r="BE246" s="37">
        <f t="shared" si="111"/>
        <v>261307.19999999998</v>
      </c>
      <c r="BF246" s="38">
        <f t="shared" si="112"/>
        <v>161196</v>
      </c>
      <c r="BG246" s="37">
        <f t="shared" si="119"/>
        <v>145000</v>
      </c>
      <c r="BH246" s="37">
        <f t="shared" si="113"/>
        <v>141400</v>
      </c>
      <c r="BI246">
        <v>145000</v>
      </c>
      <c r="BL246" s="8">
        <f t="shared" si="114"/>
        <v>250000</v>
      </c>
      <c r="BM246" s="7" t="str">
        <f t="shared" si="120"/>
        <v>Terdaftar BPJS Kes &amp; Naker</v>
      </c>
      <c r="BN246" s="11">
        <f t="shared" si="121"/>
        <v>161196</v>
      </c>
      <c r="BO246" s="11">
        <f t="shared" si="122"/>
        <v>128391.20000000001</v>
      </c>
      <c r="BP246" s="9">
        <f t="shared" si="115"/>
        <v>0</v>
      </c>
      <c r="BQ246" t="str">
        <f>_xlfn.XLOOKUP(X246,'[2]NON TETAP'!$H:$H,'[2]NON TETAP'!$I:$I)</f>
        <v>ELTI</v>
      </c>
    </row>
    <row r="247" spans="1:69" x14ac:dyDescent="0.3">
      <c r="A247" s="2">
        <v>246</v>
      </c>
      <c r="B247" s="60" t="s">
        <v>2678</v>
      </c>
      <c r="C247" s="6" t="s">
        <v>241</v>
      </c>
      <c r="D247" s="6"/>
      <c r="E247" s="6" t="s">
        <v>73</v>
      </c>
      <c r="F247" s="6" t="s">
        <v>73</v>
      </c>
      <c r="G247" s="6" t="s">
        <v>73</v>
      </c>
      <c r="H247" s="6"/>
      <c r="I247" s="86"/>
      <c r="J247" s="86"/>
      <c r="K247" s="6">
        <v>800326</v>
      </c>
      <c r="L247" s="6"/>
      <c r="M247" s="6" t="s">
        <v>2684</v>
      </c>
      <c r="N247" s="46" t="s">
        <v>2683</v>
      </c>
      <c r="O247" s="6">
        <v>1933305939</v>
      </c>
      <c r="P247" s="78" t="s">
        <v>2682</v>
      </c>
      <c r="Q247" s="6">
        <v>10225</v>
      </c>
      <c r="R247" s="6">
        <v>27225</v>
      </c>
      <c r="S247" s="5" t="str">
        <f>VLOOKUP(T247,'[1]Kode Posisi'!$A$3:$B$45,2,)</f>
        <v>Outsourcing Keamanan</v>
      </c>
      <c r="T247" s="36" t="s">
        <v>37</v>
      </c>
      <c r="U247" s="44">
        <v>9025</v>
      </c>
      <c r="V247" s="44" t="s">
        <v>2681</v>
      </c>
      <c r="W247" s="36" t="s">
        <v>2680</v>
      </c>
      <c r="X247" s="36" t="s">
        <v>2680</v>
      </c>
      <c r="Y247" s="36" t="s">
        <v>63</v>
      </c>
      <c r="Z247" s="79" t="s">
        <v>2679</v>
      </c>
      <c r="AA247" s="36" t="s">
        <v>2678</v>
      </c>
      <c r="AB247" s="47">
        <v>4149000</v>
      </c>
      <c r="AC247" s="41">
        <v>4149000</v>
      </c>
      <c r="AD247" s="47">
        <v>3881000</v>
      </c>
      <c r="AE247" s="16">
        <f t="shared" si="97"/>
        <v>268000</v>
      </c>
      <c r="AF247" s="16">
        <v>0</v>
      </c>
      <c r="AG247" s="16">
        <v>0</v>
      </c>
      <c r="AI247" s="16">
        <v>0</v>
      </c>
      <c r="AK247" s="16">
        <v>0</v>
      </c>
      <c r="AL247" s="11">
        <f t="shared" si="98"/>
        <v>4149000</v>
      </c>
      <c r="AM247" s="16">
        <f t="shared" si="99"/>
        <v>424857.59999999998</v>
      </c>
      <c r="AN247" s="16">
        <f t="shared" si="100"/>
        <v>165960</v>
      </c>
      <c r="AO247" s="16">
        <f t="shared" si="118"/>
        <v>258897.59999999998</v>
      </c>
      <c r="AP247" s="16">
        <f t="shared" si="101"/>
        <v>153513</v>
      </c>
      <c r="AQ247" s="16">
        <f t="shared" si="102"/>
        <v>4573857.5999999996</v>
      </c>
      <c r="AR247" s="16">
        <f t="shared" si="123"/>
        <v>274431.45599999995</v>
      </c>
      <c r="AS247" s="16">
        <f t="shared" si="103"/>
        <v>30187.460159999995</v>
      </c>
      <c r="AT247" s="16">
        <f t="shared" si="104"/>
        <v>-5488.6291199999987</v>
      </c>
      <c r="AU247" s="16">
        <f t="shared" si="105"/>
        <v>4842800.4268800002</v>
      </c>
      <c r="AV247" s="16">
        <f t="shared" si="106"/>
        <v>4848289.0559999999</v>
      </c>
      <c r="AW247" s="16">
        <f t="shared" si="107"/>
        <v>165960</v>
      </c>
      <c r="AX247" s="16" t="s">
        <v>286</v>
      </c>
      <c r="AY247" s="11"/>
      <c r="AZ247" s="17">
        <f t="shared" si="108"/>
        <v>2900</v>
      </c>
      <c r="BA247" s="16">
        <f t="shared" si="109"/>
        <v>3983040</v>
      </c>
      <c r="BB247" s="16">
        <f t="shared" si="110"/>
        <v>3980140</v>
      </c>
      <c r="BC247" s="15">
        <v>0.03</v>
      </c>
      <c r="BD247" s="15">
        <v>0.01</v>
      </c>
      <c r="BE247" s="37">
        <f t="shared" si="111"/>
        <v>383367.6</v>
      </c>
      <c r="BF247" s="38">
        <f t="shared" si="112"/>
        <v>236493</v>
      </c>
      <c r="BG247" s="37">
        <f t="shared" si="119"/>
        <v>194050</v>
      </c>
      <c r="BH247" s="37">
        <f t="shared" si="113"/>
        <v>207450</v>
      </c>
      <c r="BI247">
        <v>194050</v>
      </c>
      <c r="BJ247" s="2">
        <v>194050</v>
      </c>
      <c r="BL247" s="8">
        <f t="shared" si="114"/>
        <v>0</v>
      </c>
      <c r="BM247" s="7" t="str">
        <f t="shared" si="120"/>
        <v>Terdaftar BPJS Kes &amp; Naker</v>
      </c>
      <c r="BN247" s="11">
        <f t="shared" si="121"/>
        <v>236493</v>
      </c>
      <c r="BO247" s="11">
        <f t="shared" si="122"/>
        <v>188364.6</v>
      </c>
      <c r="BP247" s="9">
        <f t="shared" si="115"/>
        <v>0</v>
      </c>
      <c r="BQ247" t="str">
        <f>_xlfn.XLOOKUP(X247,'[2]NON TETAP'!$H:$H,'[2]NON TETAP'!$I:$I)</f>
        <v>GRAMEDIA ASRI MEDIA</v>
      </c>
    </row>
    <row r="248" spans="1:69" x14ac:dyDescent="0.3">
      <c r="A248" s="2">
        <v>247</v>
      </c>
      <c r="B248" s="5" t="s">
        <v>2672</v>
      </c>
      <c r="C248" s="6" t="s">
        <v>241</v>
      </c>
      <c r="D248" s="6"/>
      <c r="E248" s="6" t="s">
        <v>73</v>
      </c>
      <c r="F248" s="6" t="s">
        <v>73</v>
      </c>
      <c r="G248" s="6"/>
      <c r="H248" s="6"/>
      <c r="I248" s="6"/>
      <c r="J248" s="6"/>
      <c r="K248" s="6">
        <v>800327</v>
      </c>
      <c r="L248" s="6"/>
      <c r="M248" s="6"/>
      <c r="N248" s="46" t="s">
        <v>2677</v>
      </c>
      <c r="O248" s="6">
        <v>1525399806</v>
      </c>
      <c r="P248" s="85" t="s">
        <v>2676</v>
      </c>
      <c r="Q248" s="6">
        <v>11197</v>
      </c>
      <c r="R248" s="6">
        <v>27197</v>
      </c>
      <c r="S248" s="5" t="str">
        <f>VLOOKUP(T248,'[1]Kode Posisi'!$A$3:$B$45,2,)</f>
        <v>Outsourcing Petugas Gudang</v>
      </c>
      <c r="T248" s="36" t="s">
        <v>2392</v>
      </c>
      <c r="U248" s="44" t="s">
        <v>2675</v>
      </c>
      <c r="V248" s="44" t="s">
        <v>2674</v>
      </c>
      <c r="W248" s="5" t="s">
        <v>232</v>
      </c>
      <c r="X248" s="5" t="s">
        <v>17</v>
      </c>
      <c r="Y248" s="36" t="s">
        <v>198</v>
      </c>
      <c r="Z248" s="46" t="s">
        <v>2673</v>
      </c>
      <c r="AA248" s="36" t="s">
        <v>2672</v>
      </c>
      <c r="AB248" s="47">
        <v>2828000</v>
      </c>
      <c r="AC248" s="41">
        <v>2828000</v>
      </c>
      <c r="AD248" s="47">
        <v>2656000</v>
      </c>
      <c r="AE248" s="16">
        <f t="shared" si="97"/>
        <v>172000</v>
      </c>
      <c r="AF248" s="16">
        <v>0</v>
      </c>
      <c r="AG248" s="16">
        <v>0</v>
      </c>
      <c r="AH248" s="16"/>
      <c r="AI248" s="16">
        <v>207260.11560693642</v>
      </c>
      <c r="AJ248" s="16"/>
      <c r="AK248" s="16">
        <v>0</v>
      </c>
      <c r="AL248" s="11">
        <f t="shared" si="98"/>
        <v>3035260.1156069366</v>
      </c>
      <c r="AM248" s="16">
        <f t="shared" si="99"/>
        <v>289587.19999999995</v>
      </c>
      <c r="AN248" s="16">
        <f t="shared" si="100"/>
        <v>113120</v>
      </c>
      <c r="AO248" s="16">
        <f t="shared" si="118"/>
        <v>176467.19999999998</v>
      </c>
      <c r="AP248" s="16">
        <f t="shared" si="101"/>
        <v>104636</v>
      </c>
      <c r="AQ248" s="16">
        <f t="shared" si="102"/>
        <v>3324847.3156069368</v>
      </c>
      <c r="AR248" s="16">
        <f t="shared" si="123"/>
        <v>199490.8389364162</v>
      </c>
      <c r="AS248" s="16">
        <f t="shared" si="103"/>
        <v>21943.99228300578</v>
      </c>
      <c r="AT248" s="16">
        <f t="shared" si="104"/>
        <v>-3989.8167787283242</v>
      </c>
      <c r="AU248" s="16">
        <f t="shared" si="105"/>
        <v>3520348.337764625</v>
      </c>
      <c r="AV248" s="16">
        <f t="shared" si="106"/>
        <v>3524338.1545433532</v>
      </c>
      <c r="AW248" s="16">
        <f t="shared" si="107"/>
        <v>113120</v>
      </c>
      <c r="AX248" s="16" t="s">
        <v>235</v>
      </c>
      <c r="AY248" s="17"/>
      <c r="AZ248" s="17">
        <f t="shared" si="108"/>
        <v>2900</v>
      </c>
      <c r="BA248" s="16">
        <f t="shared" si="109"/>
        <v>2922140.1156069366</v>
      </c>
      <c r="BB248" s="16">
        <f t="shared" si="110"/>
        <v>2919240.1156069366</v>
      </c>
      <c r="BC248" s="15">
        <v>0.03</v>
      </c>
      <c r="BD248" s="15">
        <v>0.01</v>
      </c>
      <c r="BE248" s="37">
        <f t="shared" si="111"/>
        <v>261307.19999999998</v>
      </c>
      <c r="BF248" s="38">
        <f t="shared" si="112"/>
        <v>161196</v>
      </c>
      <c r="BG248" s="37">
        <f t="shared" si="119"/>
        <v>132800</v>
      </c>
      <c r="BH248" s="37">
        <f t="shared" si="113"/>
        <v>141400</v>
      </c>
      <c r="BI248">
        <v>132800</v>
      </c>
      <c r="BL248" s="8">
        <f t="shared" si="114"/>
        <v>207260.11560693642</v>
      </c>
      <c r="BM248" s="7" t="str">
        <f t="shared" si="120"/>
        <v>Terdaftar BPJS Kes &amp; Naker</v>
      </c>
      <c r="BN248" s="11">
        <f t="shared" si="121"/>
        <v>161196</v>
      </c>
      <c r="BO248" s="11">
        <f t="shared" si="122"/>
        <v>128391.20000000001</v>
      </c>
      <c r="BP248" s="9">
        <f t="shared" si="115"/>
        <v>0</v>
      </c>
      <c r="BQ248" t="s">
        <v>8</v>
      </c>
    </row>
    <row r="249" spans="1:69" x14ac:dyDescent="0.3">
      <c r="A249" s="2">
        <v>248</v>
      </c>
      <c r="B249" s="4" t="s">
        <v>2671</v>
      </c>
      <c r="C249" s="6" t="s">
        <v>241</v>
      </c>
      <c r="D249" s="6"/>
      <c r="E249" s="6" t="s">
        <v>73</v>
      </c>
      <c r="F249" s="6" t="s">
        <v>73</v>
      </c>
      <c r="G249" s="6"/>
      <c r="H249" s="6"/>
      <c r="I249" s="6"/>
      <c r="J249" s="6"/>
      <c r="K249" s="6">
        <v>800329</v>
      </c>
      <c r="L249" s="6"/>
      <c r="M249" s="6" t="s">
        <v>2670</v>
      </c>
      <c r="N249" s="46" t="s">
        <v>2669</v>
      </c>
      <c r="O249" s="6">
        <v>2072458034</v>
      </c>
      <c r="P249" s="78" t="s">
        <v>2668</v>
      </c>
      <c r="Q249" s="84" t="s">
        <v>2620</v>
      </c>
      <c r="R249" s="6">
        <v>27190</v>
      </c>
      <c r="S249" s="5" t="s">
        <v>2619</v>
      </c>
      <c r="T249" s="36" t="s">
        <v>1</v>
      </c>
      <c r="U249" s="44" t="s">
        <v>1106</v>
      </c>
      <c r="V249" s="44" t="s">
        <v>2667</v>
      </c>
      <c r="W249" s="36" t="s">
        <v>2617</v>
      </c>
      <c r="X249" s="36" t="s">
        <v>2617</v>
      </c>
      <c r="Y249" s="36" t="s">
        <v>52</v>
      </c>
      <c r="Z249" s="46" t="s">
        <v>2666</v>
      </c>
      <c r="AA249" s="36" t="s">
        <v>2665</v>
      </c>
      <c r="AB249" s="47">
        <v>5730000</v>
      </c>
      <c r="AC249" s="41">
        <v>5730000</v>
      </c>
      <c r="AD249" s="3">
        <v>5397000</v>
      </c>
      <c r="AE249" s="16">
        <f t="shared" si="97"/>
        <v>333000</v>
      </c>
      <c r="AF249" s="16">
        <v>0</v>
      </c>
      <c r="AG249" s="17">
        <v>0</v>
      </c>
      <c r="AH249">
        <v>280000</v>
      </c>
      <c r="AI249" s="16">
        <v>0</v>
      </c>
      <c r="AK249" s="16">
        <v>0</v>
      </c>
      <c r="AL249" s="11">
        <f t="shared" si="98"/>
        <v>6010000</v>
      </c>
      <c r="AM249" s="16">
        <f t="shared" si="99"/>
        <v>586752</v>
      </c>
      <c r="AN249" s="16">
        <f t="shared" si="100"/>
        <v>229200</v>
      </c>
      <c r="AO249" s="16">
        <f t="shared" si="118"/>
        <v>357552</v>
      </c>
      <c r="AP249" s="16">
        <f t="shared" si="101"/>
        <v>212010</v>
      </c>
      <c r="AQ249" s="16">
        <f t="shared" si="102"/>
        <v>6596752</v>
      </c>
      <c r="AR249" s="16">
        <f t="shared" si="123"/>
        <v>395805.12</v>
      </c>
      <c r="AS249" s="16">
        <f t="shared" si="103"/>
        <v>43538.563199999997</v>
      </c>
      <c r="AT249" s="16">
        <f t="shared" si="104"/>
        <v>-7916.1023999999998</v>
      </c>
      <c r="AU249" s="16">
        <f t="shared" si="105"/>
        <v>6984641.0175999999</v>
      </c>
      <c r="AV249" s="16">
        <f t="shared" si="106"/>
        <v>6992557.1200000001</v>
      </c>
      <c r="AW249" s="16">
        <f t="shared" si="107"/>
        <v>229200</v>
      </c>
      <c r="AX249" s="16" t="s">
        <v>286</v>
      </c>
      <c r="AZ249" s="17">
        <f t="shared" si="108"/>
        <v>0</v>
      </c>
      <c r="BA249" s="16">
        <f t="shared" si="109"/>
        <v>5780800</v>
      </c>
      <c r="BB249" s="16">
        <f t="shared" si="110"/>
        <v>5780800</v>
      </c>
      <c r="BC249">
        <v>0.03</v>
      </c>
      <c r="BD249">
        <v>0.01</v>
      </c>
      <c r="BE249" s="37">
        <f t="shared" si="111"/>
        <v>529452</v>
      </c>
      <c r="BF249" s="38">
        <f t="shared" si="112"/>
        <v>326610</v>
      </c>
      <c r="BG249" s="37">
        <f t="shared" si="119"/>
        <v>269850</v>
      </c>
      <c r="BH249" s="37">
        <f t="shared" si="113"/>
        <v>286500</v>
      </c>
      <c r="BI249">
        <v>269850</v>
      </c>
      <c r="BL249" s="8">
        <f t="shared" si="114"/>
        <v>280000</v>
      </c>
      <c r="BM249" s="7" t="str">
        <f t="shared" si="120"/>
        <v>Terdaftar BPJS Kes &amp; Naker</v>
      </c>
      <c r="BN249" s="11">
        <f t="shared" si="121"/>
        <v>326610</v>
      </c>
      <c r="BO249" s="11">
        <f t="shared" si="122"/>
        <v>260142.00000000003</v>
      </c>
      <c r="BP249" s="9">
        <f t="shared" si="115"/>
        <v>0</v>
      </c>
      <c r="BQ249" t="str">
        <f>_xlfn.XLOOKUP(X249,'[2]NON TETAP'!$H:$H,'[2]NON TETAP'!$I:$I)</f>
        <v>GRAMEDIA ASRI MEDIA</v>
      </c>
    </row>
    <row r="250" spans="1:69" x14ac:dyDescent="0.3">
      <c r="A250" s="2">
        <v>249</v>
      </c>
      <c r="B250" s="4" t="s">
        <v>2658</v>
      </c>
      <c r="C250" s="6" t="s">
        <v>241</v>
      </c>
      <c r="D250" s="6"/>
      <c r="E250" s="6" t="s">
        <v>73</v>
      </c>
      <c r="F250" s="6" t="s">
        <v>73</v>
      </c>
      <c r="G250" s="6"/>
      <c r="H250" s="6"/>
      <c r="I250" s="6"/>
      <c r="J250" s="6"/>
      <c r="K250" s="6">
        <v>800330</v>
      </c>
      <c r="L250" s="6"/>
      <c r="M250" s="6" t="s">
        <v>2664</v>
      </c>
      <c r="N250" s="46" t="s">
        <v>2663</v>
      </c>
      <c r="O250" s="6">
        <v>1296880727</v>
      </c>
      <c r="P250" s="78" t="s">
        <v>2662</v>
      </c>
      <c r="Q250" s="84" t="s">
        <v>2620</v>
      </c>
      <c r="R250" s="6">
        <v>27190</v>
      </c>
      <c r="S250" s="5" t="s">
        <v>2619</v>
      </c>
      <c r="T250" s="36" t="s">
        <v>1</v>
      </c>
      <c r="U250" s="44" t="s">
        <v>1106</v>
      </c>
      <c r="V250" s="44" t="s">
        <v>2661</v>
      </c>
      <c r="W250" s="36" t="s">
        <v>2617</v>
      </c>
      <c r="X250" s="36" t="s">
        <v>2617</v>
      </c>
      <c r="Y250" s="36" t="s">
        <v>2660</v>
      </c>
      <c r="Z250" s="79" t="s">
        <v>2659</v>
      </c>
      <c r="AA250" s="36" t="s">
        <v>2658</v>
      </c>
      <c r="AB250" s="47">
        <v>5730000</v>
      </c>
      <c r="AC250" s="41">
        <v>5730000</v>
      </c>
      <c r="AD250" s="3">
        <v>5397000</v>
      </c>
      <c r="AE250" s="16">
        <f t="shared" si="97"/>
        <v>333000</v>
      </c>
      <c r="AF250" s="16">
        <v>0</v>
      </c>
      <c r="AG250" s="17">
        <v>0</v>
      </c>
      <c r="AH250">
        <v>280000</v>
      </c>
      <c r="AI250" s="16">
        <v>0</v>
      </c>
      <c r="AK250" s="16">
        <v>0</v>
      </c>
      <c r="AL250" s="11">
        <f t="shared" si="98"/>
        <v>6010000</v>
      </c>
      <c r="AM250" s="16">
        <f t="shared" si="99"/>
        <v>586752</v>
      </c>
      <c r="AN250" s="16">
        <f t="shared" si="100"/>
        <v>229200</v>
      </c>
      <c r="AO250" s="16">
        <f t="shared" si="118"/>
        <v>357552</v>
      </c>
      <c r="AP250" s="16">
        <f t="shared" si="101"/>
        <v>212010</v>
      </c>
      <c r="AQ250" s="16">
        <f t="shared" si="102"/>
        <v>6596752</v>
      </c>
      <c r="AR250" s="16">
        <f t="shared" si="123"/>
        <v>395805.12</v>
      </c>
      <c r="AS250" s="16">
        <f t="shared" si="103"/>
        <v>43538.563199999997</v>
      </c>
      <c r="AT250" s="16">
        <f t="shared" si="104"/>
        <v>-7916.1023999999998</v>
      </c>
      <c r="AU250" s="16">
        <f t="shared" si="105"/>
        <v>6984641.0175999999</v>
      </c>
      <c r="AV250" s="16">
        <f t="shared" si="106"/>
        <v>6992557.1200000001</v>
      </c>
      <c r="AW250" s="16">
        <f t="shared" si="107"/>
        <v>229200</v>
      </c>
      <c r="AX250" s="16" t="s">
        <v>243</v>
      </c>
      <c r="AZ250" s="17">
        <f t="shared" si="108"/>
        <v>2900</v>
      </c>
      <c r="BA250" s="16">
        <f t="shared" si="109"/>
        <v>5780800</v>
      </c>
      <c r="BB250" s="16">
        <f t="shared" si="110"/>
        <v>5777900</v>
      </c>
      <c r="BC250">
        <v>0.03</v>
      </c>
      <c r="BD250">
        <v>0.01</v>
      </c>
      <c r="BE250" s="37">
        <f t="shared" si="111"/>
        <v>529452</v>
      </c>
      <c r="BF250" s="38">
        <f t="shared" si="112"/>
        <v>326610</v>
      </c>
      <c r="BG250" s="37">
        <f t="shared" si="119"/>
        <v>269850</v>
      </c>
      <c r="BH250" s="37">
        <f t="shared" si="113"/>
        <v>286500</v>
      </c>
      <c r="BI250">
        <v>269850</v>
      </c>
      <c r="BL250" s="8">
        <f t="shared" si="114"/>
        <v>280000</v>
      </c>
      <c r="BM250" s="7" t="str">
        <f t="shared" si="120"/>
        <v>Terdaftar BPJS Kes &amp; Naker</v>
      </c>
      <c r="BN250" s="11">
        <f t="shared" si="121"/>
        <v>326610</v>
      </c>
      <c r="BO250" s="11">
        <f t="shared" si="122"/>
        <v>260142.00000000003</v>
      </c>
      <c r="BP250" s="9">
        <f t="shared" si="115"/>
        <v>0</v>
      </c>
      <c r="BQ250" t="str">
        <f>_xlfn.XLOOKUP(X250,'[2]NON TETAP'!$H:$H,'[2]NON TETAP'!$I:$I)</f>
        <v>GRAMEDIA ASRI MEDIA</v>
      </c>
    </row>
    <row r="251" spans="1:69" x14ac:dyDescent="0.3">
      <c r="A251" s="2">
        <v>250</v>
      </c>
      <c r="B251" s="4" t="s">
        <v>2657</v>
      </c>
      <c r="C251" s="6" t="s">
        <v>241</v>
      </c>
      <c r="D251" s="6"/>
      <c r="E251" s="6" t="s">
        <v>73</v>
      </c>
      <c r="F251" s="6" t="s">
        <v>73</v>
      </c>
      <c r="G251" s="6"/>
      <c r="H251" s="6"/>
      <c r="I251" s="6"/>
      <c r="J251" s="6"/>
      <c r="K251" s="6">
        <v>800331</v>
      </c>
      <c r="L251" s="6"/>
      <c r="M251" s="6" t="s">
        <v>2656</v>
      </c>
      <c r="N251" s="46" t="s">
        <v>2655</v>
      </c>
      <c r="O251" s="6">
        <v>1463878451</v>
      </c>
      <c r="P251" s="78" t="s">
        <v>2654</v>
      </c>
      <c r="Q251" s="84" t="s">
        <v>2620</v>
      </c>
      <c r="R251" s="6">
        <v>27190</v>
      </c>
      <c r="S251" s="5" t="s">
        <v>2619</v>
      </c>
      <c r="T251" s="36" t="s">
        <v>1</v>
      </c>
      <c r="U251" s="44" t="s">
        <v>1106</v>
      </c>
      <c r="V251" s="44" t="s">
        <v>2653</v>
      </c>
      <c r="W251" s="36" t="s">
        <v>2617</v>
      </c>
      <c r="X251" s="36" t="s">
        <v>2617</v>
      </c>
      <c r="Y251" s="36" t="s">
        <v>52</v>
      </c>
      <c r="Z251" s="79" t="s">
        <v>2652</v>
      </c>
      <c r="AA251" s="36" t="s">
        <v>2651</v>
      </c>
      <c r="AB251" s="47">
        <v>5730000</v>
      </c>
      <c r="AC251" s="41">
        <v>5730000</v>
      </c>
      <c r="AD251" s="3">
        <v>5397000</v>
      </c>
      <c r="AE251" s="16">
        <f t="shared" si="97"/>
        <v>333000</v>
      </c>
      <c r="AF251" s="16">
        <v>0</v>
      </c>
      <c r="AG251" s="17">
        <v>0</v>
      </c>
      <c r="AH251">
        <v>280000</v>
      </c>
      <c r="AI251" s="16">
        <v>0</v>
      </c>
      <c r="AK251" s="16">
        <v>0</v>
      </c>
      <c r="AL251" s="11">
        <f t="shared" si="98"/>
        <v>6010000</v>
      </c>
      <c r="AM251" s="16">
        <f t="shared" si="99"/>
        <v>586752</v>
      </c>
      <c r="AN251" s="16">
        <f t="shared" si="100"/>
        <v>229200</v>
      </c>
      <c r="AO251" s="16">
        <f t="shared" si="118"/>
        <v>357552</v>
      </c>
      <c r="AP251" s="16">
        <f t="shared" si="101"/>
        <v>212010</v>
      </c>
      <c r="AQ251" s="16">
        <f t="shared" si="102"/>
        <v>6596752</v>
      </c>
      <c r="AR251" s="16">
        <f t="shared" si="123"/>
        <v>395805.12</v>
      </c>
      <c r="AS251" s="16">
        <f t="shared" si="103"/>
        <v>43538.563199999997</v>
      </c>
      <c r="AT251" s="16">
        <f t="shared" si="104"/>
        <v>-7916.1023999999998</v>
      </c>
      <c r="AU251" s="16">
        <f t="shared" si="105"/>
        <v>6984641.0175999999</v>
      </c>
      <c r="AV251" s="16">
        <f t="shared" si="106"/>
        <v>6992557.1200000001</v>
      </c>
      <c r="AW251" s="16">
        <f t="shared" si="107"/>
        <v>229200</v>
      </c>
      <c r="AX251" s="16" t="s">
        <v>243</v>
      </c>
      <c r="AZ251" s="17">
        <f t="shared" si="108"/>
        <v>0</v>
      </c>
      <c r="BA251" s="16">
        <f t="shared" si="109"/>
        <v>5780800</v>
      </c>
      <c r="BB251" s="16">
        <f t="shared" si="110"/>
        <v>5780800</v>
      </c>
      <c r="BC251">
        <v>0.03</v>
      </c>
      <c r="BD251">
        <v>0.01</v>
      </c>
      <c r="BE251" s="37">
        <f t="shared" si="111"/>
        <v>529452</v>
      </c>
      <c r="BF251" s="38">
        <f t="shared" si="112"/>
        <v>326610</v>
      </c>
      <c r="BG251" s="37">
        <f t="shared" si="119"/>
        <v>269850</v>
      </c>
      <c r="BH251" s="37">
        <f t="shared" si="113"/>
        <v>286500</v>
      </c>
      <c r="BI251">
        <v>269850</v>
      </c>
      <c r="BL251" s="8">
        <f t="shared" si="114"/>
        <v>280000</v>
      </c>
      <c r="BM251" s="7" t="str">
        <f t="shared" si="120"/>
        <v>Terdaftar BPJS Kes &amp; Naker</v>
      </c>
      <c r="BN251" s="11">
        <f t="shared" si="121"/>
        <v>326610</v>
      </c>
      <c r="BO251" s="11">
        <f t="shared" si="122"/>
        <v>260142.00000000003</v>
      </c>
      <c r="BP251" s="9">
        <f t="shared" si="115"/>
        <v>0</v>
      </c>
      <c r="BQ251" t="str">
        <f>_xlfn.XLOOKUP(X251,'[2]NON TETAP'!$H:$H,'[2]NON TETAP'!$I:$I)</f>
        <v>GRAMEDIA ASRI MEDIA</v>
      </c>
    </row>
    <row r="252" spans="1:69" x14ac:dyDescent="0.3">
      <c r="A252" s="2">
        <v>251</v>
      </c>
      <c r="B252" s="4" t="s">
        <v>2650</v>
      </c>
      <c r="C252" s="6" t="s">
        <v>241</v>
      </c>
      <c r="D252" s="6"/>
      <c r="E252" s="6" t="s">
        <v>73</v>
      </c>
      <c r="F252" s="6" t="s">
        <v>73</v>
      </c>
      <c r="G252" s="6"/>
      <c r="H252" s="6"/>
      <c r="I252" s="6"/>
      <c r="J252" s="6"/>
      <c r="K252" s="6">
        <v>800332</v>
      </c>
      <c r="L252" s="6"/>
      <c r="M252" s="6" t="s">
        <v>2649</v>
      </c>
      <c r="N252" s="46" t="s">
        <v>2648</v>
      </c>
      <c r="O252" s="6">
        <v>1132071849</v>
      </c>
      <c r="P252" s="78" t="s">
        <v>2647</v>
      </c>
      <c r="Q252" s="84" t="s">
        <v>2620</v>
      </c>
      <c r="R252" s="6">
        <v>27190</v>
      </c>
      <c r="S252" s="5" t="s">
        <v>2619</v>
      </c>
      <c r="T252" s="36" t="s">
        <v>1</v>
      </c>
      <c r="U252" s="44" t="s">
        <v>1106</v>
      </c>
      <c r="V252" s="44" t="s">
        <v>2646</v>
      </c>
      <c r="W252" s="36" t="s">
        <v>2617</v>
      </c>
      <c r="X252" s="36" t="s">
        <v>2617</v>
      </c>
      <c r="Y252" s="36" t="s">
        <v>52</v>
      </c>
      <c r="Z252" s="76" t="s">
        <v>2645</v>
      </c>
      <c r="AA252" s="36" t="s">
        <v>2644</v>
      </c>
      <c r="AB252" s="47">
        <v>5730000</v>
      </c>
      <c r="AC252" s="41">
        <v>5730000</v>
      </c>
      <c r="AD252" s="3">
        <v>5397000</v>
      </c>
      <c r="AE252" s="16">
        <f t="shared" si="97"/>
        <v>333000</v>
      </c>
      <c r="AF252" s="16">
        <v>0</v>
      </c>
      <c r="AG252" s="17">
        <v>0</v>
      </c>
      <c r="AH252">
        <v>280000</v>
      </c>
      <c r="AI252" s="16">
        <v>0</v>
      </c>
      <c r="AK252" s="16">
        <v>0</v>
      </c>
      <c r="AL252" s="11">
        <f t="shared" si="98"/>
        <v>6010000</v>
      </c>
      <c r="AM252" s="16">
        <f t="shared" si="99"/>
        <v>586752</v>
      </c>
      <c r="AN252" s="16">
        <f t="shared" si="100"/>
        <v>229200</v>
      </c>
      <c r="AO252" s="16">
        <f t="shared" si="118"/>
        <v>357552</v>
      </c>
      <c r="AP252" s="16">
        <f t="shared" si="101"/>
        <v>212010</v>
      </c>
      <c r="AQ252" s="16">
        <f t="shared" si="102"/>
        <v>6596752</v>
      </c>
      <c r="AR252" s="16">
        <f t="shared" si="123"/>
        <v>395805.12</v>
      </c>
      <c r="AS252" s="16">
        <f t="shared" si="103"/>
        <v>43538.563199999997</v>
      </c>
      <c r="AT252" s="16">
        <f t="shared" si="104"/>
        <v>-7916.1023999999998</v>
      </c>
      <c r="AU252" s="16">
        <f t="shared" si="105"/>
        <v>6984641.0175999999</v>
      </c>
      <c r="AV252" s="16">
        <f t="shared" si="106"/>
        <v>6992557.1200000001</v>
      </c>
      <c r="AW252" s="16">
        <f t="shared" si="107"/>
        <v>229200</v>
      </c>
      <c r="AX252" s="16" t="s">
        <v>319</v>
      </c>
      <c r="AZ252" s="17">
        <f t="shared" si="108"/>
        <v>0</v>
      </c>
      <c r="BA252" s="16">
        <f t="shared" si="109"/>
        <v>5780800</v>
      </c>
      <c r="BB252" s="16">
        <f t="shared" si="110"/>
        <v>5780800</v>
      </c>
      <c r="BC252">
        <v>0.03</v>
      </c>
      <c r="BD252">
        <v>0.01</v>
      </c>
      <c r="BE252" s="37">
        <f t="shared" si="111"/>
        <v>529452</v>
      </c>
      <c r="BF252" s="38">
        <f t="shared" si="112"/>
        <v>326610</v>
      </c>
      <c r="BG252" s="37">
        <f t="shared" si="119"/>
        <v>269850</v>
      </c>
      <c r="BH252" s="37">
        <f t="shared" si="113"/>
        <v>286500</v>
      </c>
      <c r="BI252">
        <v>269850</v>
      </c>
      <c r="BL252" s="8">
        <f t="shared" si="114"/>
        <v>280000</v>
      </c>
      <c r="BM252" s="7" t="str">
        <f t="shared" si="120"/>
        <v>Terdaftar BPJS Kes &amp; Naker</v>
      </c>
      <c r="BN252" s="11">
        <f t="shared" si="121"/>
        <v>326610</v>
      </c>
      <c r="BO252" s="11">
        <f t="shared" si="122"/>
        <v>260142.00000000003</v>
      </c>
      <c r="BP252" s="9">
        <f t="shared" si="115"/>
        <v>0</v>
      </c>
      <c r="BQ252" t="str">
        <f>_xlfn.XLOOKUP(X252,'[2]NON TETAP'!$H:$H,'[2]NON TETAP'!$I:$I)</f>
        <v>GRAMEDIA ASRI MEDIA</v>
      </c>
    </row>
    <row r="253" spans="1:69" x14ac:dyDescent="0.3">
      <c r="A253" s="2">
        <v>252</v>
      </c>
      <c r="B253" s="4" t="s">
        <v>2643</v>
      </c>
      <c r="C253" s="6" t="s">
        <v>241</v>
      </c>
      <c r="D253" s="6"/>
      <c r="E253" s="6" t="s">
        <v>73</v>
      </c>
      <c r="F253" s="6" t="s">
        <v>73</v>
      </c>
      <c r="G253" s="6"/>
      <c r="H253" s="6"/>
      <c r="I253" s="6"/>
      <c r="J253" s="6"/>
      <c r="K253" s="6">
        <v>800333</v>
      </c>
      <c r="L253" s="6"/>
      <c r="M253" s="6" t="s">
        <v>2642</v>
      </c>
      <c r="N253" s="46" t="s">
        <v>2641</v>
      </c>
      <c r="O253" s="6">
        <v>1745388246</v>
      </c>
      <c r="P253" s="78" t="s">
        <v>2640</v>
      </c>
      <c r="Q253" s="84" t="s">
        <v>2620</v>
      </c>
      <c r="R253" s="6">
        <v>27190</v>
      </c>
      <c r="S253" s="5" t="s">
        <v>2619</v>
      </c>
      <c r="T253" s="36" t="s">
        <v>1</v>
      </c>
      <c r="U253" s="44" t="s">
        <v>1106</v>
      </c>
      <c r="V253" s="44" t="s">
        <v>2639</v>
      </c>
      <c r="W253" s="36" t="s">
        <v>2617</v>
      </c>
      <c r="X253" s="36" t="s">
        <v>2617</v>
      </c>
      <c r="Y253" s="36" t="s">
        <v>63</v>
      </c>
      <c r="Z253" s="79" t="s">
        <v>2638</v>
      </c>
      <c r="AA253" s="36" t="s">
        <v>2637</v>
      </c>
      <c r="AB253" s="47">
        <v>5730000</v>
      </c>
      <c r="AC253" s="41">
        <v>5730000</v>
      </c>
      <c r="AD253" s="3">
        <v>5397000</v>
      </c>
      <c r="AE253" s="16">
        <f t="shared" si="97"/>
        <v>333000</v>
      </c>
      <c r="AF253" s="16">
        <v>0</v>
      </c>
      <c r="AG253" s="17">
        <v>0</v>
      </c>
      <c r="AH253">
        <v>280000</v>
      </c>
      <c r="AI253" s="16">
        <v>0</v>
      </c>
      <c r="AK253" s="16">
        <v>0</v>
      </c>
      <c r="AL253" s="11">
        <f t="shared" si="98"/>
        <v>6010000</v>
      </c>
      <c r="AM253" s="16">
        <f t="shared" si="99"/>
        <v>586752</v>
      </c>
      <c r="AN253" s="16">
        <f t="shared" si="100"/>
        <v>229200</v>
      </c>
      <c r="AO253" s="16">
        <f t="shared" si="118"/>
        <v>357552</v>
      </c>
      <c r="AP253" s="16">
        <f t="shared" si="101"/>
        <v>212010</v>
      </c>
      <c r="AQ253" s="16">
        <f t="shared" si="102"/>
        <v>6596752</v>
      </c>
      <c r="AR253" s="16">
        <f t="shared" si="123"/>
        <v>395805.12</v>
      </c>
      <c r="AS253" s="16">
        <f t="shared" si="103"/>
        <v>43538.563199999997</v>
      </c>
      <c r="AT253" s="16">
        <f t="shared" si="104"/>
        <v>-7916.1023999999998</v>
      </c>
      <c r="AU253" s="16">
        <f t="shared" si="105"/>
        <v>6984641.0175999999</v>
      </c>
      <c r="AV253" s="16">
        <f t="shared" si="106"/>
        <v>6992557.1200000001</v>
      </c>
      <c r="AW253" s="16">
        <f t="shared" si="107"/>
        <v>229200</v>
      </c>
      <c r="AX253" s="16" t="s">
        <v>319</v>
      </c>
      <c r="AZ253" s="17">
        <f t="shared" si="108"/>
        <v>2900</v>
      </c>
      <c r="BA253" s="16">
        <f t="shared" si="109"/>
        <v>5780800</v>
      </c>
      <c r="BB253" s="16">
        <f t="shared" si="110"/>
        <v>5777900</v>
      </c>
      <c r="BC253">
        <v>0.03</v>
      </c>
      <c r="BD253">
        <v>0.01</v>
      </c>
      <c r="BE253" s="37">
        <f t="shared" si="111"/>
        <v>529452</v>
      </c>
      <c r="BF253" s="38">
        <f t="shared" si="112"/>
        <v>326610</v>
      </c>
      <c r="BG253" s="37">
        <f t="shared" si="119"/>
        <v>269850</v>
      </c>
      <c r="BH253" s="37">
        <f t="shared" si="113"/>
        <v>286500</v>
      </c>
      <c r="BI253">
        <v>269850</v>
      </c>
      <c r="BL253" s="8">
        <f t="shared" si="114"/>
        <v>280000</v>
      </c>
      <c r="BM253" s="7" t="str">
        <f t="shared" si="120"/>
        <v>Terdaftar BPJS Kes &amp; Naker</v>
      </c>
      <c r="BN253" s="11">
        <f t="shared" si="121"/>
        <v>326610</v>
      </c>
      <c r="BO253" s="11">
        <f t="shared" si="122"/>
        <v>260142.00000000003</v>
      </c>
      <c r="BP253" s="9">
        <f t="shared" si="115"/>
        <v>0</v>
      </c>
      <c r="BQ253" t="str">
        <f>_xlfn.XLOOKUP(X253,'[2]NON TETAP'!$H:$H,'[2]NON TETAP'!$I:$I)</f>
        <v>GRAMEDIA ASRI MEDIA</v>
      </c>
    </row>
    <row r="254" spans="1:69" x14ac:dyDescent="0.3">
      <c r="A254" s="2">
        <v>253</v>
      </c>
      <c r="B254" s="4" t="s">
        <v>2636</v>
      </c>
      <c r="C254" s="6" t="s">
        <v>241</v>
      </c>
      <c r="D254" s="6"/>
      <c r="E254" s="6" t="s">
        <v>73</v>
      </c>
      <c r="F254" s="6" t="s">
        <v>73</v>
      </c>
      <c r="G254" s="6"/>
      <c r="H254" s="6"/>
      <c r="I254" s="6"/>
      <c r="J254" s="6"/>
      <c r="K254" s="6">
        <v>800334</v>
      </c>
      <c r="L254" s="6"/>
      <c r="M254" s="6" t="s">
        <v>2635</v>
      </c>
      <c r="N254" s="46" t="s">
        <v>2634</v>
      </c>
      <c r="O254" s="6">
        <v>1745388595</v>
      </c>
      <c r="P254" s="78" t="s">
        <v>2633</v>
      </c>
      <c r="Q254" s="84" t="s">
        <v>2620</v>
      </c>
      <c r="R254" s="6">
        <v>27190</v>
      </c>
      <c r="S254" s="5" t="s">
        <v>2619</v>
      </c>
      <c r="T254" s="36" t="s">
        <v>1</v>
      </c>
      <c r="U254" s="44" t="s">
        <v>1106</v>
      </c>
      <c r="V254" s="44" t="s">
        <v>2632</v>
      </c>
      <c r="W254" s="36" t="s">
        <v>2617</v>
      </c>
      <c r="X254" s="36" t="s">
        <v>2617</v>
      </c>
      <c r="Y254" s="36" t="s">
        <v>52</v>
      </c>
      <c r="Z254" s="79">
        <v>2291587765</v>
      </c>
      <c r="AA254" s="36" t="s">
        <v>2631</v>
      </c>
      <c r="AB254" s="47">
        <v>5730000</v>
      </c>
      <c r="AC254" s="41">
        <v>5730000</v>
      </c>
      <c r="AD254" s="3">
        <v>5397000</v>
      </c>
      <c r="AE254" s="16">
        <f t="shared" si="97"/>
        <v>333000</v>
      </c>
      <c r="AF254" s="16">
        <v>0</v>
      </c>
      <c r="AG254" s="17">
        <v>0</v>
      </c>
      <c r="AH254">
        <v>280000</v>
      </c>
      <c r="AI254" s="16">
        <v>0</v>
      </c>
      <c r="AK254" s="16">
        <v>0</v>
      </c>
      <c r="AL254" s="11">
        <f t="shared" si="98"/>
        <v>6010000</v>
      </c>
      <c r="AM254" s="16">
        <f t="shared" si="99"/>
        <v>586752</v>
      </c>
      <c r="AN254" s="16">
        <f t="shared" si="100"/>
        <v>229200</v>
      </c>
      <c r="AO254" s="16">
        <f t="shared" si="118"/>
        <v>357552</v>
      </c>
      <c r="AP254" s="16">
        <f t="shared" si="101"/>
        <v>212010</v>
      </c>
      <c r="AQ254" s="16">
        <f t="shared" si="102"/>
        <v>6596752</v>
      </c>
      <c r="AR254" s="16">
        <f t="shared" si="123"/>
        <v>395805.12</v>
      </c>
      <c r="AS254" s="16">
        <f t="shared" si="103"/>
        <v>43538.563199999997</v>
      </c>
      <c r="AT254" s="16">
        <f t="shared" si="104"/>
        <v>-7916.1023999999998</v>
      </c>
      <c r="AU254" s="16">
        <f t="shared" si="105"/>
        <v>6984641.0175999999</v>
      </c>
      <c r="AV254" s="16">
        <f t="shared" si="106"/>
        <v>6992557.1200000001</v>
      </c>
      <c r="AW254" s="16">
        <f t="shared" si="107"/>
        <v>229200</v>
      </c>
      <c r="AX254" s="16" t="s">
        <v>243</v>
      </c>
      <c r="AZ254" s="17">
        <f t="shared" si="108"/>
        <v>0</v>
      </c>
      <c r="BA254" s="16">
        <f t="shared" si="109"/>
        <v>5780800</v>
      </c>
      <c r="BB254" s="16">
        <f t="shared" si="110"/>
        <v>5780800</v>
      </c>
      <c r="BC254">
        <v>0.03</v>
      </c>
      <c r="BD254">
        <v>0.01</v>
      </c>
      <c r="BE254" s="37">
        <f t="shared" si="111"/>
        <v>529452</v>
      </c>
      <c r="BF254" s="38">
        <f t="shared" si="112"/>
        <v>326610</v>
      </c>
      <c r="BG254" s="37">
        <f t="shared" si="119"/>
        <v>269850</v>
      </c>
      <c r="BH254" s="37">
        <f t="shared" si="113"/>
        <v>286500</v>
      </c>
      <c r="BI254">
        <v>269850</v>
      </c>
      <c r="BL254" s="8">
        <f t="shared" si="114"/>
        <v>280000</v>
      </c>
      <c r="BM254" s="7" t="str">
        <f t="shared" si="120"/>
        <v>Terdaftar BPJS Kes &amp; Naker</v>
      </c>
      <c r="BN254" s="11">
        <f t="shared" si="121"/>
        <v>326610</v>
      </c>
      <c r="BO254" s="11">
        <f t="shared" si="122"/>
        <v>260142.00000000003</v>
      </c>
      <c r="BP254" s="9">
        <f t="shared" si="115"/>
        <v>0</v>
      </c>
      <c r="BQ254" t="str">
        <f>_xlfn.XLOOKUP(X254,'[2]NON TETAP'!$H:$H,'[2]NON TETAP'!$I:$I)</f>
        <v>GRAMEDIA ASRI MEDIA</v>
      </c>
    </row>
    <row r="255" spans="1:69" x14ac:dyDescent="0.3">
      <c r="A255" s="2">
        <v>254</v>
      </c>
      <c r="B255" s="4" t="s">
        <v>2625</v>
      </c>
      <c r="C255" s="6" t="s">
        <v>241</v>
      </c>
      <c r="D255" s="6"/>
      <c r="E255" s="6" t="s">
        <v>73</v>
      </c>
      <c r="F255" s="6" t="s">
        <v>73</v>
      </c>
      <c r="G255" s="6"/>
      <c r="H255" s="6"/>
      <c r="I255" s="6"/>
      <c r="J255" s="6"/>
      <c r="K255" s="6">
        <v>800335</v>
      </c>
      <c r="L255" s="6"/>
      <c r="M255" s="6" t="s">
        <v>2630</v>
      </c>
      <c r="N255" s="46" t="s">
        <v>2629</v>
      </c>
      <c r="O255" s="6">
        <v>1134130893</v>
      </c>
      <c r="P255" s="78" t="s">
        <v>2628</v>
      </c>
      <c r="Q255" s="84" t="s">
        <v>2620</v>
      </c>
      <c r="R255" s="6">
        <v>27190</v>
      </c>
      <c r="S255" s="5" t="s">
        <v>2619</v>
      </c>
      <c r="T255" s="36" t="s">
        <v>1</v>
      </c>
      <c r="U255" s="44" t="s">
        <v>1106</v>
      </c>
      <c r="V255" s="44" t="s">
        <v>2627</v>
      </c>
      <c r="W255" s="36" t="s">
        <v>2617</v>
      </c>
      <c r="X255" s="36" t="s">
        <v>2617</v>
      </c>
      <c r="Y255" s="36" t="s">
        <v>473</v>
      </c>
      <c r="Z255" s="79" t="s">
        <v>2626</v>
      </c>
      <c r="AA255" s="36" t="s">
        <v>2625</v>
      </c>
      <c r="AB255" s="47">
        <v>5730000</v>
      </c>
      <c r="AC255" s="41">
        <v>5730000</v>
      </c>
      <c r="AD255" s="3">
        <v>5397000</v>
      </c>
      <c r="AE255" s="16">
        <f t="shared" si="97"/>
        <v>333000</v>
      </c>
      <c r="AF255" s="16">
        <v>0</v>
      </c>
      <c r="AG255" s="17">
        <v>0</v>
      </c>
      <c r="AH255">
        <v>280000</v>
      </c>
      <c r="AI255" s="16">
        <v>0</v>
      </c>
      <c r="AK255" s="16">
        <v>0</v>
      </c>
      <c r="AL255" s="11">
        <f t="shared" si="98"/>
        <v>6010000</v>
      </c>
      <c r="AM255" s="16">
        <f t="shared" si="99"/>
        <v>586752</v>
      </c>
      <c r="AN255" s="16">
        <f t="shared" si="100"/>
        <v>229200</v>
      </c>
      <c r="AO255" s="16">
        <f t="shared" si="118"/>
        <v>357552</v>
      </c>
      <c r="AP255" s="16">
        <f t="shared" si="101"/>
        <v>212010</v>
      </c>
      <c r="AQ255" s="16">
        <f t="shared" si="102"/>
        <v>6596752</v>
      </c>
      <c r="AR255" s="16">
        <f t="shared" si="123"/>
        <v>395805.12</v>
      </c>
      <c r="AS255" s="16">
        <f t="shared" si="103"/>
        <v>43538.563199999997</v>
      </c>
      <c r="AT255" s="16">
        <f t="shared" si="104"/>
        <v>-7916.1023999999998</v>
      </c>
      <c r="AU255" s="16">
        <f t="shared" si="105"/>
        <v>6984641.0175999999</v>
      </c>
      <c r="AV255" s="16">
        <f t="shared" si="106"/>
        <v>6992557.1200000001</v>
      </c>
      <c r="AW255" s="16">
        <f t="shared" si="107"/>
        <v>229200</v>
      </c>
      <c r="AX255" s="16" t="s">
        <v>91</v>
      </c>
      <c r="AZ255" s="17">
        <f t="shared" si="108"/>
        <v>2900</v>
      </c>
      <c r="BA255" s="16">
        <f t="shared" si="109"/>
        <v>5780800</v>
      </c>
      <c r="BB255" s="16">
        <f t="shared" si="110"/>
        <v>5777900</v>
      </c>
      <c r="BC255">
        <v>0.03</v>
      </c>
      <c r="BD255">
        <v>0.01</v>
      </c>
      <c r="BE255" s="37">
        <f t="shared" si="111"/>
        <v>529452</v>
      </c>
      <c r="BF255" s="38">
        <f t="shared" si="112"/>
        <v>326610</v>
      </c>
      <c r="BG255" s="37">
        <f t="shared" si="119"/>
        <v>269850</v>
      </c>
      <c r="BH255" s="37">
        <f t="shared" si="113"/>
        <v>286500</v>
      </c>
      <c r="BI255">
        <v>269850</v>
      </c>
      <c r="BL255" s="8">
        <f t="shared" si="114"/>
        <v>280000</v>
      </c>
      <c r="BM255" s="7" t="str">
        <f t="shared" si="120"/>
        <v>Terdaftar BPJS Kes &amp; Naker</v>
      </c>
      <c r="BN255" s="11">
        <f t="shared" si="121"/>
        <v>326610</v>
      </c>
      <c r="BO255" s="11">
        <f t="shared" si="122"/>
        <v>260142.00000000003</v>
      </c>
      <c r="BP255" s="9">
        <f t="shared" si="115"/>
        <v>0</v>
      </c>
      <c r="BQ255" t="str">
        <f>_xlfn.XLOOKUP(X255,'[2]NON TETAP'!$H:$H,'[2]NON TETAP'!$I:$I)</f>
        <v>GRAMEDIA ASRI MEDIA</v>
      </c>
    </row>
    <row r="256" spans="1:69" x14ac:dyDescent="0.3">
      <c r="A256" s="2">
        <v>255</v>
      </c>
      <c r="B256" s="5" t="s">
        <v>2624</v>
      </c>
      <c r="C256" s="6" t="s">
        <v>241</v>
      </c>
      <c r="D256" s="6"/>
      <c r="E256" s="6" t="s">
        <v>73</v>
      </c>
      <c r="F256" s="6" t="s">
        <v>73</v>
      </c>
      <c r="G256" s="6"/>
      <c r="H256" s="6"/>
      <c r="I256" s="6"/>
      <c r="J256" s="6"/>
      <c r="K256" s="6">
        <v>800336</v>
      </c>
      <c r="L256" s="6"/>
      <c r="M256" s="6" t="s">
        <v>2623</v>
      </c>
      <c r="N256" s="46" t="s">
        <v>2622</v>
      </c>
      <c r="O256" s="6">
        <v>1716933205</v>
      </c>
      <c r="P256" s="78" t="s">
        <v>2621</v>
      </c>
      <c r="Q256" s="84" t="s">
        <v>2620</v>
      </c>
      <c r="R256" s="6">
        <v>27190</v>
      </c>
      <c r="S256" s="5" t="s">
        <v>2619</v>
      </c>
      <c r="T256" s="36" t="s">
        <v>1</v>
      </c>
      <c r="U256" s="44" t="s">
        <v>1106</v>
      </c>
      <c r="V256" s="44" t="s">
        <v>2618</v>
      </c>
      <c r="W256" s="36" t="s">
        <v>2617</v>
      </c>
      <c r="X256" s="36" t="s">
        <v>2617</v>
      </c>
      <c r="Y256" s="36" t="s">
        <v>52</v>
      </c>
      <c r="Z256" s="79">
        <v>5260931140</v>
      </c>
      <c r="AA256" s="36" t="s">
        <v>2616</v>
      </c>
      <c r="AB256" s="47">
        <v>5730000</v>
      </c>
      <c r="AC256" s="41">
        <v>5730000</v>
      </c>
      <c r="AD256" s="3">
        <v>5397000</v>
      </c>
      <c r="AE256" s="16">
        <f t="shared" ref="AE256:AE319" si="124">AB256-AD256</f>
        <v>333000</v>
      </c>
      <c r="AF256" s="16">
        <v>0</v>
      </c>
      <c r="AG256" s="17">
        <v>0</v>
      </c>
      <c r="AH256">
        <v>280000</v>
      </c>
      <c r="AI256" s="16">
        <v>0</v>
      </c>
      <c r="AK256" s="16">
        <v>0</v>
      </c>
      <c r="AL256" s="11">
        <f t="shared" si="98"/>
        <v>6010000</v>
      </c>
      <c r="AM256" s="16">
        <f t="shared" si="99"/>
        <v>586752</v>
      </c>
      <c r="AN256" s="16">
        <f t="shared" si="100"/>
        <v>229200</v>
      </c>
      <c r="AO256" s="16">
        <f t="shared" si="118"/>
        <v>357552</v>
      </c>
      <c r="AP256" s="16">
        <f t="shared" si="101"/>
        <v>212010</v>
      </c>
      <c r="AQ256" s="16">
        <f t="shared" si="102"/>
        <v>6596752</v>
      </c>
      <c r="AR256" s="16">
        <f t="shared" si="123"/>
        <v>395805.12</v>
      </c>
      <c r="AS256" s="16">
        <f t="shared" si="103"/>
        <v>43538.563199999997</v>
      </c>
      <c r="AT256" s="16">
        <f t="shared" si="104"/>
        <v>-7916.1023999999998</v>
      </c>
      <c r="AU256" s="16">
        <f t="shared" si="105"/>
        <v>6984641.0175999999</v>
      </c>
      <c r="AV256" s="16">
        <f t="shared" si="106"/>
        <v>6992557.1200000001</v>
      </c>
      <c r="AW256" s="16">
        <f t="shared" si="107"/>
        <v>229200</v>
      </c>
      <c r="AX256" s="16" t="s">
        <v>319</v>
      </c>
      <c r="AZ256" s="17">
        <f t="shared" si="108"/>
        <v>0</v>
      </c>
      <c r="BA256" s="16">
        <f t="shared" si="109"/>
        <v>5780800</v>
      </c>
      <c r="BB256" s="16">
        <f t="shared" si="110"/>
        <v>5780800</v>
      </c>
      <c r="BC256">
        <v>0.03</v>
      </c>
      <c r="BD256">
        <v>0.01</v>
      </c>
      <c r="BE256" s="37">
        <f t="shared" si="111"/>
        <v>529452</v>
      </c>
      <c r="BF256" s="38">
        <f t="shared" si="112"/>
        <v>326610</v>
      </c>
      <c r="BG256" s="37">
        <f t="shared" si="119"/>
        <v>269850</v>
      </c>
      <c r="BH256" s="37">
        <f t="shared" si="113"/>
        <v>286500</v>
      </c>
      <c r="BI256">
        <v>269850</v>
      </c>
      <c r="BL256" s="8">
        <f t="shared" si="114"/>
        <v>280000</v>
      </c>
      <c r="BM256" s="7" t="str">
        <f t="shared" si="120"/>
        <v>Terdaftar BPJS Kes &amp; Naker</v>
      </c>
      <c r="BN256" s="11">
        <f t="shared" si="121"/>
        <v>326610</v>
      </c>
      <c r="BO256" s="11">
        <f t="shared" si="122"/>
        <v>260142.00000000003</v>
      </c>
      <c r="BP256" s="9">
        <f t="shared" si="115"/>
        <v>0</v>
      </c>
      <c r="BQ256" t="str">
        <f>_xlfn.XLOOKUP(X256,'[2]NON TETAP'!$H:$H,'[2]NON TETAP'!$I:$I)</f>
        <v>GRAMEDIA ASRI MEDIA</v>
      </c>
    </row>
    <row r="257" spans="1:69" x14ac:dyDescent="0.3">
      <c r="A257" s="2">
        <v>256</v>
      </c>
      <c r="B257" s="4" t="s">
        <v>2615</v>
      </c>
      <c r="C257" s="6" t="s">
        <v>241</v>
      </c>
      <c r="D257" s="6"/>
      <c r="E257" s="6" t="s">
        <v>73</v>
      </c>
      <c r="F257" s="6" t="s">
        <v>73</v>
      </c>
      <c r="G257" s="6"/>
      <c r="H257" s="6"/>
      <c r="I257" s="2"/>
      <c r="J257" s="2"/>
      <c r="K257" s="6">
        <v>800338</v>
      </c>
      <c r="L257" s="6"/>
      <c r="M257" s="6" t="s">
        <v>2614</v>
      </c>
      <c r="N257" s="46" t="s">
        <v>2613</v>
      </c>
      <c r="O257" s="6">
        <v>1800430457</v>
      </c>
      <c r="P257" s="78" t="s">
        <v>2612</v>
      </c>
      <c r="Q257" s="6">
        <v>11196</v>
      </c>
      <c r="R257" s="6">
        <v>27591</v>
      </c>
      <c r="S257" s="5" t="str">
        <f>VLOOKUP(T257,'[1]Kode Posisi'!$A$3:$B$45,2,)</f>
        <v>Outsourcing Petugas Gudang</v>
      </c>
      <c r="T257" s="36" t="s">
        <v>6</v>
      </c>
      <c r="U257" s="44" t="s">
        <v>1106</v>
      </c>
      <c r="V257" s="44" t="s">
        <v>2611</v>
      </c>
      <c r="W257" s="36" t="s">
        <v>2505</v>
      </c>
      <c r="X257" s="5" t="s">
        <v>302</v>
      </c>
      <c r="Y257" s="36" t="s">
        <v>52</v>
      </c>
      <c r="Z257" s="79">
        <v>6240659598</v>
      </c>
      <c r="AA257" s="36" t="s">
        <v>2610</v>
      </c>
      <c r="AB257" s="47">
        <v>5730000</v>
      </c>
      <c r="AC257" s="41">
        <v>5730000</v>
      </c>
      <c r="AD257" s="3">
        <v>5397000</v>
      </c>
      <c r="AE257" s="16">
        <f t="shared" si="124"/>
        <v>333000</v>
      </c>
      <c r="AF257" s="16">
        <v>0</v>
      </c>
      <c r="AG257" s="17">
        <v>0</v>
      </c>
      <c r="AI257" s="16">
        <v>998289.01734104042</v>
      </c>
      <c r="AK257" s="16">
        <v>0</v>
      </c>
      <c r="AL257" s="11">
        <f t="shared" si="98"/>
        <v>6728289.0173410401</v>
      </c>
      <c r="AM257" s="16">
        <f t="shared" si="99"/>
        <v>586752</v>
      </c>
      <c r="AN257" s="16">
        <f t="shared" si="100"/>
        <v>229200</v>
      </c>
      <c r="AO257" s="16">
        <f t="shared" si="118"/>
        <v>357552</v>
      </c>
      <c r="AP257" s="16">
        <f t="shared" si="101"/>
        <v>212010</v>
      </c>
      <c r="AQ257" s="16">
        <f t="shared" si="102"/>
        <v>7315041.0173410401</v>
      </c>
      <c r="AR257" s="16">
        <f t="shared" si="123"/>
        <v>438902.46104046237</v>
      </c>
      <c r="AS257" s="16">
        <f t="shared" si="103"/>
        <v>48279.27071445086</v>
      </c>
      <c r="AT257" s="16">
        <f t="shared" si="104"/>
        <v>-8778.0492208092473</v>
      </c>
      <c r="AU257" s="16">
        <f t="shared" si="105"/>
        <v>7745165.4291606937</v>
      </c>
      <c r="AV257" s="16">
        <f t="shared" si="106"/>
        <v>7753943.4783815024</v>
      </c>
      <c r="AW257" s="16">
        <f t="shared" si="107"/>
        <v>229200</v>
      </c>
      <c r="AX257" s="16" t="s">
        <v>286</v>
      </c>
      <c r="AZ257" s="17">
        <f t="shared" si="108"/>
        <v>0</v>
      </c>
      <c r="BA257" s="16">
        <f t="shared" si="109"/>
        <v>6499089.0173410401</v>
      </c>
      <c r="BB257" s="16">
        <f t="shared" si="110"/>
        <v>6499089.0173410401</v>
      </c>
      <c r="BC257">
        <v>0.03</v>
      </c>
      <c r="BD257">
        <v>0.01</v>
      </c>
      <c r="BE257" s="37">
        <f t="shared" si="111"/>
        <v>529452</v>
      </c>
      <c r="BF257" s="38">
        <f t="shared" si="112"/>
        <v>326610</v>
      </c>
      <c r="BG257" s="37">
        <f t="shared" si="119"/>
        <v>269850</v>
      </c>
      <c r="BH257" s="37">
        <f t="shared" si="113"/>
        <v>286500</v>
      </c>
      <c r="BI257">
        <v>269850</v>
      </c>
      <c r="BJ257" s="2">
        <v>269850</v>
      </c>
      <c r="BL257" s="8">
        <f t="shared" si="114"/>
        <v>998289.01734104042</v>
      </c>
      <c r="BM257" s="7" t="str">
        <f t="shared" si="120"/>
        <v>Terdaftar BPJS Kes &amp; Naker</v>
      </c>
      <c r="BN257" s="11">
        <f t="shared" si="121"/>
        <v>326610</v>
      </c>
      <c r="BO257" s="11">
        <f t="shared" si="122"/>
        <v>260142.00000000003</v>
      </c>
      <c r="BP257" s="9">
        <f t="shared" si="115"/>
        <v>0</v>
      </c>
      <c r="BQ257" t="s">
        <v>8</v>
      </c>
    </row>
    <row r="258" spans="1:69" x14ac:dyDescent="0.3">
      <c r="A258" s="2">
        <v>257</v>
      </c>
      <c r="B258" s="4" t="s">
        <v>2609</v>
      </c>
      <c r="C258" s="6" t="s">
        <v>241</v>
      </c>
      <c r="D258" s="6"/>
      <c r="E258" s="6" t="s">
        <v>73</v>
      </c>
      <c r="F258" s="6" t="s">
        <v>73</v>
      </c>
      <c r="G258" s="6"/>
      <c r="H258" s="6"/>
      <c r="I258" s="2"/>
      <c r="J258" s="2"/>
      <c r="K258" s="6">
        <v>800339</v>
      </c>
      <c r="L258" s="6"/>
      <c r="M258" s="6" t="s">
        <v>2608</v>
      </c>
      <c r="N258" s="46" t="s">
        <v>2607</v>
      </c>
      <c r="O258" s="6">
        <v>1852991043</v>
      </c>
      <c r="P258" s="78" t="s">
        <v>2606</v>
      </c>
      <c r="Q258" s="6">
        <v>11196</v>
      </c>
      <c r="R258" s="6">
        <v>27591</v>
      </c>
      <c r="S258" s="5" t="str">
        <f>VLOOKUP(T258,'[1]Kode Posisi'!$A$3:$B$45,2,)</f>
        <v>Outsourcing Petugas Gudang</v>
      </c>
      <c r="T258" s="36" t="s">
        <v>6</v>
      </c>
      <c r="U258" s="44" t="s">
        <v>1106</v>
      </c>
      <c r="V258" s="44" t="s">
        <v>2605</v>
      </c>
      <c r="W258" s="36" t="s">
        <v>2505</v>
      </c>
      <c r="X258" s="5" t="s">
        <v>302</v>
      </c>
      <c r="Y258" s="36" t="s">
        <v>52</v>
      </c>
      <c r="Z258" s="79">
        <v>2290662764</v>
      </c>
      <c r="AA258" s="36" t="s">
        <v>2604</v>
      </c>
      <c r="AB258" s="47">
        <v>5730000</v>
      </c>
      <c r="AC258" s="41">
        <v>5730000</v>
      </c>
      <c r="AD258" s="3">
        <v>5397000</v>
      </c>
      <c r="AE258" s="16">
        <f t="shared" si="124"/>
        <v>333000</v>
      </c>
      <c r="AF258" s="16">
        <v>0</v>
      </c>
      <c r="AG258" s="17">
        <v>0</v>
      </c>
      <c r="AI258" s="16">
        <v>280768.78612716764</v>
      </c>
      <c r="AK258" s="16">
        <v>0</v>
      </c>
      <c r="AL258" s="11">
        <f t="shared" ref="AL258:AL321" si="125">SUM(AB258,AF258,AG258:AJ258)-AK258</f>
        <v>6010768.7861271678</v>
      </c>
      <c r="AM258" s="16">
        <f t="shared" ref="AM258:AM321" si="126">SUM(AN258:AO258)</f>
        <v>586752</v>
      </c>
      <c r="AN258" s="16">
        <f t="shared" ref="AN258:AN321" si="127">IF(BD258=0.01,AC258*0.04,0)</f>
        <v>229200</v>
      </c>
      <c r="AO258" s="16">
        <f t="shared" si="118"/>
        <v>357552</v>
      </c>
      <c r="AP258" s="16">
        <f t="shared" ref="AP258:AP321" si="128">IF(BC258=0.03,0.037*(AB258+AF258),0)</f>
        <v>212010</v>
      </c>
      <c r="AQ258" s="16">
        <f t="shared" ref="AQ258:AQ321" si="129">SUM(AL258:AM258)</f>
        <v>6597520.7861271678</v>
      </c>
      <c r="AR258" s="16">
        <f t="shared" si="123"/>
        <v>395851.24716763006</v>
      </c>
      <c r="AS258" s="16">
        <f t="shared" ref="AS258:AS321" si="130">SUM(AR258*0.11)</f>
        <v>43543.637188439308</v>
      </c>
      <c r="AT258" s="16">
        <f t="shared" ref="AT258:AT321" si="131">SUM(AR258*-0.02)</f>
        <v>-7917.0249433526014</v>
      </c>
      <c r="AU258" s="16">
        <f t="shared" ref="AU258:AU321" si="132">(AQ258+AR258)+AT258</f>
        <v>6985455.0083514452</v>
      </c>
      <c r="AV258" s="16">
        <f t="shared" ref="AV258:AV321" si="133">SUM(AQ258+AR258)</f>
        <v>6993372.0332947979</v>
      </c>
      <c r="AW258" s="16">
        <f t="shared" ref="AW258:AW321" si="134">SUM(AC258)*SUM(BC258,BD258)</f>
        <v>229200</v>
      </c>
      <c r="AX258" s="16" t="s">
        <v>477</v>
      </c>
      <c r="AZ258" s="17">
        <f t="shared" ref="AZ258:AZ294" si="135">IF(Y258="BCA",0,2900)</f>
        <v>0</v>
      </c>
      <c r="BA258" s="16">
        <f t="shared" ref="BA258:BA321" si="136">SUM(AL258-AW258,AY258)</f>
        <v>5781568.7861271678</v>
      </c>
      <c r="BB258" s="16">
        <f t="shared" ref="BB258:BB321" si="137">SUM(AL258-AW258,AY258)-AZ258</f>
        <v>5781568.7861271678</v>
      </c>
      <c r="BC258">
        <v>0.03</v>
      </c>
      <c r="BD258">
        <v>0.01</v>
      </c>
      <c r="BE258" s="37">
        <f t="shared" ref="BE258:BE321" si="138">IF(BC258=0.03,AC258*9.24%,0)</f>
        <v>529452</v>
      </c>
      <c r="BF258" s="38">
        <f t="shared" ref="BF258:BF321" si="139">IF(BC258=0.03,0.057/0.0924*BE258,0)</f>
        <v>326610</v>
      </c>
      <c r="BG258" s="37">
        <f t="shared" si="119"/>
        <v>269850</v>
      </c>
      <c r="BH258" s="37">
        <f t="shared" ref="BH258:BH321" si="140">IF(BD258=0.01,AC258*5%,0)</f>
        <v>286500</v>
      </c>
      <c r="BI258">
        <v>269850</v>
      </c>
      <c r="BL258" s="8">
        <f t="shared" ref="BL258:BL321" si="141">SUM(AF258:AJ258)-AK258</f>
        <v>280768.78612716764</v>
      </c>
      <c r="BM258" s="7" t="str">
        <f t="shared" si="120"/>
        <v>Terdaftar BPJS Kes &amp; Naker</v>
      </c>
      <c r="BN258" s="11">
        <f t="shared" si="121"/>
        <v>326610</v>
      </c>
      <c r="BO258" s="11">
        <f t="shared" si="122"/>
        <v>260142.00000000003</v>
      </c>
      <c r="BP258" s="9">
        <f t="shared" ref="BP258:BP321" si="142">AM258-BN258-BO258</f>
        <v>0</v>
      </c>
      <c r="BQ258" t="s">
        <v>8</v>
      </c>
    </row>
    <row r="259" spans="1:69" x14ac:dyDescent="0.3">
      <c r="A259" s="2">
        <v>258</v>
      </c>
      <c r="B259" s="4" t="s">
        <v>2603</v>
      </c>
      <c r="C259" s="6" t="s">
        <v>241</v>
      </c>
      <c r="D259" s="6"/>
      <c r="E259" s="6" t="s">
        <v>73</v>
      </c>
      <c r="F259" s="6" t="s">
        <v>73</v>
      </c>
      <c r="G259" s="6"/>
      <c r="H259" s="6"/>
      <c r="I259" s="2"/>
      <c r="J259" s="2"/>
      <c r="K259" s="6">
        <v>800340</v>
      </c>
      <c r="L259" s="6"/>
      <c r="M259" s="6" t="s">
        <v>2602</v>
      </c>
      <c r="N259" s="46" t="s">
        <v>2601</v>
      </c>
      <c r="O259" s="6">
        <v>3760710377</v>
      </c>
      <c r="P259" s="78" t="s">
        <v>2600</v>
      </c>
      <c r="Q259" s="6">
        <v>11196</v>
      </c>
      <c r="R259" s="6">
        <v>27591</v>
      </c>
      <c r="S259" s="5" t="str">
        <f>VLOOKUP(T259,'[1]Kode Posisi'!$A$3:$B$45,2,)</f>
        <v>Outsourcing Petugas Gudang</v>
      </c>
      <c r="T259" s="36" t="s">
        <v>6</v>
      </c>
      <c r="U259" s="44" t="s">
        <v>1106</v>
      </c>
      <c r="V259" s="44" t="s">
        <v>2599</v>
      </c>
      <c r="W259" s="36" t="s">
        <v>2505</v>
      </c>
      <c r="X259" s="5" t="s">
        <v>302</v>
      </c>
      <c r="Y259" s="36" t="s">
        <v>63</v>
      </c>
      <c r="Z259" s="79" t="s">
        <v>2598</v>
      </c>
      <c r="AA259" s="36" t="s">
        <v>2597</v>
      </c>
      <c r="AB259" s="47">
        <v>5730000</v>
      </c>
      <c r="AC259" s="41">
        <v>5730000</v>
      </c>
      <c r="AD259" s="3">
        <v>5397000</v>
      </c>
      <c r="AE259" s="16">
        <f t="shared" si="124"/>
        <v>333000</v>
      </c>
      <c r="AF259" s="16">
        <v>0</v>
      </c>
      <c r="AG259" s="17">
        <v>0</v>
      </c>
      <c r="AI259" s="16">
        <v>280768.78612716764</v>
      </c>
      <c r="AK259" s="16">
        <v>0</v>
      </c>
      <c r="AL259" s="11">
        <f t="shared" si="125"/>
        <v>6010768.7861271678</v>
      </c>
      <c r="AM259" s="16">
        <f t="shared" si="126"/>
        <v>586752</v>
      </c>
      <c r="AN259" s="16">
        <f t="shared" si="127"/>
        <v>229200</v>
      </c>
      <c r="AO259" s="16">
        <f t="shared" si="118"/>
        <v>357552</v>
      </c>
      <c r="AP259" s="16">
        <f t="shared" si="128"/>
        <v>212010</v>
      </c>
      <c r="AQ259" s="16">
        <f t="shared" si="129"/>
        <v>6597520.7861271678</v>
      </c>
      <c r="AR259" s="16">
        <f t="shared" si="123"/>
        <v>395851.24716763006</v>
      </c>
      <c r="AS259" s="16">
        <f t="shared" si="130"/>
        <v>43543.637188439308</v>
      </c>
      <c r="AT259" s="16">
        <f t="shared" si="131"/>
        <v>-7917.0249433526014</v>
      </c>
      <c r="AU259" s="16">
        <f t="shared" si="132"/>
        <v>6985455.0083514452</v>
      </c>
      <c r="AV259" s="16">
        <f t="shared" si="133"/>
        <v>6993372.0332947979</v>
      </c>
      <c r="AW259" s="16">
        <f t="shared" si="134"/>
        <v>229200</v>
      </c>
      <c r="AX259" s="16" t="s">
        <v>91</v>
      </c>
      <c r="AZ259" s="17">
        <f t="shared" si="135"/>
        <v>2900</v>
      </c>
      <c r="BA259" s="16">
        <f t="shared" si="136"/>
        <v>5781568.7861271678</v>
      </c>
      <c r="BB259" s="16">
        <f t="shared" si="137"/>
        <v>5778668.7861271678</v>
      </c>
      <c r="BC259">
        <v>0.03</v>
      </c>
      <c r="BD259">
        <v>0.01</v>
      </c>
      <c r="BE259" s="37">
        <f t="shared" si="138"/>
        <v>529452</v>
      </c>
      <c r="BF259" s="38">
        <f t="shared" si="139"/>
        <v>326610</v>
      </c>
      <c r="BG259" s="37">
        <f t="shared" si="119"/>
        <v>269850</v>
      </c>
      <c r="BH259" s="37">
        <f t="shared" si="140"/>
        <v>286500</v>
      </c>
      <c r="BI259">
        <v>269850</v>
      </c>
      <c r="BL259" s="8">
        <f t="shared" si="141"/>
        <v>280768.78612716764</v>
      </c>
      <c r="BM259" s="7" t="str">
        <f t="shared" si="120"/>
        <v>Terdaftar BPJS Kes &amp; Naker</v>
      </c>
      <c r="BN259" s="11">
        <f t="shared" si="121"/>
        <v>326610</v>
      </c>
      <c r="BO259" s="11">
        <f t="shared" si="122"/>
        <v>260142.00000000003</v>
      </c>
      <c r="BP259" s="9">
        <f t="shared" si="142"/>
        <v>0</v>
      </c>
      <c r="BQ259" t="s">
        <v>8</v>
      </c>
    </row>
    <row r="260" spans="1:69" x14ac:dyDescent="0.3">
      <c r="A260" s="2">
        <v>259</v>
      </c>
      <c r="B260" s="4" t="s">
        <v>2593</v>
      </c>
      <c r="C260" s="6" t="s">
        <v>241</v>
      </c>
      <c r="D260" s="6"/>
      <c r="E260" s="6" t="s">
        <v>73</v>
      </c>
      <c r="F260" s="6" t="s">
        <v>73</v>
      </c>
      <c r="G260" s="6"/>
      <c r="H260" s="6"/>
      <c r="I260" s="6"/>
      <c r="J260" s="6"/>
      <c r="K260" s="6">
        <v>800341</v>
      </c>
      <c r="L260" s="6"/>
      <c r="M260" s="6"/>
      <c r="N260" s="46" t="s">
        <v>2596</v>
      </c>
      <c r="O260" s="6">
        <v>2839769313</v>
      </c>
      <c r="P260" s="36" t="s">
        <v>2595</v>
      </c>
      <c r="Q260" s="6">
        <v>11196</v>
      </c>
      <c r="R260" s="6">
        <v>27591</v>
      </c>
      <c r="S260" s="5" t="str">
        <f>VLOOKUP(T260,'[1]Kode Posisi'!$A$3:$B$45,2,)</f>
        <v>Outsourcing Petugas Gudang</v>
      </c>
      <c r="T260" s="36" t="s">
        <v>6</v>
      </c>
      <c r="U260" s="44" t="s">
        <v>1106</v>
      </c>
      <c r="V260" s="44" t="s">
        <v>2594</v>
      </c>
      <c r="W260" s="36" t="s">
        <v>2505</v>
      </c>
      <c r="X260" s="5" t="s">
        <v>302</v>
      </c>
      <c r="Y260" s="36" t="s">
        <v>52</v>
      </c>
      <c r="Z260" s="79">
        <v>5212354040</v>
      </c>
      <c r="AA260" s="36" t="s">
        <v>2593</v>
      </c>
      <c r="AB260" s="47">
        <v>5730000</v>
      </c>
      <c r="AC260" s="41">
        <v>5730000</v>
      </c>
      <c r="AD260" s="3">
        <v>5397000</v>
      </c>
      <c r="AE260" s="16">
        <f t="shared" si="124"/>
        <v>333000</v>
      </c>
      <c r="AF260" s="16">
        <v>0</v>
      </c>
      <c r="AG260" s="17">
        <v>0</v>
      </c>
      <c r="AI260" s="16">
        <v>280768.78612716764</v>
      </c>
      <c r="AK260" s="16">
        <v>0</v>
      </c>
      <c r="AL260" s="11">
        <f t="shared" si="125"/>
        <v>6010768.7861271678</v>
      </c>
      <c r="AM260" s="16">
        <f t="shared" si="126"/>
        <v>586752</v>
      </c>
      <c r="AN260" s="16">
        <f t="shared" si="127"/>
        <v>229200</v>
      </c>
      <c r="AO260" s="16">
        <f t="shared" si="118"/>
        <v>357552</v>
      </c>
      <c r="AP260" s="16">
        <f t="shared" si="128"/>
        <v>212010</v>
      </c>
      <c r="AQ260" s="16">
        <f t="shared" si="129"/>
        <v>6597520.7861271678</v>
      </c>
      <c r="AR260" s="16">
        <f t="shared" si="123"/>
        <v>395851.24716763006</v>
      </c>
      <c r="AS260" s="16">
        <f t="shared" si="130"/>
        <v>43543.637188439308</v>
      </c>
      <c r="AT260" s="16">
        <f t="shared" si="131"/>
        <v>-7917.0249433526014</v>
      </c>
      <c r="AU260" s="16">
        <f t="shared" si="132"/>
        <v>6985455.0083514452</v>
      </c>
      <c r="AV260" s="16">
        <f t="shared" si="133"/>
        <v>6993372.0332947979</v>
      </c>
      <c r="AW260" s="16">
        <f t="shared" si="134"/>
        <v>229200</v>
      </c>
      <c r="AX260" s="16" t="s">
        <v>235</v>
      </c>
      <c r="AZ260" s="17">
        <f t="shared" si="135"/>
        <v>0</v>
      </c>
      <c r="BA260" s="16">
        <f t="shared" si="136"/>
        <v>5781568.7861271678</v>
      </c>
      <c r="BB260" s="16">
        <f t="shared" si="137"/>
        <v>5781568.7861271678</v>
      </c>
      <c r="BC260">
        <v>0.03</v>
      </c>
      <c r="BD260">
        <v>0.01</v>
      </c>
      <c r="BE260" s="37">
        <f t="shared" si="138"/>
        <v>529452</v>
      </c>
      <c r="BF260" s="38">
        <f t="shared" si="139"/>
        <v>326610</v>
      </c>
      <c r="BG260" s="37">
        <f t="shared" si="119"/>
        <v>269850</v>
      </c>
      <c r="BH260" s="37">
        <f t="shared" si="140"/>
        <v>286500</v>
      </c>
      <c r="BI260">
        <v>269850</v>
      </c>
      <c r="BL260" s="8">
        <f t="shared" si="141"/>
        <v>280768.78612716764</v>
      </c>
      <c r="BM260" s="7" t="str">
        <f t="shared" si="120"/>
        <v>Terdaftar BPJS Kes &amp; Naker</v>
      </c>
      <c r="BN260" s="11">
        <f t="shared" si="121"/>
        <v>326610</v>
      </c>
      <c r="BO260" s="11">
        <f t="shared" si="122"/>
        <v>260142.00000000003</v>
      </c>
      <c r="BP260" s="9">
        <f t="shared" si="142"/>
        <v>0</v>
      </c>
      <c r="BQ260" t="s">
        <v>8</v>
      </c>
    </row>
    <row r="261" spans="1:69" x14ac:dyDescent="0.3">
      <c r="A261" s="2">
        <v>260</v>
      </c>
      <c r="B261" s="4" t="s">
        <v>2592</v>
      </c>
      <c r="C261" s="6" t="s">
        <v>241</v>
      </c>
      <c r="D261" s="6"/>
      <c r="E261" s="6" t="s">
        <v>73</v>
      </c>
      <c r="F261" s="6" t="s">
        <v>73</v>
      </c>
      <c r="G261" s="6"/>
      <c r="H261" s="6"/>
      <c r="I261" s="6"/>
      <c r="J261" s="6"/>
      <c r="K261" s="6">
        <v>800342</v>
      </c>
      <c r="L261" s="6"/>
      <c r="M261" s="6" t="s">
        <v>2591</v>
      </c>
      <c r="N261" s="46" t="s">
        <v>2590</v>
      </c>
      <c r="O261" s="6">
        <v>2014587674</v>
      </c>
      <c r="P261" s="78" t="s">
        <v>2589</v>
      </c>
      <c r="Q261" s="6">
        <v>11196</v>
      </c>
      <c r="R261" s="6">
        <v>27591</v>
      </c>
      <c r="S261" s="5" t="str">
        <f>VLOOKUP(T261,'[1]Kode Posisi'!$A$3:$B$45,2,)</f>
        <v>Outsourcing Petugas Gudang</v>
      </c>
      <c r="T261" s="36" t="s">
        <v>6</v>
      </c>
      <c r="U261" s="44" t="s">
        <v>1106</v>
      </c>
      <c r="V261" s="44" t="s">
        <v>2588</v>
      </c>
      <c r="W261" s="36" t="s">
        <v>2505</v>
      </c>
      <c r="X261" s="5" t="s">
        <v>302</v>
      </c>
      <c r="Y261" s="36" t="s">
        <v>52</v>
      </c>
      <c r="Z261" s="79">
        <v>3970076513</v>
      </c>
      <c r="AA261" s="36" t="s">
        <v>2587</v>
      </c>
      <c r="AB261" s="47">
        <v>5730000</v>
      </c>
      <c r="AC261" s="41">
        <v>5730000</v>
      </c>
      <c r="AD261" s="3">
        <v>5397000</v>
      </c>
      <c r="AE261" s="16">
        <f t="shared" si="124"/>
        <v>333000</v>
      </c>
      <c r="AF261" s="16">
        <v>0</v>
      </c>
      <c r="AG261" s="17">
        <v>0</v>
      </c>
      <c r="AI261" s="16">
        <v>124786.12716763005</v>
      </c>
      <c r="AK261" s="16">
        <v>0</v>
      </c>
      <c r="AL261" s="11">
        <f t="shared" si="125"/>
        <v>5854786.12716763</v>
      </c>
      <c r="AM261" s="16">
        <f t="shared" si="126"/>
        <v>586752</v>
      </c>
      <c r="AN261" s="16">
        <f t="shared" si="127"/>
        <v>229200</v>
      </c>
      <c r="AO261" s="16">
        <f t="shared" si="118"/>
        <v>357552</v>
      </c>
      <c r="AP261" s="16">
        <f t="shared" si="128"/>
        <v>212010</v>
      </c>
      <c r="AQ261" s="16">
        <f t="shared" si="129"/>
        <v>6441538.12716763</v>
      </c>
      <c r="AR261" s="16">
        <f t="shared" si="123"/>
        <v>386492.28763005778</v>
      </c>
      <c r="AS261" s="16">
        <f t="shared" si="130"/>
        <v>42514.151639306358</v>
      </c>
      <c r="AT261" s="16">
        <f t="shared" si="131"/>
        <v>-7729.8457526011553</v>
      </c>
      <c r="AU261" s="16">
        <f t="shared" si="132"/>
        <v>6820300.5690450864</v>
      </c>
      <c r="AV261" s="16">
        <f t="shared" si="133"/>
        <v>6828030.4147976879</v>
      </c>
      <c r="AW261" s="16">
        <f t="shared" si="134"/>
        <v>229200</v>
      </c>
      <c r="AX261" s="16" t="s">
        <v>235</v>
      </c>
      <c r="AZ261" s="17">
        <f t="shared" si="135"/>
        <v>0</v>
      </c>
      <c r="BA261" s="16">
        <f t="shared" si="136"/>
        <v>5625586.12716763</v>
      </c>
      <c r="BB261" s="16">
        <f t="shared" si="137"/>
        <v>5625586.12716763</v>
      </c>
      <c r="BC261">
        <v>0.03</v>
      </c>
      <c r="BD261">
        <v>0.01</v>
      </c>
      <c r="BE261" s="37">
        <f t="shared" si="138"/>
        <v>529452</v>
      </c>
      <c r="BF261" s="38">
        <f t="shared" si="139"/>
        <v>326610</v>
      </c>
      <c r="BG261" s="37">
        <f t="shared" si="119"/>
        <v>269850</v>
      </c>
      <c r="BH261" s="37">
        <f t="shared" si="140"/>
        <v>286500</v>
      </c>
      <c r="BI261">
        <v>269850</v>
      </c>
      <c r="BL261" s="8">
        <f t="shared" si="141"/>
        <v>124786.12716763005</v>
      </c>
      <c r="BM261" s="7" t="str">
        <f t="shared" si="120"/>
        <v>Terdaftar BPJS Kes &amp; Naker</v>
      </c>
      <c r="BN261" s="11">
        <f t="shared" si="121"/>
        <v>326610</v>
      </c>
      <c r="BO261" s="11">
        <f t="shared" si="122"/>
        <v>260142.00000000003</v>
      </c>
      <c r="BP261" s="9">
        <f t="shared" si="142"/>
        <v>0</v>
      </c>
      <c r="BQ261" t="s">
        <v>8</v>
      </c>
    </row>
    <row r="262" spans="1:69" x14ac:dyDescent="0.3">
      <c r="A262" s="2">
        <v>261</v>
      </c>
      <c r="B262" s="4" t="s">
        <v>2586</v>
      </c>
      <c r="C262" s="6" t="s">
        <v>241</v>
      </c>
      <c r="D262" s="6"/>
      <c r="E262" s="6" t="s">
        <v>73</v>
      </c>
      <c r="F262" s="6" t="s">
        <v>73</v>
      </c>
      <c r="G262" s="6"/>
      <c r="H262" s="6"/>
      <c r="I262" s="6"/>
      <c r="J262" s="6"/>
      <c r="K262" s="6">
        <v>800343</v>
      </c>
      <c r="L262" s="6"/>
      <c r="M262" s="6"/>
      <c r="N262" s="46" t="s">
        <v>2585</v>
      </c>
      <c r="O262" s="6">
        <v>449150231</v>
      </c>
      <c r="P262" s="83" t="s">
        <v>2584</v>
      </c>
      <c r="Q262" s="6">
        <v>11196</v>
      </c>
      <c r="R262" s="6">
        <v>27591</v>
      </c>
      <c r="S262" s="5" t="str">
        <f>VLOOKUP(T262,'[1]Kode Posisi'!$A$3:$B$45,2,)</f>
        <v>Outsourcing Petugas Gudang</v>
      </c>
      <c r="T262" s="36" t="s">
        <v>6</v>
      </c>
      <c r="U262" s="44" t="s">
        <v>1106</v>
      </c>
      <c r="V262" s="44" t="s">
        <v>2583</v>
      </c>
      <c r="W262" s="36" t="s">
        <v>2505</v>
      </c>
      <c r="X262" s="5" t="s">
        <v>302</v>
      </c>
      <c r="Y262" s="36" t="s">
        <v>52</v>
      </c>
      <c r="Z262" s="79">
        <v>3041165543</v>
      </c>
      <c r="AA262" s="36" t="s">
        <v>2582</v>
      </c>
      <c r="AB262" s="47">
        <v>5730000</v>
      </c>
      <c r="AC262" s="41">
        <v>5730000</v>
      </c>
      <c r="AD262" s="3">
        <v>5397000</v>
      </c>
      <c r="AE262" s="16">
        <f t="shared" si="124"/>
        <v>333000</v>
      </c>
      <c r="AF262" s="16">
        <v>0</v>
      </c>
      <c r="AG262" s="17">
        <v>0</v>
      </c>
      <c r="AI262" s="16">
        <v>467947.97687861271</v>
      </c>
      <c r="AK262" s="16">
        <v>0</v>
      </c>
      <c r="AL262" s="11">
        <f t="shared" si="125"/>
        <v>6197947.9768786123</v>
      </c>
      <c r="AM262" s="16">
        <f t="shared" si="126"/>
        <v>586752</v>
      </c>
      <c r="AN262" s="16">
        <f t="shared" si="127"/>
        <v>229200</v>
      </c>
      <c r="AO262" s="16">
        <f t="shared" si="118"/>
        <v>357552</v>
      </c>
      <c r="AP262" s="16">
        <f t="shared" si="128"/>
        <v>212010</v>
      </c>
      <c r="AQ262" s="16">
        <f t="shared" si="129"/>
        <v>6784699.9768786123</v>
      </c>
      <c r="AR262" s="16">
        <f t="shared" si="123"/>
        <v>407081.99861271674</v>
      </c>
      <c r="AS262" s="16">
        <f t="shared" si="130"/>
        <v>44779.019847398842</v>
      </c>
      <c r="AT262" s="16">
        <f t="shared" si="131"/>
        <v>-8141.6399722543347</v>
      </c>
      <c r="AU262" s="16">
        <f t="shared" si="132"/>
        <v>7183640.3355190745</v>
      </c>
      <c r="AV262" s="16">
        <f t="shared" si="133"/>
        <v>7191781.9754913291</v>
      </c>
      <c r="AW262" s="16">
        <f t="shared" si="134"/>
        <v>229200</v>
      </c>
      <c r="AX262" s="16" t="s">
        <v>319</v>
      </c>
      <c r="AZ262" s="17">
        <f t="shared" si="135"/>
        <v>0</v>
      </c>
      <c r="BA262" s="16">
        <f t="shared" si="136"/>
        <v>5968747.9768786123</v>
      </c>
      <c r="BB262" s="16">
        <f t="shared" si="137"/>
        <v>5968747.9768786123</v>
      </c>
      <c r="BC262">
        <v>0.03</v>
      </c>
      <c r="BD262">
        <v>0.01</v>
      </c>
      <c r="BE262" s="37">
        <f t="shared" si="138"/>
        <v>529452</v>
      </c>
      <c r="BF262" s="38">
        <f t="shared" si="139"/>
        <v>326610</v>
      </c>
      <c r="BG262" s="37">
        <f t="shared" si="119"/>
        <v>269850</v>
      </c>
      <c r="BH262" s="37">
        <f t="shared" si="140"/>
        <v>286500</v>
      </c>
      <c r="BI262">
        <v>269850</v>
      </c>
      <c r="BL262" s="8">
        <f t="shared" si="141"/>
        <v>467947.97687861271</v>
      </c>
      <c r="BM262" s="7" t="str">
        <f t="shared" si="120"/>
        <v>Terdaftar BPJS Kes &amp; Naker</v>
      </c>
      <c r="BN262" s="11">
        <f t="shared" si="121"/>
        <v>326610</v>
      </c>
      <c r="BO262" s="11">
        <f t="shared" si="122"/>
        <v>260142.00000000003</v>
      </c>
      <c r="BP262" s="9">
        <f t="shared" si="142"/>
        <v>0</v>
      </c>
      <c r="BQ262" t="s">
        <v>8</v>
      </c>
    </row>
    <row r="263" spans="1:69" x14ac:dyDescent="0.3">
      <c r="A263" s="2">
        <v>262</v>
      </c>
      <c r="B263" s="4" t="s">
        <v>2576</v>
      </c>
      <c r="C263" s="6" t="s">
        <v>241</v>
      </c>
      <c r="D263" s="6"/>
      <c r="E263" s="6" t="s">
        <v>73</v>
      </c>
      <c r="F263" s="6" t="s">
        <v>73</v>
      </c>
      <c r="G263" s="6"/>
      <c r="H263" s="6"/>
      <c r="I263" s="6"/>
      <c r="J263" s="6"/>
      <c r="K263" s="6">
        <v>800344</v>
      </c>
      <c r="L263" s="6"/>
      <c r="M263" s="6" t="s">
        <v>2581</v>
      </c>
      <c r="N263" s="46" t="s">
        <v>2580</v>
      </c>
      <c r="O263" s="6">
        <v>1738877319</v>
      </c>
      <c r="P263" s="78" t="s">
        <v>2579</v>
      </c>
      <c r="Q263" s="6">
        <v>11196</v>
      </c>
      <c r="R263" s="6">
        <v>27591</v>
      </c>
      <c r="S263" s="5" t="str">
        <f>VLOOKUP(T263,'[1]Kode Posisi'!$A$3:$B$45,2,)</f>
        <v>Outsourcing Petugas Gudang</v>
      </c>
      <c r="T263" s="36" t="s">
        <v>6</v>
      </c>
      <c r="U263" s="44" t="s">
        <v>1106</v>
      </c>
      <c r="V263" s="44" t="s">
        <v>2578</v>
      </c>
      <c r="W263" s="36" t="s">
        <v>2505</v>
      </c>
      <c r="X263" s="5" t="s">
        <v>302</v>
      </c>
      <c r="Y263" s="36" t="s">
        <v>63</v>
      </c>
      <c r="Z263" s="79" t="s">
        <v>2577</v>
      </c>
      <c r="AA263" s="36" t="s">
        <v>2576</v>
      </c>
      <c r="AB263" s="47">
        <v>5730000</v>
      </c>
      <c r="AC263" s="41">
        <v>5730000</v>
      </c>
      <c r="AD263" s="3">
        <v>5397000</v>
      </c>
      <c r="AE263" s="16">
        <f t="shared" si="124"/>
        <v>333000</v>
      </c>
      <c r="AF263" s="16">
        <v>0</v>
      </c>
      <c r="AG263" s="17">
        <v>0</v>
      </c>
      <c r="AI263" s="16">
        <v>467947.97687861271</v>
      </c>
      <c r="AK263" s="16">
        <v>0</v>
      </c>
      <c r="AL263" s="11">
        <f t="shared" si="125"/>
        <v>6197947.9768786123</v>
      </c>
      <c r="AM263" s="16">
        <f t="shared" si="126"/>
        <v>586752</v>
      </c>
      <c r="AN263" s="16">
        <f t="shared" si="127"/>
        <v>229200</v>
      </c>
      <c r="AO263" s="16">
        <f t="shared" si="118"/>
        <v>357552</v>
      </c>
      <c r="AP263" s="16">
        <f t="shared" si="128"/>
        <v>212010</v>
      </c>
      <c r="AQ263" s="16">
        <f t="shared" si="129"/>
        <v>6784699.9768786123</v>
      </c>
      <c r="AR263" s="16">
        <f t="shared" si="123"/>
        <v>407081.99861271674</v>
      </c>
      <c r="AS263" s="16">
        <f t="shared" si="130"/>
        <v>44779.019847398842</v>
      </c>
      <c r="AT263" s="16">
        <f t="shared" si="131"/>
        <v>-8141.6399722543347</v>
      </c>
      <c r="AU263" s="16">
        <f t="shared" si="132"/>
        <v>7183640.3355190745</v>
      </c>
      <c r="AV263" s="16">
        <f t="shared" si="133"/>
        <v>7191781.9754913291</v>
      </c>
      <c r="AW263" s="16">
        <f t="shared" si="134"/>
        <v>229200</v>
      </c>
      <c r="AX263" s="16" t="s">
        <v>319</v>
      </c>
      <c r="AZ263" s="17">
        <f t="shared" si="135"/>
        <v>2900</v>
      </c>
      <c r="BA263" s="16">
        <f t="shared" si="136"/>
        <v>5968747.9768786123</v>
      </c>
      <c r="BB263" s="16">
        <f t="shared" si="137"/>
        <v>5965847.9768786123</v>
      </c>
      <c r="BC263">
        <v>0.03</v>
      </c>
      <c r="BD263">
        <v>0.01</v>
      </c>
      <c r="BE263" s="37">
        <f t="shared" si="138"/>
        <v>529452</v>
      </c>
      <c r="BF263" s="38">
        <f t="shared" si="139"/>
        <v>326610</v>
      </c>
      <c r="BG263" s="37">
        <f t="shared" si="119"/>
        <v>269850</v>
      </c>
      <c r="BH263" s="37">
        <f t="shared" si="140"/>
        <v>286500</v>
      </c>
      <c r="BI263">
        <v>269850</v>
      </c>
      <c r="BL263" s="8">
        <f t="shared" si="141"/>
        <v>467947.97687861271</v>
      </c>
      <c r="BM263" s="7" t="str">
        <f t="shared" si="120"/>
        <v>Terdaftar BPJS Kes &amp; Naker</v>
      </c>
      <c r="BN263" s="11">
        <f t="shared" si="121"/>
        <v>326610</v>
      </c>
      <c r="BO263" s="11">
        <f t="shared" si="122"/>
        <v>260142.00000000003</v>
      </c>
      <c r="BP263" s="9">
        <f t="shared" si="142"/>
        <v>0</v>
      </c>
      <c r="BQ263" t="s">
        <v>8</v>
      </c>
    </row>
    <row r="264" spans="1:69" x14ac:dyDescent="0.3">
      <c r="A264" s="2">
        <v>263</v>
      </c>
      <c r="B264" s="4" t="s">
        <v>2575</v>
      </c>
      <c r="C264" s="6" t="s">
        <v>241</v>
      </c>
      <c r="D264" s="6"/>
      <c r="E264" s="6" t="s">
        <v>73</v>
      </c>
      <c r="F264" s="6" t="s">
        <v>73</v>
      </c>
      <c r="G264" s="6"/>
      <c r="H264" s="6"/>
      <c r="I264" s="6"/>
      <c r="J264" s="6"/>
      <c r="K264" s="6">
        <v>800345</v>
      </c>
      <c r="L264" s="6"/>
      <c r="M264" s="6" t="s">
        <v>2574</v>
      </c>
      <c r="N264" s="46" t="s">
        <v>2573</v>
      </c>
      <c r="O264" s="6">
        <v>2875912209</v>
      </c>
      <c r="P264" s="78" t="s">
        <v>2572</v>
      </c>
      <c r="Q264" s="6">
        <v>11196</v>
      </c>
      <c r="R264" s="6">
        <v>27591</v>
      </c>
      <c r="S264" s="5" t="str">
        <f>VLOOKUP(T264,'[1]Kode Posisi'!$A$3:$B$45,2,)</f>
        <v>Outsourcing Petugas Gudang</v>
      </c>
      <c r="T264" s="36" t="s">
        <v>6</v>
      </c>
      <c r="U264" s="44" t="s">
        <v>1106</v>
      </c>
      <c r="V264" s="44" t="s">
        <v>2571</v>
      </c>
      <c r="W264" s="36" t="s">
        <v>2505</v>
      </c>
      <c r="X264" s="5" t="s">
        <v>302</v>
      </c>
      <c r="Y264" s="36" t="s">
        <v>52</v>
      </c>
      <c r="Z264" s="79">
        <v>8710337200</v>
      </c>
      <c r="AA264" s="36" t="s">
        <v>2570</v>
      </c>
      <c r="AB264" s="47">
        <v>5730000</v>
      </c>
      <c r="AC264" s="41">
        <v>5730000</v>
      </c>
      <c r="AD264" s="3">
        <v>5397000</v>
      </c>
      <c r="AE264" s="16">
        <f t="shared" si="124"/>
        <v>333000</v>
      </c>
      <c r="AF264" s="16">
        <v>0</v>
      </c>
      <c r="AG264" s="17">
        <v>0</v>
      </c>
      <c r="AI264" s="16">
        <v>733118.49710982654</v>
      </c>
      <c r="AK264" s="16">
        <v>0</v>
      </c>
      <c r="AL264" s="11">
        <f t="shared" si="125"/>
        <v>6463118.4971098267</v>
      </c>
      <c r="AM264" s="16">
        <f t="shared" si="126"/>
        <v>586752</v>
      </c>
      <c r="AN264" s="16">
        <f t="shared" si="127"/>
        <v>229200</v>
      </c>
      <c r="AO264" s="16">
        <f t="shared" si="118"/>
        <v>357552</v>
      </c>
      <c r="AP264" s="16">
        <f t="shared" si="128"/>
        <v>212010</v>
      </c>
      <c r="AQ264" s="16">
        <f t="shared" si="129"/>
        <v>7049870.4971098267</v>
      </c>
      <c r="AR264" s="16">
        <f t="shared" si="123"/>
        <v>422992.22982658958</v>
      </c>
      <c r="AS264" s="16">
        <f t="shared" si="130"/>
        <v>46529.145280924851</v>
      </c>
      <c r="AT264" s="16">
        <f t="shared" si="131"/>
        <v>-8459.8445965317915</v>
      </c>
      <c r="AU264" s="16">
        <f t="shared" si="132"/>
        <v>7464402.8823398845</v>
      </c>
      <c r="AV264" s="16">
        <f t="shared" si="133"/>
        <v>7472862.7269364167</v>
      </c>
      <c r="AW264" s="16">
        <f t="shared" si="134"/>
        <v>229200</v>
      </c>
      <c r="AX264" s="16" t="s">
        <v>235</v>
      </c>
      <c r="AZ264" s="17">
        <f t="shared" si="135"/>
        <v>0</v>
      </c>
      <c r="BA264" s="16">
        <f t="shared" si="136"/>
        <v>6233918.4971098267</v>
      </c>
      <c r="BB264" s="16">
        <f t="shared" si="137"/>
        <v>6233918.4971098267</v>
      </c>
      <c r="BC264">
        <v>0.03</v>
      </c>
      <c r="BD264">
        <v>0.01</v>
      </c>
      <c r="BE264" s="37">
        <f t="shared" si="138"/>
        <v>529452</v>
      </c>
      <c r="BF264" s="38">
        <f t="shared" si="139"/>
        <v>326610</v>
      </c>
      <c r="BG264" s="37">
        <f t="shared" si="119"/>
        <v>269850</v>
      </c>
      <c r="BH264" s="37">
        <f t="shared" si="140"/>
        <v>286500</v>
      </c>
      <c r="BI264">
        <v>269850</v>
      </c>
      <c r="BL264" s="8">
        <f t="shared" si="141"/>
        <v>733118.49710982654</v>
      </c>
      <c r="BM264" s="7" t="str">
        <f t="shared" si="120"/>
        <v>Terdaftar BPJS Kes &amp; Naker</v>
      </c>
      <c r="BN264" s="11">
        <f t="shared" si="121"/>
        <v>326610</v>
      </c>
      <c r="BO264" s="11">
        <f t="shared" si="122"/>
        <v>260142.00000000003</v>
      </c>
      <c r="BP264" s="9">
        <f t="shared" si="142"/>
        <v>0</v>
      </c>
      <c r="BQ264" t="s">
        <v>8</v>
      </c>
    </row>
    <row r="265" spans="1:69" x14ac:dyDescent="0.3">
      <c r="A265" s="2">
        <v>264</v>
      </c>
      <c r="B265" s="4" t="s">
        <v>2569</v>
      </c>
      <c r="C265" s="6" t="s">
        <v>241</v>
      </c>
      <c r="D265" s="6"/>
      <c r="E265" s="6" t="s">
        <v>73</v>
      </c>
      <c r="F265" s="6" t="s">
        <v>73</v>
      </c>
      <c r="G265" s="6"/>
      <c r="H265" s="6"/>
      <c r="I265" s="6"/>
      <c r="J265" s="6"/>
      <c r="K265" s="6">
        <v>800346</v>
      </c>
      <c r="L265" s="6"/>
      <c r="M265" s="6" t="s">
        <v>2568</v>
      </c>
      <c r="N265" s="46" t="s">
        <v>2567</v>
      </c>
      <c r="O265" s="6">
        <v>1315518682</v>
      </c>
      <c r="P265" s="78" t="s">
        <v>2566</v>
      </c>
      <c r="Q265" s="6">
        <v>11196</v>
      </c>
      <c r="R265" s="6">
        <v>27591</v>
      </c>
      <c r="S265" s="5" t="str">
        <f>VLOOKUP(T265,'[1]Kode Posisi'!$A$3:$B$45,2,)</f>
        <v>Outsourcing Petugas Gudang</v>
      </c>
      <c r="T265" s="36" t="s">
        <v>6</v>
      </c>
      <c r="U265" s="44" t="s">
        <v>1106</v>
      </c>
      <c r="V265" s="44" t="s">
        <v>2565</v>
      </c>
      <c r="W265" s="36" t="s">
        <v>2505</v>
      </c>
      <c r="X265" s="5" t="s">
        <v>302</v>
      </c>
      <c r="Y265" s="36" t="s">
        <v>52</v>
      </c>
      <c r="Z265" s="79">
        <v>6871242205</v>
      </c>
      <c r="AA265" s="36" t="s">
        <v>2564</v>
      </c>
      <c r="AB265" s="47">
        <v>5730000</v>
      </c>
      <c r="AC265" s="41">
        <v>5730000</v>
      </c>
      <c r="AD265" s="3">
        <v>5397000</v>
      </c>
      <c r="AE265" s="16">
        <f t="shared" si="124"/>
        <v>333000</v>
      </c>
      <c r="AF265" s="16">
        <v>0</v>
      </c>
      <c r="AG265" s="17">
        <v>0</v>
      </c>
      <c r="AI265" s="16">
        <v>733118.49710982654</v>
      </c>
      <c r="AK265" s="16">
        <v>0</v>
      </c>
      <c r="AL265" s="11">
        <f t="shared" si="125"/>
        <v>6463118.4971098267</v>
      </c>
      <c r="AM265" s="16">
        <f t="shared" si="126"/>
        <v>586752</v>
      </c>
      <c r="AN265" s="16">
        <f t="shared" si="127"/>
        <v>229200</v>
      </c>
      <c r="AO265" s="16">
        <f t="shared" si="118"/>
        <v>357552</v>
      </c>
      <c r="AP265" s="16">
        <f t="shared" si="128"/>
        <v>212010</v>
      </c>
      <c r="AQ265" s="16">
        <f t="shared" si="129"/>
        <v>7049870.4971098267</v>
      </c>
      <c r="AR265" s="16">
        <f t="shared" si="123"/>
        <v>422992.22982658958</v>
      </c>
      <c r="AS265" s="16">
        <f t="shared" si="130"/>
        <v>46529.145280924851</v>
      </c>
      <c r="AT265" s="16">
        <f t="shared" si="131"/>
        <v>-8459.8445965317915</v>
      </c>
      <c r="AU265" s="16">
        <f t="shared" si="132"/>
        <v>7464402.8823398845</v>
      </c>
      <c r="AV265" s="16">
        <f t="shared" si="133"/>
        <v>7472862.7269364167</v>
      </c>
      <c r="AW265" s="16">
        <f t="shared" si="134"/>
        <v>229200</v>
      </c>
      <c r="AX265" s="16" t="s">
        <v>286</v>
      </c>
      <c r="AZ265" s="17">
        <f t="shared" si="135"/>
        <v>0</v>
      </c>
      <c r="BA265" s="16">
        <f t="shared" si="136"/>
        <v>6233918.4971098267</v>
      </c>
      <c r="BB265" s="16">
        <f t="shared" si="137"/>
        <v>6233918.4971098267</v>
      </c>
      <c r="BC265">
        <v>0.03</v>
      </c>
      <c r="BD265">
        <v>0.01</v>
      </c>
      <c r="BE265" s="37">
        <f t="shared" si="138"/>
        <v>529452</v>
      </c>
      <c r="BF265" s="38">
        <f t="shared" si="139"/>
        <v>326610</v>
      </c>
      <c r="BG265" s="37">
        <f t="shared" si="119"/>
        <v>269850</v>
      </c>
      <c r="BH265" s="37">
        <f t="shared" si="140"/>
        <v>286500</v>
      </c>
      <c r="BI265">
        <v>269850</v>
      </c>
      <c r="BL265" s="8">
        <f t="shared" si="141"/>
        <v>733118.49710982654</v>
      </c>
      <c r="BM265" s="7" t="str">
        <f t="shared" si="120"/>
        <v>Terdaftar BPJS Kes &amp; Naker</v>
      </c>
      <c r="BN265" s="11">
        <f t="shared" si="121"/>
        <v>326610</v>
      </c>
      <c r="BO265" s="11">
        <f t="shared" si="122"/>
        <v>260142.00000000003</v>
      </c>
      <c r="BP265" s="9">
        <f t="shared" si="142"/>
        <v>0</v>
      </c>
      <c r="BQ265" t="s">
        <v>8</v>
      </c>
    </row>
    <row r="266" spans="1:69" x14ac:dyDescent="0.3">
      <c r="A266" s="2">
        <v>265</v>
      </c>
      <c r="B266" s="4" t="s">
        <v>2559</v>
      </c>
      <c r="C266" s="6" t="s">
        <v>241</v>
      </c>
      <c r="D266" s="6"/>
      <c r="E266" s="6" t="s">
        <v>73</v>
      </c>
      <c r="F266" s="6" t="s">
        <v>73</v>
      </c>
      <c r="G266" s="6"/>
      <c r="H266" s="6"/>
      <c r="I266" s="6"/>
      <c r="J266" s="6"/>
      <c r="K266" s="6">
        <v>800347</v>
      </c>
      <c r="L266" s="6"/>
      <c r="M266" s="6" t="s">
        <v>2563</v>
      </c>
      <c r="N266" s="46" t="s">
        <v>2562</v>
      </c>
      <c r="O266" s="6">
        <v>1215666977</v>
      </c>
      <c r="P266" s="78" t="s">
        <v>2561</v>
      </c>
      <c r="Q266" s="6">
        <v>11196</v>
      </c>
      <c r="R266" s="6">
        <v>27591</v>
      </c>
      <c r="S266" s="5" t="str">
        <f>VLOOKUP(T266,'[1]Kode Posisi'!$A$3:$B$45,2,)</f>
        <v>Outsourcing Petugas Gudang</v>
      </c>
      <c r="T266" s="36" t="s">
        <v>6</v>
      </c>
      <c r="U266" s="44" t="s">
        <v>1106</v>
      </c>
      <c r="V266" s="44" t="s">
        <v>2560</v>
      </c>
      <c r="W266" s="36" t="s">
        <v>2505</v>
      </c>
      <c r="X266" s="5" t="s">
        <v>302</v>
      </c>
      <c r="Y266" s="36" t="s">
        <v>52</v>
      </c>
      <c r="Z266" s="79">
        <v>6241713536</v>
      </c>
      <c r="AA266" s="36" t="s">
        <v>2559</v>
      </c>
      <c r="AB266" s="47">
        <v>5730000</v>
      </c>
      <c r="AC266" s="41">
        <v>5730000</v>
      </c>
      <c r="AD266" s="3">
        <v>5397000</v>
      </c>
      <c r="AE266" s="16">
        <f t="shared" si="124"/>
        <v>333000</v>
      </c>
      <c r="AF266" s="16">
        <v>0</v>
      </c>
      <c r="AG266" s="17">
        <v>0</v>
      </c>
      <c r="AI266" s="16">
        <v>187179.19075144507</v>
      </c>
      <c r="AK266" s="16">
        <v>0</v>
      </c>
      <c r="AL266" s="11">
        <f t="shared" si="125"/>
        <v>5917179.1907514455</v>
      </c>
      <c r="AM266" s="16">
        <f t="shared" si="126"/>
        <v>586752</v>
      </c>
      <c r="AN266" s="16">
        <f t="shared" si="127"/>
        <v>229200</v>
      </c>
      <c r="AO266" s="16">
        <f t="shared" si="118"/>
        <v>357552</v>
      </c>
      <c r="AP266" s="16">
        <f t="shared" si="128"/>
        <v>212010</v>
      </c>
      <c r="AQ266" s="16">
        <f t="shared" si="129"/>
        <v>6503931.1907514455</v>
      </c>
      <c r="AR266" s="16">
        <f t="shared" si="123"/>
        <v>390235.87144508673</v>
      </c>
      <c r="AS266" s="16">
        <f t="shared" si="130"/>
        <v>42925.945858959538</v>
      </c>
      <c r="AT266" s="16">
        <f t="shared" si="131"/>
        <v>-7804.7174289017348</v>
      </c>
      <c r="AU266" s="16">
        <f t="shared" si="132"/>
        <v>6886362.3447676301</v>
      </c>
      <c r="AV266" s="16">
        <f t="shared" si="133"/>
        <v>6894167.0621965323</v>
      </c>
      <c r="AW266" s="16">
        <f t="shared" si="134"/>
        <v>229200</v>
      </c>
      <c r="AX266" s="16" t="s">
        <v>286</v>
      </c>
      <c r="AZ266" s="17">
        <f t="shared" si="135"/>
        <v>0</v>
      </c>
      <c r="BA266" s="16">
        <f t="shared" si="136"/>
        <v>5687979.1907514455</v>
      </c>
      <c r="BB266" s="16">
        <f t="shared" si="137"/>
        <v>5687979.1907514455</v>
      </c>
      <c r="BC266">
        <v>0.03</v>
      </c>
      <c r="BD266">
        <v>0.01</v>
      </c>
      <c r="BE266" s="37">
        <f t="shared" si="138"/>
        <v>529452</v>
      </c>
      <c r="BF266" s="38">
        <f t="shared" si="139"/>
        <v>326610</v>
      </c>
      <c r="BG266" s="37">
        <f t="shared" si="119"/>
        <v>269850</v>
      </c>
      <c r="BH266" s="37">
        <f t="shared" si="140"/>
        <v>286500</v>
      </c>
      <c r="BI266">
        <v>269850</v>
      </c>
      <c r="BJ266" s="2">
        <v>269850</v>
      </c>
      <c r="BL266" s="8">
        <f t="shared" si="141"/>
        <v>187179.19075144507</v>
      </c>
      <c r="BM266" s="7" t="str">
        <f t="shared" si="120"/>
        <v>Terdaftar BPJS Kes &amp; Naker</v>
      </c>
      <c r="BN266" s="11">
        <f t="shared" si="121"/>
        <v>326610</v>
      </c>
      <c r="BO266" s="11">
        <f t="shared" si="122"/>
        <v>260142.00000000003</v>
      </c>
      <c r="BP266" s="9">
        <f t="shared" si="142"/>
        <v>0</v>
      </c>
      <c r="BQ266" t="s">
        <v>8</v>
      </c>
    </row>
    <row r="267" spans="1:69" x14ac:dyDescent="0.3">
      <c r="A267" s="2">
        <v>266</v>
      </c>
      <c r="B267" s="4" t="s">
        <v>2554</v>
      </c>
      <c r="C267" s="6" t="s">
        <v>241</v>
      </c>
      <c r="D267" s="6"/>
      <c r="E267" s="6" t="s">
        <v>73</v>
      </c>
      <c r="F267" s="6" t="s">
        <v>73</v>
      </c>
      <c r="G267" s="6"/>
      <c r="H267" s="6"/>
      <c r="I267" s="6"/>
      <c r="J267" s="6"/>
      <c r="K267" s="6">
        <v>800348</v>
      </c>
      <c r="L267" s="6"/>
      <c r="M267" s="6" t="s">
        <v>2558</v>
      </c>
      <c r="N267" s="46" t="s">
        <v>2557</v>
      </c>
      <c r="O267" s="6">
        <v>378197493</v>
      </c>
      <c r="P267" s="78" t="s">
        <v>2556</v>
      </c>
      <c r="Q267" s="6">
        <v>11196</v>
      </c>
      <c r="R267" s="6">
        <v>27591</v>
      </c>
      <c r="S267" s="5" t="str">
        <f>VLOOKUP(T267,'[1]Kode Posisi'!$A$3:$B$45,2,)</f>
        <v>Outsourcing Petugas Gudang</v>
      </c>
      <c r="T267" s="36" t="s">
        <v>6</v>
      </c>
      <c r="U267" s="44" t="s">
        <v>1106</v>
      </c>
      <c r="V267" s="44" t="s">
        <v>2555</v>
      </c>
      <c r="W267" s="36" t="s">
        <v>2505</v>
      </c>
      <c r="X267" s="5" t="s">
        <v>302</v>
      </c>
      <c r="Y267" s="36" t="s">
        <v>52</v>
      </c>
      <c r="Z267" s="79">
        <v>2270155785</v>
      </c>
      <c r="AA267" s="36" t="s">
        <v>2554</v>
      </c>
      <c r="AB267" s="47">
        <v>5730000</v>
      </c>
      <c r="AC267" s="41">
        <v>5730000</v>
      </c>
      <c r="AD267" s="3">
        <v>5397000</v>
      </c>
      <c r="AE267" s="16">
        <f t="shared" si="124"/>
        <v>333000</v>
      </c>
      <c r="AF267" s="16">
        <v>0</v>
      </c>
      <c r="AG267" s="17">
        <v>0</v>
      </c>
      <c r="AI267" s="16">
        <v>623930.63583815028</v>
      </c>
      <c r="AK267" s="16">
        <v>0</v>
      </c>
      <c r="AL267" s="11">
        <f t="shared" si="125"/>
        <v>6353930.63583815</v>
      </c>
      <c r="AM267" s="16">
        <f t="shared" si="126"/>
        <v>586752</v>
      </c>
      <c r="AN267" s="16">
        <f t="shared" si="127"/>
        <v>229200</v>
      </c>
      <c r="AO267" s="16">
        <f t="shared" si="118"/>
        <v>357552</v>
      </c>
      <c r="AP267" s="16">
        <f t="shared" si="128"/>
        <v>212010</v>
      </c>
      <c r="AQ267" s="16">
        <f t="shared" si="129"/>
        <v>6940682.63583815</v>
      </c>
      <c r="AR267" s="16">
        <f t="shared" si="123"/>
        <v>416440.95815028896</v>
      </c>
      <c r="AS267" s="16">
        <f t="shared" si="130"/>
        <v>45808.505396531786</v>
      </c>
      <c r="AT267" s="16">
        <f t="shared" si="131"/>
        <v>-8328.819163005779</v>
      </c>
      <c r="AU267" s="16">
        <f t="shared" si="132"/>
        <v>7348794.7748254333</v>
      </c>
      <c r="AV267" s="16">
        <f t="shared" si="133"/>
        <v>7357123.5939884391</v>
      </c>
      <c r="AW267" s="16">
        <f t="shared" si="134"/>
        <v>229200</v>
      </c>
      <c r="AX267" s="16" t="s">
        <v>286</v>
      </c>
      <c r="AZ267" s="17">
        <f t="shared" si="135"/>
        <v>0</v>
      </c>
      <c r="BA267" s="16">
        <f t="shared" si="136"/>
        <v>6124730.63583815</v>
      </c>
      <c r="BB267" s="16">
        <f t="shared" si="137"/>
        <v>6124730.63583815</v>
      </c>
      <c r="BC267">
        <v>0.03</v>
      </c>
      <c r="BD267">
        <v>0.01</v>
      </c>
      <c r="BE267" s="37">
        <f t="shared" si="138"/>
        <v>529452</v>
      </c>
      <c r="BF267" s="38">
        <f t="shared" si="139"/>
        <v>326610</v>
      </c>
      <c r="BG267" s="37">
        <f t="shared" si="119"/>
        <v>269850</v>
      </c>
      <c r="BH267" s="37">
        <f t="shared" si="140"/>
        <v>286500</v>
      </c>
      <c r="BI267">
        <v>269850</v>
      </c>
      <c r="BL267" s="8">
        <f t="shared" si="141"/>
        <v>623930.63583815028</v>
      </c>
      <c r="BM267" s="7" t="str">
        <f t="shared" si="120"/>
        <v>Terdaftar BPJS Kes &amp; Naker</v>
      </c>
      <c r="BN267" s="11">
        <f t="shared" si="121"/>
        <v>326610</v>
      </c>
      <c r="BO267" s="11">
        <f t="shared" si="122"/>
        <v>260142.00000000003</v>
      </c>
      <c r="BP267" s="9">
        <f t="shared" si="142"/>
        <v>0</v>
      </c>
      <c r="BQ267" t="s">
        <v>8</v>
      </c>
    </row>
    <row r="268" spans="1:69" x14ac:dyDescent="0.3">
      <c r="A268" s="2">
        <v>267</v>
      </c>
      <c r="B268" s="4" t="s">
        <v>2553</v>
      </c>
      <c r="C268" s="6" t="s">
        <v>241</v>
      </c>
      <c r="D268" s="6"/>
      <c r="E268" s="6" t="s">
        <v>73</v>
      </c>
      <c r="F268" s="6" t="s">
        <v>73</v>
      </c>
      <c r="G268" s="6"/>
      <c r="H268" s="6"/>
      <c r="I268" s="6"/>
      <c r="J268" s="6"/>
      <c r="K268" s="6">
        <v>800349</v>
      </c>
      <c r="L268" s="6"/>
      <c r="M268" s="6" t="s">
        <v>2552</v>
      </c>
      <c r="N268" s="46" t="s">
        <v>2551</v>
      </c>
      <c r="O268" s="6">
        <v>1767479703</v>
      </c>
      <c r="P268" s="78" t="s">
        <v>2550</v>
      </c>
      <c r="Q268" s="6">
        <v>11196</v>
      </c>
      <c r="R268" s="6">
        <v>27591</v>
      </c>
      <c r="S268" s="5" t="str">
        <f>VLOOKUP(T268,'[1]Kode Posisi'!$A$3:$B$45,2,)</f>
        <v>Outsourcing Petugas Gudang</v>
      </c>
      <c r="T268" s="36" t="s">
        <v>6</v>
      </c>
      <c r="U268" s="44" t="s">
        <v>1106</v>
      </c>
      <c r="V268" s="44" t="s">
        <v>2549</v>
      </c>
      <c r="W268" s="36" t="s">
        <v>2505</v>
      </c>
      <c r="X268" s="5" t="s">
        <v>302</v>
      </c>
      <c r="Y268" s="36" t="s">
        <v>52</v>
      </c>
      <c r="Z268" s="79">
        <v>8710195383</v>
      </c>
      <c r="AA268" s="36" t="s">
        <v>2548</v>
      </c>
      <c r="AB268" s="47">
        <v>5730000</v>
      </c>
      <c r="AC268" s="41">
        <v>5730000</v>
      </c>
      <c r="AD268" s="3">
        <v>5397000</v>
      </c>
      <c r="AE268" s="16">
        <f t="shared" si="124"/>
        <v>333000</v>
      </c>
      <c r="AF268" s="16">
        <v>0</v>
      </c>
      <c r="AG268" s="17">
        <v>0</v>
      </c>
      <c r="AI268" s="16">
        <v>733118.49710982654</v>
      </c>
      <c r="AK268" s="16">
        <v>0</v>
      </c>
      <c r="AL268" s="11">
        <f t="shared" si="125"/>
        <v>6463118.4971098267</v>
      </c>
      <c r="AM268" s="16">
        <f t="shared" si="126"/>
        <v>586752</v>
      </c>
      <c r="AN268" s="16">
        <f t="shared" si="127"/>
        <v>229200</v>
      </c>
      <c r="AO268" s="16">
        <f t="shared" si="118"/>
        <v>357552</v>
      </c>
      <c r="AP268" s="16">
        <f t="shared" si="128"/>
        <v>212010</v>
      </c>
      <c r="AQ268" s="16">
        <f t="shared" si="129"/>
        <v>7049870.4971098267</v>
      </c>
      <c r="AR268" s="16">
        <f t="shared" si="123"/>
        <v>422992.22982658958</v>
      </c>
      <c r="AS268" s="16">
        <f t="shared" si="130"/>
        <v>46529.145280924851</v>
      </c>
      <c r="AT268" s="16">
        <f t="shared" si="131"/>
        <v>-8459.8445965317915</v>
      </c>
      <c r="AU268" s="16">
        <f t="shared" si="132"/>
        <v>7464402.8823398845</v>
      </c>
      <c r="AV268" s="16">
        <f t="shared" si="133"/>
        <v>7472862.7269364167</v>
      </c>
      <c r="AW268" s="16">
        <f t="shared" si="134"/>
        <v>229200</v>
      </c>
      <c r="AX268" s="16" t="s">
        <v>91</v>
      </c>
      <c r="AZ268" s="17">
        <f t="shared" si="135"/>
        <v>0</v>
      </c>
      <c r="BA268" s="16">
        <f t="shared" si="136"/>
        <v>6233918.4971098267</v>
      </c>
      <c r="BB268" s="16">
        <f t="shared" si="137"/>
        <v>6233918.4971098267</v>
      </c>
      <c r="BC268">
        <v>0.03</v>
      </c>
      <c r="BD268">
        <v>0.01</v>
      </c>
      <c r="BE268" s="37">
        <f t="shared" si="138"/>
        <v>529452</v>
      </c>
      <c r="BF268" s="38">
        <f t="shared" si="139"/>
        <v>326610</v>
      </c>
      <c r="BG268" s="37">
        <f t="shared" si="119"/>
        <v>269850</v>
      </c>
      <c r="BH268" s="37">
        <f t="shared" si="140"/>
        <v>286500</v>
      </c>
      <c r="BI268">
        <v>269850</v>
      </c>
      <c r="BL268" s="8">
        <f t="shared" si="141"/>
        <v>733118.49710982654</v>
      </c>
      <c r="BM268" s="7" t="str">
        <f t="shared" si="120"/>
        <v>Terdaftar BPJS Kes &amp; Naker</v>
      </c>
      <c r="BN268" s="11">
        <f t="shared" si="121"/>
        <v>326610</v>
      </c>
      <c r="BO268" s="11">
        <f t="shared" si="122"/>
        <v>260142.00000000003</v>
      </c>
      <c r="BP268" s="9">
        <f t="shared" si="142"/>
        <v>0</v>
      </c>
      <c r="BQ268" t="s">
        <v>8</v>
      </c>
    </row>
    <row r="269" spans="1:69" x14ac:dyDescent="0.3">
      <c r="A269" s="2">
        <v>268</v>
      </c>
      <c r="B269" s="4" t="s">
        <v>2544</v>
      </c>
      <c r="C269" s="6" t="s">
        <v>241</v>
      </c>
      <c r="D269" s="6"/>
      <c r="E269" s="6" t="s">
        <v>73</v>
      </c>
      <c r="F269" s="6" t="s">
        <v>73</v>
      </c>
      <c r="G269" s="6"/>
      <c r="H269" s="6"/>
      <c r="I269" s="6"/>
      <c r="J269" s="6"/>
      <c r="K269" s="6">
        <v>800350</v>
      </c>
      <c r="L269" s="6"/>
      <c r="M269" s="6"/>
      <c r="N269" s="46" t="s">
        <v>2547</v>
      </c>
      <c r="O269" s="6">
        <v>2082459161</v>
      </c>
      <c r="P269" s="36" t="s">
        <v>2546</v>
      </c>
      <c r="Q269" s="6">
        <v>11196</v>
      </c>
      <c r="R269" s="6">
        <v>27591</v>
      </c>
      <c r="S269" s="5" t="str">
        <f>VLOOKUP(T269,'[1]Kode Posisi'!$A$3:$B$45,2,)</f>
        <v>Outsourcing Petugas Gudang</v>
      </c>
      <c r="T269" s="36" t="s">
        <v>6</v>
      </c>
      <c r="U269" s="44" t="s">
        <v>1106</v>
      </c>
      <c r="V269" s="44" t="s">
        <v>2545</v>
      </c>
      <c r="W269" s="36" t="s">
        <v>2505</v>
      </c>
      <c r="X269" s="5" t="s">
        <v>302</v>
      </c>
      <c r="Y269" s="36" t="s">
        <v>52</v>
      </c>
      <c r="Z269" s="79">
        <v>2303201416</v>
      </c>
      <c r="AA269" s="36" t="s">
        <v>2544</v>
      </c>
      <c r="AB269" s="47">
        <v>5730000</v>
      </c>
      <c r="AC269" s="41">
        <v>5730000</v>
      </c>
      <c r="AD269" s="3">
        <v>5397000</v>
      </c>
      <c r="AE269" s="16">
        <f t="shared" si="124"/>
        <v>333000</v>
      </c>
      <c r="AF269" s="16">
        <v>0</v>
      </c>
      <c r="AG269" s="17">
        <v>0</v>
      </c>
      <c r="AI269" s="16">
        <v>733118.49710982654</v>
      </c>
      <c r="AK269" s="16">
        <v>0</v>
      </c>
      <c r="AL269" s="11">
        <f t="shared" si="125"/>
        <v>6463118.4971098267</v>
      </c>
      <c r="AM269" s="16">
        <f t="shared" si="126"/>
        <v>586752</v>
      </c>
      <c r="AN269" s="16">
        <f t="shared" si="127"/>
        <v>229200</v>
      </c>
      <c r="AO269" s="16">
        <f t="shared" si="118"/>
        <v>357552</v>
      </c>
      <c r="AP269" s="16">
        <f t="shared" si="128"/>
        <v>212010</v>
      </c>
      <c r="AQ269" s="16">
        <f t="shared" si="129"/>
        <v>7049870.4971098267</v>
      </c>
      <c r="AR269" s="16">
        <f t="shared" si="123"/>
        <v>422992.22982658958</v>
      </c>
      <c r="AS269" s="16">
        <f t="shared" si="130"/>
        <v>46529.145280924851</v>
      </c>
      <c r="AT269" s="16">
        <f t="shared" si="131"/>
        <v>-8459.8445965317915</v>
      </c>
      <c r="AU269" s="16">
        <f t="shared" si="132"/>
        <v>7464402.8823398845</v>
      </c>
      <c r="AV269" s="16">
        <f t="shared" si="133"/>
        <v>7472862.7269364167</v>
      </c>
      <c r="AW269" s="16">
        <f t="shared" si="134"/>
        <v>229200</v>
      </c>
      <c r="AX269" s="16" t="s">
        <v>235</v>
      </c>
      <c r="AZ269" s="17">
        <f t="shared" si="135"/>
        <v>0</v>
      </c>
      <c r="BA269" s="16">
        <f t="shared" si="136"/>
        <v>6233918.4971098267</v>
      </c>
      <c r="BB269" s="16">
        <f t="shared" si="137"/>
        <v>6233918.4971098267</v>
      </c>
      <c r="BC269">
        <v>0.03</v>
      </c>
      <c r="BD269">
        <v>0.01</v>
      </c>
      <c r="BE269" s="37">
        <f t="shared" si="138"/>
        <v>529452</v>
      </c>
      <c r="BF269" s="38">
        <f t="shared" si="139"/>
        <v>326610</v>
      </c>
      <c r="BG269" s="37">
        <f t="shared" si="119"/>
        <v>269850</v>
      </c>
      <c r="BH269" s="37">
        <f t="shared" si="140"/>
        <v>286500</v>
      </c>
      <c r="BI269">
        <v>269850</v>
      </c>
      <c r="BL269" s="8">
        <f t="shared" si="141"/>
        <v>733118.49710982654</v>
      </c>
      <c r="BM269" s="7" t="str">
        <f t="shared" si="120"/>
        <v>Terdaftar BPJS Kes &amp; Naker</v>
      </c>
      <c r="BN269" s="11">
        <f t="shared" si="121"/>
        <v>326610</v>
      </c>
      <c r="BO269" s="11">
        <f t="shared" si="122"/>
        <v>260142.00000000003</v>
      </c>
      <c r="BP269" s="9">
        <f t="shared" si="142"/>
        <v>0</v>
      </c>
      <c r="BQ269" t="s">
        <v>8</v>
      </c>
    </row>
    <row r="270" spans="1:69" x14ac:dyDescent="0.3">
      <c r="A270" s="2">
        <v>269</v>
      </c>
      <c r="B270" s="4" t="s">
        <v>2539</v>
      </c>
      <c r="C270" s="6" t="s">
        <v>241</v>
      </c>
      <c r="D270" s="6"/>
      <c r="E270" s="6" t="s">
        <v>73</v>
      </c>
      <c r="F270" s="6" t="s">
        <v>73</v>
      </c>
      <c r="G270" s="6"/>
      <c r="H270" s="6"/>
      <c r="I270" s="6"/>
      <c r="J270" s="6"/>
      <c r="K270" s="6">
        <v>800351</v>
      </c>
      <c r="L270" s="6"/>
      <c r="M270" s="6" t="s">
        <v>2543</v>
      </c>
      <c r="N270" s="46" t="s">
        <v>2542</v>
      </c>
      <c r="O270" s="6">
        <v>2285339725</v>
      </c>
      <c r="P270" s="78" t="s">
        <v>2541</v>
      </c>
      <c r="Q270" s="6">
        <v>11196</v>
      </c>
      <c r="R270" s="6">
        <v>27591</v>
      </c>
      <c r="S270" s="5" t="str">
        <f>VLOOKUP(T270,'[1]Kode Posisi'!$A$3:$B$45,2,)</f>
        <v>Outsourcing Petugas Gudang</v>
      </c>
      <c r="T270" s="36" t="s">
        <v>6</v>
      </c>
      <c r="U270" s="44" t="s">
        <v>1106</v>
      </c>
      <c r="V270" s="44" t="s">
        <v>2540</v>
      </c>
      <c r="W270" s="36" t="s">
        <v>2505</v>
      </c>
      <c r="X270" s="5" t="s">
        <v>302</v>
      </c>
      <c r="Y270" s="36" t="s">
        <v>52</v>
      </c>
      <c r="Z270" s="79">
        <v>6900291823</v>
      </c>
      <c r="AA270" s="36" t="s">
        <v>2539</v>
      </c>
      <c r="AB270" s="47">
        <v>5730000</v>
      </c>
      <c r="AC270" s="41">
        <v>5730000</v>
      </c>
      <c r="AD270" s="3">
        <v>5397000</v>
      </c>
      <c r="AE270" s="16">
        <f t="shared" si="124"/>
        <v>333000</v>
      </c>
      <c r="AF270" s="16">
        <v>0</v>
      </c>
      <c r="AG270" s="17">
        <v>0</v>
      </c>
      <c r="AI270" s="16">
        <v>249572.25433526011</v>
      </c>
      <c r="AK270" s="16">
        <v>0</v>
      </c>
      <c r="AL270" s="11">
        <f t="shared" si="125"/>
        <v>5979572.25433526</v>
      </c>
      <c r="AM270" s="16">
        <f t="shared" si="126"/>
        <v>586752</v>
      </c>
      <c r="AN270" s="16">
        <f t="shared" si="127"/>
        <v>229200</v>
      </c>
      <c r="AO270" s="16">
        <f t="shared" si="118"/>
        <v>357552</v>
      </c>
      <c r="AP270" s="16">
        <f t="shared" si="128"/>
        <v>212010</v>
      </c>
      <c r="AQ270" s="16">
        <f t="shared" si="129"/>
        <v>6566324.25433526</v>
      </c>
      <c r="AR270" s="16">
        <f t="shared" si="123"/>
        <v>393979.45526011556</v>
      </c>
      <c r="AS270" s="16">
        <f t="shared" si="130"/>
        <v>43337.740078612711</v>
      </c>
      <c r="AT270" s="16">
        <f t="shared" si="131"/>
        <v>-7879.5891052023117</v>
      </c>
      <c r="AU270" s="16">
        <f t="shared" si="132"/>
        <v>6952424.1204901738</v>
      </c>
      <c r="AV270" s="16">
        <f t="shared" si="133"/>
        <v>6960303.7095953757</v>
      </c>
      <c r="AW270" s="16">
        <f t="shared" si="134"/>
        <v>229200</v>
      </c>
      <c r="AX270" s="16" t="s">
        <v>286</v>
      </c>
      <c r="AZ270" s="17">
        <f t="shared" si="135"/>
        <v>0</v>
      </c>
      <c r="BA270" s="16">
        <f t="shared" si="136"/>
        <v>5750372.25433526</v>
      </c>
      <c r="BB270" s="16">
        <f t="shared" si="137"/>
        <v>5750372.25433526</v>
      </c>
      <c r="BC270">
        <v>0.03</v>
      </c>
      <c r="BD270">
        <v>0.01</v>
      </c>
      <c r="BE270" s="37">
        <f t="shared" si="138"/>
        <v>529452</v>
      </c>
      <c r="BF270" s="38">
        <f t="shared" si="139"/>
        <v>326610</v>
      </c>
      <c r="BG270" s="37">
        <f t="shared" si="119"/>
        <v>269850</v>
      </c>
      <c r="BH270" s="37">
        <f t="shared" si="140"/>
        <v>286500</v>
      </c>
      <c r="BI270">
        <v>269850</v>
      </c>
      <c r="BL270" s="8">
        <f t="shared" si="141"/>
        <v>249572.25433526011</v>
      </c>
      <c r="BM270" s="7" t="str">
        <f t="shared" ref="BM270:BM305" si="143">IF(AND(BC270=0.03,BD270=0.01),"Terdaftar BPJS Kes &amp; Naker","Tidak Terdaftar")</f>
        <v>Terdaftar BPJS Kes &amp; Naker</v>
      </c>
      <c r="BN270" s="11">
        <f t="shared" ref="BN270:BN305" si="144">AC270*5.7%</f>
        <v>326610</v>
      </c>
      <c r="BO270" s="11">
        <f t="shared" ref="BO270:BO305" si="145">AC270*4.54%</f>
        <v>260142.00000000003</v>
      </c>
      <c r="BP270" s="9">
        <f t="shared" si="142"/>
        <v>0</v>
      </c>
      <c r="BQ270" t="s">
        <v>8</v>
      </c>
    </row>
    <row r="271" spans="1:69" x14ac:dyDescent="0.3">
      <c r="A271" s="2">
        <v>270</v>
      </c>
      <c r="B271" s="4" t="s">
        <v>2533</v>
      </c>
      <c r="C271" s="6" t="s">
        <v>241</v>
      </c>
      <c r="D271" s="6"/>
      <c r="E271" s="6" t="s">
        <v>73</v>
      </c>
      <c r="F271" s="6" t="s">
        <v>73</v>
      </c>
      <c r="G271" s="6"/>
      <c r="H271" s="6"/>
      <c r="I271" s="6"/>
      <c r="J271" s="6"/>
      <c r="K271" s="6">
        <v>800352</v>
      </c>
      <c r="L271" s="6"/>
      <c r="M271" s="6" t="s">
        <v>2538</v>
      </c>
      <c r="N271" s="46" t="s">
        <v>2537</v>
      </c>
      <c r="O271" s="6">
        <v>1054373769</v>
      </c>
      <c r="P271" s="78" t="s">
        <v>2536</v>
      </c>
      <c r="Q271" s="6">
        <v>11196</v>
      </c>
      <c r="R271" s="6">
        <v>27591</v>
      </c>
      <c r="S271" s="5" t="str">
        <f>VLOOKUP(T271,'[1]Kode Posisi'!$A$3:$B$45,2,)</f>
        <v>Outsourcing Petugas Gudang</v>
      </c>
      <c r="T271" s="36" t="s">
        <v>6</v>
      </c>
      <c r="U271" s="44" t="s">
        <v>1106</v>
      </c>
      <c r="V271" s="44" t="s">
        <v>2535</v>
      </c>
      <c r="W271" s="36" t="s">
        <v>2505</v>
      </c>
      <c r="X271" s="5" t="s">
        <v>302</v>
      </c>
      <c r="Y271" s="36" t="s">
        <v>63</v>
      </c>
      <c r="Z271" s="79" t="s">
        <v>2534</v>
      </c>
      <c r="AA271" s="36" t="s">
        <v>2533</v>
      </c>
      <c r="AB271" s="47">
        <v>5730000</v>
      </c>
      <c r="AC271" s="41">
        <v>5730000</v>
      </c>
      <c r="AD271" s="3">
        <v>5397000</v>
      </c>
      <c r="AE271" s="16">
        <f t="shared" si="124"/>
        <v>333000</v>
      </c>
      <c r="AF271" s="16">
        <v>0</v>
      </c>
      <c r="AG271" s="17">
        <v>0</v>
      </c>
      <c r="AI271" s="16">
        <v>733118.49710982654</v>
      </c>
      <c r="AK271" s="16">
        <v>0</v>
      </c>
      <c r="AL271" s="11">
        <f t="shared" si="125"/>
        <v>6463118.4971098267</v>
      </c>
      <c r="AM271" s="16">
        <f t="shared" si="126"/>
        <v>586752</v>
      </c>
      <c r="AN271" s="16">
        <f t="shared" si="127"/>
        <v>229200</v>
      </c>
      <c r="AO271" s="16">
        <f t="shared" si="118"/>
        <v>357552</v>
      </c>
      <c r="AP271" s="16">
        <f t="shared" si="128"/>
        <v>212010</v>
      </c>
      <c r="AQ271" s="16">
        <f t="shared" si="129"/>
        <v>7049870.4971098267</v>
      </c>
      <c r="AR271" s="16">
        <f t="shared" si="123"/>
        <v>422992.22982658958</v>
      </c>
      <c r="AS271" s="16">
        <f t="shared" si="130"/>
        <v>46529.145280924851</v>
      </c>
      <c r="AT271" s="16">
        <f t="shared" si="131"/>
        <v>-8459.8445965317915</v>
      </c>
      <c r="AU271" s="16">
        <f t="shared" si="132"/>
        <v>7464402.8823398845</v>
      </c>
      <c r="AV271" s="16">
        <f t="shared" si="133"/>
        <v>7472862.7269364167</v>
      </c>
      <c r="AW271" s="16">
        <f t="shared" si="134"/>
        <v>229200</v>
      </c>
      <c r="AX271" s="16" t="s">
        <v>235</v>
      </c>
      <c r="AZ271" s="17">
        <f t="shared" si="135"/>
        <v>2900</v>
      </c>
      <c r="BA271" s="16">
        <f t="shared" si="136"/>
        <v>6233918.4971098267</v>
      </c>
      <c r="BB271" s="16">
        <f t="shared" si="137"/>
        <v>6231018.4971098267</v>
      </c>
      <c r="BC271">
        <v>0.03</v>
      </c>
      <c r="BD271">
        <v>0.01</v>
      </c>
      <c r="BE271" s="37">
        <f t="shared" si="138"/>
        <v>529452</v>
      </c>
      <c r="BF271" s="38">
        <f t="shared" si="139"/>
        <v>326610</v>
      </c>
      <c r="BG271" s="37">
        <f t="shared" si="119"/>
        <v>269850</v>
      </c>
      <c r="BH271" s="37">
        <f t="shared" si="140"/>
        <v>286500</v>
      </c>
      <c r="BI271">
        <v>269850</v>
      </c>
      <c r="BL271" s="8">
        <f t="shared" si="141"/>
        <v>733118.49710982654</v>
      </c>
      <c r="BM271" s="7" t="str">
        <f t="shared" si="143"/>
        <v>Terdaftar BPJS Kes &amp; Naker</v>
      </c>
      <c r="BN271" s="11">
        <f t="shared" si="144"/>
        <v>326610</v>
      </c>
      <c r="BO271" s="11">
        <f t="shared" si="145"/>
        <v>260142.00000000003</v>
      </c>
      <c r="BP271" s="9">
        <f t="shared" si="142"/>
        <v>0</v>
      </c>
      <c r="BQ271" t="s">
        <v>8</v>
      </c>
    </row>
    <row r="272" spans="1:69" x14ac:dyDescent="0.3">
      <c r="A272" s="2">
        <v>271</v>
      </c>
      <c r="B272" s="4" t="s">
        <v>2532</v>
      </c>
      <c r="C272" s="6" t="s">
        <v>241</v>
      </c>
      <c r="D272" s="6"/>
      <c r="E272" s="6" t="s">
        <v>73</v>
      </c>
      <c r="F272" s="6" t="s">
        <v>73</v>
      </c>
      <c r="G272" s="6"/>
      <c r="H272" s="6"/>
      <c r="I272" s="6"/>
      <c r="J272" s="6"/>
      <c r="K272" s="6">
        <v>800353</v>
      </c>
      <c r="L272" s="6"/>
      <c r="M272" s="6"/>
      <c r="N272" s="46" t="s">
        <v>2531</v>
      </c>
      <c r="O272" s="6">
        <v>493257429</v>
      </c>
      <c r="P272" s="36" t="s">
        <v>2530</v>
      </c>
      <c r="Q272" s="6">
        <v>11196</v>
      </c>
      <c r="R272" s="6">
        <v>27591</v>
      </c>
      <c r="S272" s="5" t="str">
        <f>VLOOKUP(T272,'[1]Kode Posisi'!$A$3:$B$45,2,)</f>
        <v>Outsourcing Petugas Gudang</v>
      </c>
      <c r="T272" s="36" t="s">
        <v>6</v>
      </c>
      <c r="U272" s="44" t="s">
        <v>1106</v>
      </c>
      <c r="V272" s="44" t="s">
        <v>2529</v>
      </c>
      <c r="W272" s="36" t="s">
        <v>2505</v>
      </c>
      <c r="X272" s="5" t="s">
        <v>302</v>
      </c>
      <c r="Y272" s="36" t="s">
        <v>52</v>
      </c>
      <c r="Z272" s="79">
        <v>6900908839</v>
      </c>
      <c r="AA272" s="36" t="s">
        <v>2528</v>
      </c>
      <c r="AB272" s="47">
        <v>5730000</v>
      </c>
      <c r="AC272" s="41">
        <v>5730000</v>
      </c>
      <c r="AD272" s="3">
        <v>5397000</v>
      </c>
      <c r="AE272" s="16">
        <f t="shared" si="124"/>
        <v>333000</v>
      </c>
      <c r="AF272" s="16">
        <v>0</v>
      </c>
      <c r="AG272" s="17">
        <v>0</v>
      </c>
      <c r="AI272" s="16">
        <v>499144.50867052021</v>
      </c>
      <c r="AK272" s="16">
        <v>0</v>
      </c>
      <c r="AL272" s="11">
        <f t="shared" si="125"/>
        <v>6229144.50867052</v>
      </c>
      <c r="AM272" s="16">
        <f t="shared" si="126"/>
        <v>586752</v>
      </c>
      <c r="AN272" s="16">
        <f t="shared" si="127"/>
        <v>229200</v>
      </c>
      <c r="AO272" s="16">
        <f t="shared" si="118"/>
        <v>357552</v>
      </c>
      <c r="AP272" s="16">
        <f t="shared" si="128"/>
        <v>212010</v>
      </c>
      <c r="AQ272" s="16">
        <f t="shared" si="129"/>
        <v>6815896.50867052</v>
      </c>
      <c r="AR272" s="16">
        <f t="shared" si="123"/>
        <v>408953.79052023118</v>
      </c>
      <c r="AS272" s="16">
        <f t="shared" si="130"/>
        <v>44984.916957225432</v>
      </c>
      <c r="AT272" s="16">
        <f t="shared" si="131"/>
        <v>-8179.0758104046236</v>
      </c>
      <c r="AU272" s="16">
        <f t="shared" si="132"/>
        <v>7216671.2233803468</v>
      </c>
      <c r="AV272" s="16">
        <f t="shared" si="133"/>
        <v>7224850.2991907513</v>
      </c>
      <c r="AW272" s="16">
        <f t="shared" si="134"/>
        <v>229200</v>
      </c>
      <c r="AX272" s="16" t="s">
        <v>235</v>
      </c>
      <c r="AZ272" s="17">
        <f t="shared" si="135"/>
        <v>0</v>
      </c>
      <c r="BA272" s="16">
        <f t="shared" si="136"/>
        <v>5999944.50867052</v>
      </c>
      <c r="BB272" s="16">
        <f t="shared" si="137"/>
        <v>5999944.50867052</v>
      </c>
      <c r="BC272">
        <v>0.03</v>
      </c>
      <c r="BD272">
        <v>0.01</v>
      </c>
      <c r="BE272" s="37">
        <f t="shared" si="138"/>
        <v>529452</v>
      </c>
      <c r="BF272" s="38">
        <f t="shared" si="139"/>
        <v>326610</v>
      </c>
      <c r="BG272" s="37">
        <f t="shared" si="119"/>
        <v>269850</v>
      </c>
      <c r="BH272" s="37">
        <f t="shared" si="140"/>
        <v>286500</v>
      </c>
      <c r="BI272">
        <v>269850</v>
      </c>
      <c r="BL272" s="8">
        <f t="shared" si="141"/>
        <v>499144.50867052021</v>
      </c>
      <c r="BM272" s="7" t="str">
        <f t="shared" si="143"/>
        <v>Terdaftar BPJS Kes &amp; Naker</v>
      </c>
      <c r="BN272" s="11">
        <f t="shared" si="144"/>
        <v>326610</v>
      </c>
      <c r="BO272" s="11">
        <f t="shared" si="145"/>
        <v>260142.00000000003</v>
      </c>
      <c r="BP272" s="9">
        <f t="shared" si="142"/>
        <v>0</v>
      </c>
      <c r="BQ272" t="s">
        <v>8</v>
      </c>
    </row>
    <row r="273" spans="1:69" x14ac:dyDescent="0.3">
      <c r="A273" s="2">
        <v>272</v>
      </c>
      <c r="B273" s="4" t="s">
        <v>2527</v>
      </c>
      <c r="C273" s="6" t="s">
        <v>241</v>
      </c>
      <c r="D273" s="6"/>
      <c r="E273" s="6" t="s">
        <v>73</v>
      </c>
      <c r="F273" s="6" t="s">
        <v>73</v>
      </c>
      <c r="G273" s="6"/>
      <c r="H273" s="6"/>
      <c r="I273" s="6"/>
      <c r="J273" s="6"/>
      <c r="K273" s="6">
        <v>800354</v>
      </c>
      <c r="L273" s="6"/>
      <c r="M273" s="6"/>
      <c r="N273" s="46" t="s">
        <v>2526</v>
      </c>
      <c r="O273" s="6">
        <v>1432114255</v>
      </c>
      <c r="P273" s="36" t="s">
        <v>2525</v>
      </c>
      <c r="Q273" s="6">
        <v>11196</v>
      </c>
      <c r="R273" s="6">
        <v>27591</v>
      </c>
      <c r="S273" s="5" t="str">
        <f>VLOOKUP(T273,'[1]Kode Posisi'!$A$3:$B$45,2,)</f>
        <v>Outsourcing Petugas Gudang</v>
      </c>
      <c r="T273" s="36" t="s">
        <v>6</v>
      </c>
      <c r="U273" s="44" t="s">
        <v>1106</v>
      </c>
      <c r="V273" s="44" t="s">
        <v>2524</v>
      </c>
      <c r="W273" s="36" t="s">
        <v>2505</v>
      </c>
      <c r="X273" s="5" t="s">
        <v>302</v>
      </c>
      <c r="Y273" s="36" t="s">
        <v>63</v>
      </c>
      <c r="Z273" s="79" t="s">
        <v>2523</v>
      </c>
      <c r="AA273" s="36" t="s">
        <v>2522</v>
      </c>
      <c r="AB273" s="47">
        <v>5730000</v>
      </c>
      <c r="AC273" s="41">
        <v>5730000</v>
      </c>
      <c r="AD273" s="3">
        <v>5397000</v>
      </c>
      <c r="AE273" s="16">
        <f t="shared" si="124"/>
        <v>333000</v>
      </c>
      <c r="AF273" s="16">
        <v>0</v>
      </c>
      <c r="AG273" s="17">
        <v>0</v>
      </c>
      <c r="AI273" s="16">
        <v>218375.7225433526</v>
      </c>
      <c r="AK273" s="16">
        <v>863520</v>
      </c>
      <c r="AL273" s="11">
        <f t="shared" si="125"/>
        <v>5084855.7225433523</v>
      </c>
      <c r="AM273" s="16">
        <f t="shared" si="126"/>
        <v>586752</v>
      </c>
      <c r="AN273" s="16">
        <f t="shared" si="127"/>
        <v>229200</v>
      </c>
      <c r="AO273" s="16">
        <f t="shared" si="118"/>
        <v>357552</v>
      </c>
      <c r="AP273" s="16">
        <f t="shared" si="128"/>
        <v>212010</v>
      </c>
      <c r="AQ273" s="16">
        <f t="shared" si="129"/>
        <v>5671607.7225433523</v>
      </c>
      <c r="AR273" s="16">
        <f t="shared" si="123"/>
        <v>340296.4633526011</v>
      </c>
      <c r="AS273" s="16">
        <f t="shared" si="130"/>
        <v>37432.610968786124</v>
      </c>
      <c r="AT273" s="16">
        <f t="shared" si="131"/>
        <v>-6805.9292670520226</v>
      </c>
      <c r="AU273" s="16">
        <f t="shared" si="132"/>
        <v>6005098.2566289017</v>
      </c>
      <c r="AV273" s="16">
        <f t="shared" si="133"/>
        <v>6011904.1858959533</v>
      </c>
      <c r="AW273" s="16">
        <f t="shared" si="134"/>
        <v>229200</v>
      </c>
      <c r="AX273" s="16" t="s">
        <v>286</v>
      </c>
      <c r="AZ273" s="17">
        <f t="shared" si="135"/>
        <v>2900</v>
      </c>
      <c r="BA273" s="16">
        <f t="shared" si="136"/>
        <v>4855655.7225433523</v>
      </c>
      <c r="BB273" s="16">
        <f t="shared" si="137"/>
        <v>4852755.7225433523</v>
      </c>
      <c r="BC273">
        <v>0.03</v>
      </c>
      <c r="BD273">
        <v>0.01</v>
      </c>
      <c r="BE273" s="37">
        <f t="shared" si="138"/>
        <v>529452</v>
      </c>
      <c r="BF273" s="38">
        <f t="shared" si="139"/>
        <v>326610</v>
      </c>
      <c r="BG273" s="37">
        <f t="shared" si="119"/>
        <v>269850</v>
      </c>
      <c r="BH273" s="37">
        <f t="shared" si="140"/>
        <v>286500</v>
      </c>
      <c r="BI273">
        <v>269850</v>
      </c>
      <c r="BL273" s="8">
        <f t="shared" si="141"/>
        <v>-645144.27745664737</v>
      </c>
      <c r="BM273" s="7" t="str">
        <f t="shared" si="143"/>
        <v>Terdaftar BPJS Kes &amp; Naker</v>
      </c>
      <c r="BN273" s="11">
        <f t="shared" si="144"/>
        <v>326610</v>
      </c>
      <c r="BO273" s="11">
        <f t="shared" si="145"/>
        <v>260142.00000000003</v>
      </c>
      <c r="BP273" s="9">
        <f t="shared" si="142"/>
        <v>0</v>
      </c>
      <c r="BQ273" t="s">
        <v>8</v>
      </c>
    </row>
    <row r="274" spans="1:69" x14ac:dyDescent="0.3">
      <c r="A274" s="2">
        <v>273</v>
      </c>
      <c r="B274" s="4" t="s">
        <v>2521</v>
      </c>
      <c r="C274" s="6" t="s">
        <v>241</v>
      </c>
      <c r="D274" s="6"/>
      <c r="E274" s="6" t="s">
        <v>73</v>
      </c>
      <c r="F274" s="6" t="s">
        <v>73</v>
      </c>
      <c r="G274" s="6"/>
      <c r="H274" s="6"/>
      <c r="I274" s="6"/>
      <c r="J274" s="6"/>
      <c r="K274" s="6">
        <v>800355</v>
      </c>
      <c r="L274" s="6"/>
      <c r="M274" s="6" t="s">
        <v>2520</v>
      </c>
      <c r="N274" s="46" t="s">
        <v>2519</v>
      </c>
      <c r="O274" s="6">
        <v>1531415889</v>
      </c>
      <c r="P274" s="78" t="s">
        <v>2518</v>
      </c>
      <c r="Q274" s="6">
        <v>11196</v>
      </c>
      <c r="R274" s="6">
        <v>27591</v>
      </c>
      <c r="S274" s="5" t="str">
        <f>VLOOKUP(T274,'[1]Kode Posisi'!$A$3:$B$45,2,)</f>
        <v>Outsourcing Petugas Gudang</v>
      </c>
      <c r="T274" s="36" t="s">
        <v>6</v>
      </c>
      <c r="U274" s="44" t="s">
        <v>1106</v>
      </c>
      <c r="V274" s="44" t="s">
        <v>2517</v>
      </c>
      <c r="W274" s="36" t="s">
        <v>2505</v>
      </c>
      <c r="X274" s="5" t="s">
        <v>302</v>
      </c>
      <c r="Y274" s="36" t="s">
        <v>52</v>
      </c>
      <c r="Z274" s="79">
        <v>6044482546</v>
      </c>
      <c r="AA274" s="36" t="s">
        <v>2516</v>
      </c>
      <c r="AB274" s="47">
        <v>5730000</v>
      </c>
      <c r="AC274" s="41">
        <v>5730000</v>
      </c>
      <c r="AD274" s="3">
        <v>5397000</v>
      </c>
      <c r="AE274" s="16">
        <f t="shared" si="124"/>
        <v>333000</v>
      </c>
      <c r="AF274" s="16">
        <v>0</v>
      </c>
      <c r="AG274" s="17">
        <v>0</v>
      </c>
      <c r="AI274" s="16">
        <v>436751.44508670521</v>
      </c>
      <c r="AK274" s="16">
        <v>215880</v>
      </c>
      <c r="AL274" s="11">
        <f t="shared" si="125"/>
        <v>5950871.4450867055</v>
      </c>
      <c r="AM274" s="16">
        <f t="shared" si="126"/>
        <v>586752</v>
      </c>
      <c r="AN274" s="16">
        <f t="shared" si="127"/>
        <v>229200</v>
      </c>
      <c r="AO274" s="16">
        <f t="shared" si="118"/>
        <v>357552</v>
      </c>
      <c r="AP274" s="16">
        <f t="shared" si="128"/>
        <v>212010</v>
      </c>
      <c r="AQ274" s="16">
        <f t="shared" si="129"/>
        <v>6537623.4450867055</v>
      </c>
      <c r="AR274" s="16">
        <f t="shared" si="123"/>
        <v>392257.4067052023</v>
      </c>
      <c r="AS274" s="16">
        <f t="shared" si="130"/>
        <v>43148.314737572255</v>
      </c>
      <c r="AT274" s="16">
        <f t="shared" si="131"/>
        <v>-7845.1481341040462</v>
      </c>
      <c r="AU274" s="16">
        <f t="shared" si="132"/>
        <v>6922035.7036578041</v>
      </c>
      <c r="AV274" s="16">
        <f t="shared" si="133"/>
        <v>6929880.851791908</v>
      </c>
      <c r="AW274" s="16">
        <f t="shared" si="134"/>
        <v>229200</v>
      </c>
      <c r="AX274" s="16" t="s">
        <v>235</v>
      </c>
      <c r="AZ274" s="17">
        <f t="shared" si="135"/>
        <v>0</v>
      </c>
      <c r="BA274" s="16">
        <f t="shared" si="136"/>
        <v>5721671.4450867055</v>
      </c>
      <c r="BB274" s="16">
        <f t="shared" si="137"/>
        <v>5721671.4450867055</v>
      </c>
      <c r="BC274">
        <v>0.03</v>
      </c>
      <c r="BD274">
        <v>0.01</v>
      </c>
      <c r="BE274" s="37">
        <f t="shared" si="138"/>
        <v>529452</v>
      </c>
      <c r="BF274" s="38">
        <f t="shared" si="139"/>
        <v>326610</v>
      </c>
      <c r="BG274" s="37">
        <f t="shared" si="119"/>
        <v>269850</v>
      </c>
      <c r="BH274" s="37">
        <f t="shared" si="140"/>
        <v>286500</v>
      </c>
      <c r="BI274">
        <v>269850</v>
      </c>
      <c r="BL274" s="8">
        <f t="shared" si="141"/>
        <v>220871.44508670521</v>
      </c>
      <c r="BM274" s="7" t="str">
        <f t="shared" si="143"/>
        <v>Terdaftar BPJS Kes &amp; Naker</v>
      </c>
      <c r="BN274" s="11">
        <f t="shared" si="144"/>
        <v>326610</v>
      </c>
      <c r="BO274" s="11">
        <f t="shared" si="145"/>
        <v>260142.00000000003</v>
      </c>
      <c r="BP274" s="9">
        <f t="shared" si="142"/>
        <v>0</v>
      </c>
      <c r="BQ274" t="s">
        <v>8</v>
      </c>
    </row>
    <row r="275" spans="1:69" x14ac:dyDescent="0.3">
      <c r="A275" s="2">
        <v>274</v>
      </c>
      <c r="B275" s="4" t="s">
        <v>2515</v>
      </c>
      <c r="C275" s="6" t="s">
        <v>241</v>
      </c>
      <c r="D275" s="6"/>
      <c r="E275" s="6" t="s">
        <v>73</v>
      </c>
      <c r="F275" s="6" t="s">
        <v>73</v>
      </c>
      <c r="G275" s="6"/>
      <c r="H275" s="6"/>
      <c r="I275" s="6"/>
      <c r="J275" s="6"/>
      <c r="K275" s="6">
        <v>800356</v>
      </c>
      <c r="L275" s="6"/>
      <c r="M275" s="6"/>
      <c r="N275" s="46" t="s">
        <v>2514</v>
      </c>
      <c r="O275" s="6">
        <v>2245174953</v>
      </c>
      <c r="P275" s="36" t="s">
        <v>2513</v>
      </c>
      <c r="Q275" s="6">
        <v>11196</v>
      </c>
      <c r="R275" s="6">
        <v>27591</v>
      </c>
      <c r="S275" s="5" t="str">
        <f>VLOOKUP(T275,'[1]Kode Posisi'!$A$3:$B$45,2,)</f>
        <v>Outsourcing Petugas Gudang</v>
      </c>
      <c r="T275" s="36" t="s">
        <v>6</v>
      </c>
      <c r="U275" s="44" t="s">
        <v>1106</v>
      </c>
      <c r="V275" s="44" t="s">
        <v>2512</v>
      </c>
      <c r="W275" s="36" t="s">
        <v>2505</v>
      </c>
      <c r="X275" s="5" t="s">
        <v>302</v>
      </c>
      <c r="Y275" s="36" t="s">
        <v>473</v>
      </c>
      <c r="Z275" s="79" t="s">
        <v>2511</v>
      </c>
      <c r="AA275" s="36" t="s">
        <v>2510</v>
      </c>
      <c r="AB275" s="47">
        <v>5730000</v>
      </c>
      <c r="AC275" s="41">
        <v>5730000</v>
      </c>
      <c r="AD275" s="3">
        <v>5397000</v>
      </c>
      <c r="AE275" s="16">
        <f t="shared" si="124"/>
        <v>333000</v>
      </c>
      <c r="AF275" s="16">
        <v>0</v>
      </c>
      <c r="AG275" s="17">
        <v>0</v>
      </c>
      <c r="AI275" s="16">
        <v>124786.12716763005</v>
      </c>
      <c r="AK275" s="16">
        <v>0</v>
      </c>
      <c r="AL275" s="11">
        <f t="shared" si="125"/>
        <v>5854786.12716763</v>
      </c>
      <c r="AM275" s="16">
        <f t="shared" si="126"/>
        <v>586752</v>
      </c>
      <c r="AN275" s="16">
        <f t="shared" si="127"/>
        <v>229200</v>
      </c>
      <c r="AO275" s="16">
        <f t="shared" si="118"/>
        <v>357552</v>
      </c>
      <c r="AP275" s="16">
        <f t="shared" si="128"/>
        <v>212010</v>
      </c>
      <c r="AQ275" s="16">
        <f t="shared" si="129"/>
        <v>6441538.12716763</v>
      </c>
      <c r="AR275" s="16">
        <f t="shared" si="123"/>
        <v>386492.28763005778</v>
      </c>
      <c r="AS275" s="16">
        <f t="shared" si="130"/>
        <v>42514.151639306358</v>
      </c>
      <c r="AT275" s="16">
        <f t="shared" si="131"/>
        <v>-7729.8457526011553</v>
      </c>
      <c r="AU275" s="16">
        <f t="shared" si="132"/>
        <v>6820300.5690450864</v>
      </c>
      <c r="AV275" s="16">
        <f t="shared" si="133"/>
        <v>6828030.4147976879</v>
      </c>
      <c r="AW275" s="16">
        <f t="shared" si="134"/>
        <v>229200</v>
      </c>
      <c r="AX275" s="16" t="s">
        <v>235</v>
      </c>
      <c r="AZ275" s="17">
        <f t="shared" si="135"/>
        <v>2900</v>
      </c>
      <c r="BA275" s="16">
        <f t="shared" si="136"/>
        <v>5625586.12716763</v>
      </c>
      <c r="BB275" s="16">
        <f t="shared" si="137"/>
        <v>5622686.12716763</v>
      </c>
      <c r="BC275">
        <v>0.03</v>
      </c>
      <c r="BD275">
        <v>0.01</v>
      </c>
      <c r="BE275" s="37">
        <f t="shared" si="138"/>
        <v>529452</v>
      </c>
      <c r="BF275" s="38">
        <f t="shared" si="139"/>
        <v>326610</v>
      </c>
      <c r="BG275" s="37">
        <f t="shared" si="119"/>
        <v>269850</v>
      </c>
      <c r="BH275" s="37">
        <f t="shared" si="140"/>
        <v>286500</v>
      </c>
      <c r="BI275">
        <v>269850</v>
      </c>
      <c r="BL275" s="8">
        <f t="shared" si="141"/>
        <v>124786.12716763005</v>
      </c>
      <c r="BM275" s="7" t="str">
        <f t="shared" si="143"/>
        <v>Terdaftar BPJS Kes &amp; Naker</v>
      </c>
      <c r="BN275" s="11">
        <f t="shared" si="144"/>
        <v>326610</v>
      </c>
      <c r="BO275" s="11">
        <f t="shared" si="145"/>
        <v>260142.00000000003</v>
      </c>
      <c r="BP275" s="9">
        <f t="shared" si="142"/>
        <v>0</v>
      </c>
      <c r="BQ275" t="s">
        <v>8</v>
      </c>
    </row>
    <row r="276" spans="1:69" x14ac:dyDescent="0.3">
      <c r="A276" s="2">
        <v>275</v>
      </c>
      <c r="B276" s="4" t="s">
        <v>2509</v>
      </c>
      <c r="C276" s="6" t="s">
        <v>241</v>
      </c>
      <c r="D276" s="6"/>
      <c r="E276" s="6" t="s">
        <v>73</v>
      </c>
      <c r="F276" s="6" t="s">
        <v>73</v>
      </c>
      <c r="G276" s="6"/>
      <c r="H276" s="6"/>
      <c r="I276" s="6"/>
      <c r="J276" s="6"/>
      <c r="K276" s="6">
        <v>800357</v>
      </c>
      <c r="L276" s="6"/>
      <c r="M276" s="6"/>
      <c r="N276" s="46" t="s">
        <v>2508</v>
      </c>
      <c r="O276" s="6">
        <v>1677235162</v>
      </c>
      <c r="P276" s="78" t="s">
        <v>2507</v>
      </c>
      <c r="Q276" s="6">
        <v>11196</v>
      </c>
      <c r="R276" s="6">
        <v>27591</v>
      </c>
      <c r="S276" s="5" t="str">
        <f>VLOOKUP(T276,'[1]Kode Posisi'!$A$3:$B$45,2,)</f>
        <v>Outsourcing Petugas Gudang</v>
      </c>
      <c r="T276" s="36" t="s">
        <v>6</v>
      </c>
      <c r="U276" s="44" t="s">
        <v>1106</v>
      </c>
      <c r="V276" s="44" t="s">
        <v>2506</v>
      </c>
      <c r="W276" s="36" t="s">
        <v>2505</v>
      </c>
      <c r="X276" s="5" t="s">
        <v>302</v>
      </c>
      <c r="Y276" s="36" t="s">
        <v>52</v>
      </c>
      <c r="Z276" s="79">
        <v>8710254339</v>
      </c>
      <c r="AA276" s="36" t="s">
        <v>2504</v>
      </c>
      <c r="AB276" s="47">
        <v>5730000</v>
      </c>
      <c r="AC276" s="41">
        <v>5730000</v>
      </c>
      <c r="AD276" s="3">
        <v>5397000</v>
      </c>
      <c r="AE276" s="16">
        <f t="shared" si="124"/>
        <v>333000</v>
      </c>
      <c r="AF276" s="16">
        <v>0</v>
      </c>
      <c r="AG276" s="17">
        <v>0</v>
      </c>
      <c r="AI276" s="16">
        <v>779913.29479768779</v>
      </c>
      <c r="AK276" s="16">
        <v>0</v>
      </c>
      <c r="AL276" s="11">
        <f t="shared" si="125"/>
        <v>6509913.2947976878</v>
      </c>
      <c r="AM276" s="16">
        <f t="shared" si="126"/>
        <v>586752</v>
      </c>
      <c r="AN276" s="16">
        <f t="shared" si="127"/>
        <v>229200</v>
      </c>
      <c r="AO276" s="16">
        <f t="shared" si="118"/>
        <v>357552</v>
      </c>
      <c r="AP276" s="16">
        <f t="shared" si="128"/>
        <v>212010</v>
      </c>
      <c r="AQ276" s="16">
        <f t="shared" si="129"/>
        <v>7096665.2947976878</v>
      </c>
      <c r="AR276" s="16">
        <f t="shared" si="123"/>
        <v>425799.91768786125</v>
      </c>
      <c r="AS276" s="16">
        <f t="shared" si="130"/>
        <v>46837.990945664737</v>
      </c>
      <c r="AT276" s="16">
        <f t="shared" si="131"/>
        <v>-8515.9983537572243</v>
      </c>
      <c r="AU276" s="16">
        <f t="shared" si="132"/>
        <v>7513949.2141317921</v>
      </c>
      <c r="AV276" s="16">
        <f t="shared" si="133"/>
        <v>7522465.212485549</v>
      </c>
      <c r="AW276" s="16">
        <f t="shared" si="134"/>
        <v>229200</v>
      </c>
      <c r="AX276" s="16" t="s">
        <v>235</v>
      </c>
      <c r="AZ276" s="17">
        <f t="shared" si="135"/>
        <v>0</v>
      </c>
      <c r="BA276" s="16">
        <f t="shared" si="136"/>
        <v>6280713.2947976878</v>
      </c>
      <c r="BB276" s="16">
        <f t="shared" si="137"/>
        <v>6280713.2947976878</v>
      </c>
      <c r="BC276" s="15">
        <v>0.03</v>
      </c>
      <c r="BD276">
        <v>0.01</v>
      </c>
      <c r="BE276" s="37">
        <f t="shared" si="138"/>
        <v>529452</v>
      </c>
      <c r="BF276" s="38">
        <f t="shared" si="139"/>
        <v>326610</v>
      </c>
      <c r="BG276" s="37">
        <f t="shared" si="119"/>
        <v>269850</v>
      </c>
      <c r="BH276" s="37">
        <f t="shared" si="140"/>
        <v>286500</v>
      </c>
      <c r="BI276">
        <v>269850</v>
      </c>
      <c r="BL276" s="8">
        <f t="shared" si="141"/>
        <v>779913.29479768779</v>
      </c>
      <c r="BM276" s="7" t="str">
        <f t="shared" si="143"/>
        <v>Terdaftar BPJS Kes &amp; Naker</v>
      </c>
      <c r="BN276" s="11">
        <f t="shared" si="144"/>
        <v>326610</v>
      </c>
      <c r="BO276" s="11">
        <f t="shared" si="145"/>
        <v>260142.00000000003</v>
      </c>
      <c r="BP276" s="9">
        <f t="shared" si="142"/>
        <v>0</v>
      </c>
      <c r="BQ276" t="s">
        <v>8</v>
      </c>
    </row>
    <row r="277" spans="1:69" x14ac:dyDescent="0.3">
      <c r="A277" s="2">
        <v>276</v>
      </c>
      <c r="B277" s="4" t="s">
        <v>2500</v>
      </c>
      <c r="C277" s="6" t="s">
        <v>241</v>
      </c>
      <c r="D277" s="6"/>
      <c r="E277" s="6" t="s">
        <v>73</v>
      </c>
      <c r="F277" s="6" t="s">
        <v>73</v>
      </c>
      <c r="G277" s="6"/>
      <c r="H277" s="6"/>
      <c r="I277" s="6"/>
      <c r="J277" s="6"/>
      <c r="K277" s="6">
        <v>800359</v>
      </c>
      <c r="L277" s="6"/>
      <c r="M277" s="6"/>
      <c r="N277" s="46" t="s">
        <v>2503</v>
      </c>
      <c r="O277" s="6">
        <v>1326604612</v>
      </c>
      <c r="P277" s="78" t="s">
        <v>2502</v>
      </c>
      <c r="Q277" s="6">
        <v>33086</v>
      </c>
      <c r="R277" s="6">
        <v>27521</v>
      </c>
      <c r="S277" s="5" t="str">
        <f>VLOOKUP(T277,'[1]Kode Posisi'!$A$3:$B$45,2,)</f>
        <v>Outsourcing Petugas Administrasi</v>
      </c>
      <c r="T277" s="36" t="s">
        <v>35</v>
      </c>
      <c r="U277" s="44" t="s">
        <v>1106</v>
      </c>
      <c r="V277" s="44" t="s">
        <v>2501</v>
      </c>
      <c r="W277" s="36" t="s">
        <v>25</v>
      </c>
      <c r="X277" s="36" t="s">
        <v>25</v>
      </c>
      <c r="Y277" s="36" t="s">
        <v>52</v>
      </c>
      <c r="Z277" s="79">
        <v>3420425898</v>
      </c>
      <c r="AA277" s="36" t="s">
        <v>2500</v>
      </c>
      <c r="AB277" s="47">
        <v>5730000</v>
      </c>
      <c r="AC277" s="41">
        <v>5730000</v>
      </c>
      <c r="AD277" s="3">
        <v>5397000</v>
      </c>
      <c r="AE277" s="16">
        <f t="shared" si="124"/>
        <v>333000</v>
      </c>
      <c r="AF277" s="16">
        <v>200000</v>
      </c>
      <c r="AG277" s="17">
        <v>0</v>
      </c>
      <c r="AI277" s="16">
        <v>0</v>
      </c>
      <c r="AK277" s="16">
        <v>0</v>
      </c>
      <c r="AL277" s="11">
        <f t="shared" si="125"/>
        <v>5930000</v>
      </c>
      <c r="AM277" s="16">
        <f t="shared" si="126"/>
        <v>586752</v>
      </c>
      <c r="AN277" s="16">
        <f t="shared" si="127"/>
        <v>229200</v>
      </c>
      <c r="AO277" s="16">
        <f t="shared" si="118"/>
        <v>357552</v>
      </c>
      <c r="AP277" s="16">
        <f t="shared" si="128"/>
        <v>219410</v>
      </c>
      <c r="AQ277" s="16">
        <f t="shared" si="129"/>
        <v>6516752</v>
      </c>
      <c r="AR277" s="16">
        <f t="shared" si="123"/>
        <v>391005.12</v>
      </c>
      <c r="AS277" s="16">
        <f t="shared" si="130"/>
        <v>43010.563199999997</v>
      </c>
      <c r="AT277" s="16">
        <f t="shared" si="131"/>
        <v>-7820.1023999999998</v>
      </c>
      <c r="AU277" s="16">
        <f t="shared" si="132"/>
        <v>6899937.0175999999</v>
      </c>
      <c r="AV277" s="16">
        <f t="shared" si="133"/>
        <v>6907757.1200000001</v>
      </c>
      <c r="AW277" s="16">
        <f t="shared" si="134"/>
        <v>229200</v>
      </c>
      <c r="AX277" s="16" t="s">
        <v>235</v>
      </c>
      <c r="AZ277" s="17">
        <f t="shared" si="135"/>
        <v>0</v>
      </c>
      <c r="BA277" s="16">
        <f t="shared" si="136"/>
        <v>5700800</v>
      </c>
      <c r="BB277" s="16">
        <f t="shared" si="137"/>
        <v>5700800</v>
      </c>
      <c r="BC277" s="15">
        <v>0.03</v>
      </c>
      <c r="BD277">
        <v>0.01</v>
      </c>
      <c r="BE277" s="37">
        <f t="shared" si="138"/>
        <v>529452</v>
      </c>
      <c r="BF277" s="38">
        <f t="shared" si="139"/>
        <v>326610</v>
      </c>
      <c r="BG277" s="37">
        <f t="shared" si="119"/>
        <v>269850</v>
      </c>
      <c r="BH277" s="37">
        <f t="shared" si="140"/>
        <v>286500</v>
      </c>
      <c r="BI277">
        <v>269850</v>
      </c>
      <c r="BL277" s="8">
        <f t="shared" si="141"/>
        <v>200000</v>
      </c>
      <c r="BM277" s="7" t="str">
        <f t="shared" si="143"/>
        <v>Terdaftar BPJS Kes &amp; Naker</v>
      </c>
      <c r="BN277" s="11">
        <f t="shared" si="144"/>
        <v>326610</v>
      </c>
      <c r="BO277" s="11">
        <f t="shared" si="145"/>
        <v>260142.00000000003</v>
      </c>
      <c r="BP277" s="9">
        <f t="shared" si="142"/>
        <v>0</v>
      </c>
      <c r="BQ277" t="str">
        <f>_xlfn.XLOOKUP(X277,'[2]NON TETAP'!$H:$H,'[2]NON TETAP'!$I:$I)</f>
        <v>GRAMEDIA ASRI MEDIA</v>
      </c>
    </row>
    <row r="278" spans="1:69" x14ac:dyDescent="0.3">
      <c r="A278" s="2">
        <v>277</v>
      </c>
      <c r="B278" s="4" t="s">
        <v>2496</v>
      </c>
      <c r="C278" s="6" t="s">
        <v>241</v>
      </c>
      <c r="D278" s="6"/>
      <c r="E278" s="6" t="s">
        <v>73</v>
      </c>
      <c r="F278" s="6" t="s">
        <v>73</v>
      </c>
      <c r="G278" s="6"/>
      <c r="H278" s="6"/>
      <c r="I278" s="6"/>
      <c r="J278" s="6"/>
      <c r="K278" s="6">
        <v>800360</v>
      </c>
      <c r="L278" s="6"/>
      <c r="M278" s="6"/>
      <c r="N278" s="46" t="s">
        <v>2499</v>
      </c>
      <c r="O278" s="6">
        <v>378128968</v>
      </c>
      <c r="P278" s="78" t="s">
        <v>2498</v>
      </c>
      <c r="Q278" s="6">
        <v>33086</v>
      </c>
      <c r="R278" s="6">
        <v>27521</v>
      </c>
      <c r="S278" s="5" t="str">
        <f>VLOOKUP(T278,'[1]Kode Posisi'!$A$3:$B$45,2,)</f>
        <v>Outsourcing Petugas Administrasi</v>
      </c>
      <c r="T278" s="36" t="s">
        <v>35</v>
      </c>
      <c r="U278" s="44" t="s">
        <v>1106</v>
      </c>
      <c r="V278" s="44" t="s">
        <v>2497</v>
      </c>
      <c r="W278" s="36" t="s">
        <v>25</v>
      </c>
      <c r="X278" s="36" t="s">
        <v>25</v>
      </c>
      <c r="Y278" s="36" t="s">
        <v>52</v>
      </c>
      <c r="Z278" s="79">
        <v>8710010651</v>
      </c>
      <c r="AA278" s="36" t="s">
        <v>2496</v>
      </c>
      <c r="AB278" s="47">
        <v>5730000</v>
      </c>
      <c r="AC278" s="41">
        <v>5730000</v>
      </c>
      <c r="AD278" s="3">
        <v>5397000</v>
      </c>
      <c r="AE278" s="16">
        <f t="shared" si="124"/>
        <v>333000</v>
      </c>
      <c r="AF278" s="16">
        <v>200000</v>
      </c>
      <c r="AG278">
        <v>373650</v>
      </c>
      <c r="AI278" s="16">
        <v>0</v>
      </c>
      <c r="AK278" s="16">
        <v>0</v>
      </c>
      <c r="AL278" s="11">
        <f t="shared" si="125"/>
        <v>6303650</v>
      </c>
      <c r="AM278" s="16">
        <f t="shared" si="126"/>
        <v>586752</v>
      </c>
      <c r="AN278" s="16">
        <f t="shared" si="127"/>
        <v>229200</v>
      </c>
      <c r="AO278" s="16">
        <f t="shared" si="118"/>
        <v>357552</v>
      </c>
      <c r="AP278" s="16">
        <f t="shared" si="128"/>
        <v>219410</v>
      </c>
      <c r="AQ278" s="16">
        <f t="shared" si="129"/>
        <v>6890402</v>
      </c>
      <c r="AR278" s="16">
        <f t="shared" ref="AR278:AR305" si="146">SUM(AQ278*0.06)</f>
        <v>413424.12</v>
      </c>
      <c r="AS278" s="16">
        <f t="shared" si="130"/>
        <v>45476.653200000001</v>
      </c>
      <c r="AT278" s="16">
        <f t="shared" si="131"/>
        <v>-8268.4824000000008</v>
      </c>
      <c r="AU278" s="16">
        <f t="shared" si="132"/>
        <v>7295557.6376</v>
      </c>
      <c r="AV278" s="16">
        <f t="shared" si="133"/>
        <v>7303826.1200000001</v>
      </c>
      <c r="AW278" s="16">
        <f t="shared" si="134"/>
        <v>229200</v>
      </c>
      <c r="AX278" s="16" t="s">
        <v>91</v>
      </c>
      <c r="AZ278" s="17">
        <f t="shared" si="135"/>
        <v>0</v>
      </c>
      <c r="BA278" s="16">
        <f t="shared" si="136"/>
        <v>6074450</v>
      </c>
      <c r="BB278" s="16">
        <f t="shared" si="137"/>
        <v>6074450</v>
      </c>
      <c r="BC278" s="15">
        <v>0.03</v>
      </c>
      <c r="BD278">
        <v>0.01</v>
      </c>
      <c r="BE278" s="37">
        <f t="shared" si="138"/>
        <v>529452</v>
      </c>
      <c r="BF278" s="38">
        <f t="shared" si="139"/>
        <v>326610</v>
      </c>
      <c r="BG278" s="37">
        <f t="shared" si="119"/>
        <v>269850</v>
      </c>
      <c r="BH278" s="37">
        <f t="shared" si="140"/>
        <v>286500</v>
      </c>
      <c r="BI278">
        <v>269850</v>
      </c>
      <c r="BL278" s="8">
        <f t="shared" si="141"/>
        <v>573650</v>
      </c>
      <c r="BM278" s="7" t="str">
        <f t="shared" si="143"/>
        <v>Terdaftar BPJS Kes &amp; Naker</v>
      </c>
      <c r="BN278" s="11">
        <f t="shared" si="144"/>
        <v>326610</v>
      </c>
      <c r="BO278" s="11">
        <f t="shared" si="145"/>
        <v>260142.00000000003</v>
      </c>
      <c r="BP278" s="9">
        <f t="shared" si="142"/>
        <v>0</v>
      </c>
      <c r="BQ278" t="str">
        <f>_xlfn.XLOOKUP(X278,'[2]NON TETAP'!$H:$H,'[2]NON TETAP'!$I:$I)</f>
        <v>GRAMEDIA ASRI MEDIA</v>
      </c>
    </row>
    <row r="279" spans="1:69" x14ac:dyDescent="0.3">
      <c r="A279" s="2">
        <v>278</v>
      </c>
      <c r="B279" s="4" t="s">
        <v>2492</v>
      </c>
      <c r="C279" s="6" t="s">
        <v>241</v>
      </c>
      <c r="D279" s="6"/>
      <c r="E279" s="6" t="s">
        <v>73</v>
      </c>
      <c r="F279" s="6" t="s">
        <v>73</v>
      </c>
      <c r="G279" s="6"/>
      <c r="H279" s="6"/>
      <c r="I279" s="6"/>
      <c r="J279" s="6"/>
      <c r="K279" s="6">
        <v>800361</v>
      </c>
      <c r="L279" s="6"/>
      <c r="M279" s="6"/>
      <c r="N279" s="46" t="s">
        <v>2495</v>
      </c>
      <c r="O279" s="6">
        <v>2067018805</v>
      </c>
      <c r="P279" s="78" t="s">
        <v>2494</v>
      </c>
      <c r="Q279" s="6">
        <v>33086</v>
      </c>
      <c r="R279" s="6">
        <v>27521</v>
      </c>
      <c r="S279" s="5" t="str">
        <f>VLOOKUP(T279,'[1]Kode Posisi'!$A$3:$B$45,2,)</f>
        <v>Outsourcing Petugas Administrasi</v>
      </c>
      <c r="T279" s="36" t="s">
        <v>35</v>
      </c>
      <c r="U279" s="44" t="s">
        <v>1106</v>
      </c>
      <c r="V279" s="44" t="s">
        <v>2493</v>
      </c>
      <c r="W279" s="36" t="s">
        <v>25</v>
      </c>
      <c r="X279" s="36" t="s">
        <v>25</v>
      </c>
      <c r="Y279" s="36" t="s">
        <v>52</v>
      </c>
      <c r="Z279" s="79">
        <v>7600069262</v>
      </c>
      <c r="AA279" s="36" t="s">
        <v>2492</v>
      </c>
      <c r="AB279" s="47">
        <v>5730000</v>
      </c>
      <c r="AC279" s="41">
        <v>5730000</v>
      </c>
      <c r="AD279" s="3">
        <v>5397000</v>
      </c>
      <c r="AE279" s="16">
        <f t="shared" si="124"/>
        <v>333000</v>
      </c>
      <c r="AF279" s="16">
        <v>200000</v>
      </c>
      <c r="AG279" s="17">
        <v>0</v>
      </c>
      <c r="AI279" s="16">
        <v>0</v>
      </c>
      <c r="AK279" s="16">
        <v>0</v>
      </c>
      <c r="AL279" s="11">
        <f t="shared" si="125"/>
        <v>5930000</v>
      </c>
      <c r="AM279" s="16">
        <f t="shared" si="126"/>
        <v>586752</v>
      </c>
      <c r="AN279" s="16">
        <f t="shared" si="127"/>
        <v>229200</v>
      </c>
      <c r="AO279" s="16">
        <f t="shared" si="118"/>
        <v>357552</v>
      </c>
      <c r="AP279" s="16">
        <f t="shared" si="128"/>
        <v>219410</v>
      </c>
      <c r="AQ279" s="16">
        <f t="shared" si="129"/>
        <v>6516752</v>
      </c>
      <c r="AR279" s="16">
        <f t="shared" si="146"/>
        <v>391005.12</v>
      </c>
      <c r="AS279" s="16">
        <f t="shared" si="130"/>
        <v>43010.563199999997</v>
      </c>
      <c r="AT279" s="16">
        <f t="shared" si="131"/>
        <v>-7820.1023999999998</v>
      </c>
      <c r="AU279" s="16">
        <f t="shared" si="132"/>
        <v>6899937.0175999999</v>
      </c>
      <c r="AV279" s="16">
        <f t="shared" si="133"/>
        <v>6907757.1200000001</v>
      </c>
      <c r="AW279" s="16">
        <f t="shared" si="134"/>
        <v>229200</v>
      </c>
      <c r="AX279" s="16" t="s">
        <v>235</v>
      </c>
      <c r="AZ279" s="17">
        <f t="shared" si="135"/>
        <v>0</v>
      </c>
      <c r="BA279" s="16">
        <f t="shared" si="136"/>
        <v>5700800</v>
      </c>
      <c r="BB279" s="16">
        <f t="shared" si="137"/>
        <v>5700800</v>
      </c>
      <c r="BC279" s="15">
        <v>0.03</v>
      </c>
      <c r="BD279">
        <v>0.01</v>
      </c>
      <c r="BE279" s="37">
        <f t="shared" si="138"/>
        <v>529452</v>
      </c>
      <c r="BF279" s="38">
        <f t="shared" si="139"/>
        <v>326610</v>
      </c>
      <c r="BG279" s="37">
        <f t="shared" si="119"/>
        <v>269850</v>
      </c>
      <c r="BH279" s="37">
        <f t="shared" si="140"/>
        <v>286500</v>
      </c>
      <c r="BI279">
        <v>269850</v>
      </c>
      <c r="BL279" s="8">
        <f t="shared" si="141"/>
        <v>200000</v>
      </c>
      <c r="BM279" s="7" t="str">
        <f t="shared" si="143"/>
        <v>Terdaftar BPJS Kes &amp; Naker</v>
      </c>
      <c r="BN279" s="11">
        <f t="shared" si="144"/>
        <v>326610</v>
      </c>
      <c r="BO279" s="11">
        <f t="shared" si="145"/>
        <v>260142.00000000003</v>
      </c>
      <c r="BP279" s="9">
        <f t="shared" si="142"/>
        <v>0</v>
      </c>
      <c r="BQ279" t="str">
        <f>_xlfn.XLOOKUP(X279,'[2]NON TETAP'!$H:$H,'[2]NON TETAP'!$I:$I)</f>
        <v>GRAMEDIA ASRI MEDIA</v>
      </c>
    </row>
    <row r="280" spans="1:69" x14ac:dyDescent="0.3">
      <c r="A280" s="2">
        <v>279</v>
      </c>
      <c r="B280" s="4" t="s">
        <v>2488</v>
      </c>
      <c r="C280" s="6" t="s">
        <v>241</v>
      </c>
      <c r="D280" s="6"/>
      <c r="E280" s="6" t="s">
        <v>73</v>
      </c>
      <c r="F280" s="6" t="s">
        <v>73</v>
      </c>
      <c r="G280" s="6"/>
      <c r="H280" s="6"/>
      <c r="I280" s="6"/>
      <c r="J280" s="6"/>
      <c r="K280" s="6">
        <v>800362</v>
      </c>
      <c r="L280" s="6"/>
      <c r="M280" s="6"/>
      <c r="N280" s="46" t="s">
        <v>2491</v>
      </c>
      <c r="O280" s="6">
        <v>1622926912</v>
      </c>
      <c r="P280" s="78" t="s">
        <v>2490</v>
      </c>
      <c r="Q280" s="6">
        <v>33086</v>
      </c>
      <c r="R280" s="6">
        <v>27521</v>
      </c>
      <c r="S280" s="5" t="str">
        <f>VLOOKUP(T280,'[1]Kode Posisi'!$A$3:$B$45,2,)</f>
        <v>Outsourcing Petugas Administrasi</v>
      </c>
      <c r="T280" s="36" t="s">
        <v>35</v>
      </c>
      <c r="U280" s="44" t="s">
        <v>1106</v>
      </c>
      <c r="V280" s="44" t="s">
        <v>2489</v>
      </c>
      <c r="W280" s="36" t="s">
        <v>25</v>
      </c>
      <c r="X280" s="36" t="s">
        <v>25</v>
      </c>
      <c r="Y280" s="36" t="s">
        <v>52</v>
      </c>
      <c r="Z280" s="79">
        <v>7655103198</v>
      </c>
      <c r="AA280" s="36" t="s">
        <v>2488</v>
      </c>
      <c r="AB280" s="47">
        <v>5730000</v>
      </c>
      <c r="AC280" s="41">
        <v>5730000</v>
      </c>
      <c r="AD280" s="3">
        <v>5397000</v>
      </c>
      <c r="AE280" s="16">
        <f t="shared" si="124"/>
        <v>333000</v>
      </c>
      <c r="AF280" s="16">
        <v>200000</v>
      </c>
      <c r="AG280" s="17">
        <v>0</v>
      </c>
      <c r="AI280" s="16">
        <v>0</v>
      </c>
      <c r="AK280" s="16">
        <v>0</v>
      </c>
      <c r="AL280" s="11">
        <f t="shared" si="125"/>
        <v>5930000</v>
      </c>
      <c r="AM280" s="16">
        <f t="shared" si="126"/>
        <v>586752</v>
      </c>
      <c r="AN280" s="16">
        <f t="shared" si="127"/>
        <v>229200</v>
      </c>
      <c r="AO280" s="16">
        <f t="shared" si="118"/>
        <v>357552</v>
      </c>
      <c r="AP280" s="16">
        <f t="shared" si="128"/>
        <v>219410</v>
      </c>
      <c r="AQ280" s="16">
        <f t="shared" si="129"/>
        <v>6516752</v>
      </c>
      <c r="AR280" s="16">
        <f t="shared" si="146"/>
        <v>391005.12</v>
      </c>
      <c r="AS280" s="16">
        <f t="shared" si="130"/>
        <v>43010.563199999997</v>
      </c>
      <c r="AT280" s="16">
        <f t="shared" si="131"/>
        <v>-7820.1023999999998</v>
      </c>
      <c r="AU280" s="16">
        <f t="shared" si="132"/>
        <v>6899937.0175999999</v>
      </c>
      <c r="AV280" s="16">
        <f t="shared" si="133"/>
        <v>6907757.1200000001</v>
      </c>
      <c r="AW280" s="16">
        <f t="shared" si="134"/>
        <v>229200</v>
      </c>
      <c r="AX280" s="16" t="s">
        <v>243</v>
      </c>
      <c r="AZ280" s="17">
        <f t="shared" si="135"/>
        <v>0</v>
      </c>
      <c r="BA280" s="16">
        <f t="shared" si="136"/>
        <v>5700800</v>
      </c>
      <c r="BB280" s="16">
        <f t="shared" si="137"/>
        <v>5700800</v>
      </c>
      <c r="BC280" s="15">
        <v>0.03</v>
      </c>
      <c r="BD280">
        <v>0.01</v>
      </c>
      <c r="BE280" s="37">
        <f t="shared" si="138"/>
        <v>529452</v>
      </c>
      <c r="BF280" s="38">
        <f t="shared" si="139"/>
        <v>326610</v>
      </c>
      <c r="BG280" s="37">
        <f t="shared" si="119"/>
        <v>269850</v>
      </c>
      <c r="BH280" s="37">
        <f t="shared" si="140"/>
        <v>286500</v>
      </c>
      <c r="BI280">
        <v>269850</v>
      </c>
      <c r="BL280" s="8">
        <f t="shared" si="141"/>
        <v>200000</v>
      </c>
      <c r="BM280" s="7" t="str">
        <f t="shared" si="143"/>
        <v>Terdaftar BPJS Kes &amp; Naker</v>
      </c>
      <c r="BN280" s="11">
        <f t="shared" si="144"/>
        <v>326610</v>
      </c>
      <c r="BO280" s="11">
        <f t="shared" si="145"/>
        <v>260142.00000000003</v>
      </c>
      <c r="BP280" s="9">
        <f t="shared" si="142"/>
        <v>0</v>
      </c>
      <c r="BQ280" t="str">
        <f>_xlfn.XLOOKUP(X280,'[2]NON TETAP'!$H:$H,'[2]NON TETAP'!$I:$I)</f>
        <v>GRAMEDIA ASRI MEDIA</v>
      </c>
    </row>
    <row r="281" spans="1:69" x14ac:dyDescent="0.3">
      <c r="A281" s="2">
        <v>280</v>
      </c>
      <c r="B281" s="4" t="s">
        <v>2487</v>
      </c>
      <c r="C281" s="6" t="s">
        <v>241</v>
      </c>
      <c r="D281" s="6"/>
      <c r="E281" s="6" t="s">
        <v>73</v>
      </c>
      <c r="F281" s="6" t="s">
        <v>73</v>
      </c>
      <c r="G281" s="6"/>
      <c r="H281" s="6"/>
      <c r="I281" s="6"/>
      <c r="J281" s="6"/>
      <c r="K281" s="6">
        <v>800364</v>
      </c>
      <c r="L281" s="6"/>
      <c r="M281" s="6" t="str">
        <f>_xlfn.XLOOKUP(P281,[3]update_data_tk!$C$2:$C$545,[3]update_data_tk!$D$2:$D$545)</f>
        <v>25077450986</v>
      </c>
      <c r="N281" s="46" t="s">
        <v>2486</v>
      </c>
      <c r="O281" s="6">
        <v>2095474893</v>
      </c>
      <c r="P281" s="78" t="s">
        <v>2485</v>
      </c>
      <c r="Q281" s="6">
        <v>10196</v>
      </c>
      <c r="R281" s="6">
        <v>27196</v>
      </c>
      <c r="S281" s="5" t="str">
        <f>VLOOKUP(T281,'[1]Kode Posisi'!$A$3:$B$45,2,)</f>
        <v>Outsourcing Petugas Administrasi</v>
      </c>
      <c r="T281" s="36" t="s">
        <v>35</v>
      </c>
      <c r="U281" s="44" t="s">
        <v>46</v>
      </c>
      <c r="V281" s="44" t="s">
        <v>2484</v>
      </c>
      <c r="W281" s="36" t="s">
        <v>2363</v>
      </c>
      <c r="X281" s="36" t="s">
        <v>2363</v>
      </c>
      <c r="Y281" s="36" t="s">
        <v>52</v>
      </c>
      <c r="Z281" s="79">
        <v>5750588338</v>
      </c>
      <c r="AA281" s="36" t="s">
        <v>2483</v>
      </c>
      <c r="AB281" s="47">
        <v>5730000</v>
      </c>
      <c r="AC281" s="41">
        <v>5730000</v>
      </c>
      <c r="AD281" s="3">
        <v>5397000</v>
      </c>
      <c r="AE281" s="16">
        <f t="shared" si="124"/>
        <v>333000</v>
      </c>
      <c r="AF281" s="16">
        <v>0</v>
      </c>
      <c r="AG281">
        <v>373650</v>
      </c>
      <c r="AI281" s="16">
        <v>779913.29479768779</v>
      </c>
      <c r="AK281" s="16">
        <v>0</v>
      </c>
      <c r="AL281" s="11">
        <f t="shared" si="125"/>
        <v>6883563.2947976878</v>
      </c>
      <c r="AM281" s="16">
        <f t="shared" si="126"/>
        <v>586752</v>
      </c>
      <c r="AN281" s="16">
        <f t="shared" si="127"/>
        <v>229200</v>
      </c>
      <c r="AO281" s="16">
        <f t="shared" si="118"/>
        <v>357552</v>
      </c>
      <c r="AP281" s="16">
        <f t="shared" si="128"/>
        <v>212010</v>
      </c>
      <c r="AQ281" s="16">
        <f t="shared" si="129"/>
        <v>7470315.2947976878</v>
      </c>
      <c r="AR281" s="16">
        <f t="shared" si="146"/>
        <v>448218.91768786125</v>
      </c>
      <c r="AS281" s="16">
        <f t="shared" si="130"/>
        <v>49304.08094566474</v>
      </c>
      <c r="AT281" s="16">
        <f t="shared" si="131"/>
        <v>-8964.3783537572253</v>
      </c>
      <c r="AU281" s="16">
        <f t="shared" si="132"/>
        <v>7909569.8341317922</v>
      </c>
      <c r="AV281" s="16">
        <f t="shared" si="133"/>
        <v>7918534.212485549</v>
      </c>
      <c r="AW281" s="16">
        <f t="shared" si="134"/>
        <v>229200</v>
      </c>
      <c r="AX281" s="16" t="s">
        <v>319</v>
      </c>
      <c r="AZ281" s="17">
        <f t="shared" si="135"/>
        <v>0</v>
      </c>
      <c r="BA281" s="16">
        <f t="shared" si="136"/>
        <v>6654363.2947976878</v>
      </c>
      <c r="BB281" s="16">
        <f t="shared" si="137"/>
        <v>6654363.2947976878</v>
      </c>
      <c r="BC281" s="15">
        <v>0.03</v>
      </c>
      <c r="BD281">
        <v>0.01</v>
      </c>
      <c r="BE281" s="37">
        <f t="shared" si="138"/>
        <v>529452</v>
      </c>
      <c r="BF281" s="38">
        <f t="shared" si="139"/>
        <v>326610</v>
      </c>
      <c r="BG281" s="37">
        <f t="shared" si="119"/>
        <v>269850</v>
      </c>
      <c r="BH281" s="37">
        <f t="shared" si="140"/>
        <v>286500</v>
      </c>
      <c r="BI281">
        <v>269850</v>
      </c>
      <c r="BL281" s="8">
        <f t="shared" si="141"/>
        <v>1153563.2947976878</v>
      </c>
      <c r="BM281" s="7" t="str">
        <f t="shared" si="143"/>
        <v>Terdaftar BPJS Kes &amp; Naker</v>
      </c>
      <c r="BN281" s="11">
        <f t="shared" si="144"/>
        <v>326610</v>
      </c>
      <c r="BO281" s="11">
        <f t="shared" si="145"/>
        <v>260142.00000000003</v>
      </c>
      <c r="BP281" s="9">
        <f t="shared" si="142"/>
        <v>0</v>
      </c>
      <c r="BQ281" t="str">
        <f>_xlfn.XLOOKUP(X281,'[2]NON TETAP'!$H:$H,'[2]NON TETAP'!$I:$I)</f>
        <v>GRAMEDIA ASRI MEDIA</v>
      </c>
    </row>
    <row r="282" spans="1:69" x14ac:dyDescent="0.3">
      <c r="A282" s="2">
        <v>281</v>
      </c>
      <c r="B282" s="4" t="s">
        <v>2482</v>
      </c>
      <c r="C282" s="6" t="s">
        <v>241</v>
      </c>
      <c r="D282" s="6"/>
      <c r="E282" s="6" t="s">
        <v>73</v>
      </c>
      <c r="F282" s="6" t="s">
        <v>73</v>
      </c>
      <c r="G282" s="6"/>
      <c r="H282" s="6"/>
      <c r="I282" s="6"/>
      <c r="J282" s="6"/>
      <c r="K282" s="6">
        <v>800365</v>
      </c>
      <c r="L282" s="6"/>
      <c r="M282" s="6" t="str">
        <f>_xlfn.XLOOKUP(P282,[3]update_data_tk!$C$2:$C$545,[3]update_data_tk!$D$2:$D$545)</f>
        <v>25077450994</v>
      </c>
      <c r="N282" s="46" t="s">
        <v>2481</v>
      </c>
      <c r="O282" s="6">
        <v>1286688554</v>
      </c>
      <c r="P282" s="78" t="s">
        <v>2480</v>
      </c>
      <c r="Q282" s="6">
        <v>10196</v>
      </c>
      <c r="R282" s="6">
        <v>27196</v>
      </c>
      <c r="S282" s="5" t="str">
        <f>VLOOKUP(T282,'[1]Kode Posisi'!$A$3:$B$45,2,)</f>
        <v>Outsourcing Petugas Gudang</v>
      </c>
      <c r="T282" s="36" t="s">
        <v>6</v>
      </c>
      <c r="U282" s="44" t="s">
        <v>46</v>
      </c>
      <c r="V282" s="44" t="s">
        <v>2479</v>
      </c>
      <c r="W282" s="36" t="s">
        <v>2363</v>
      </c>
      <c r="X282" s="36" t="s">
        <v>2363</v>
      </c>
      <c r="Y282" s="36" t="s">
        <v>52</v>
      </c>
      <c r="Z282" s="79" t="s">
        <v>2478</v>
      </c>
      <c r="AA282" s="36" t="s">
        <v>2477</v>
      </c>
      <c r="AB282" s="47">
        <v>5730000</v>
      </c>
      <c r="AC282" s="41">
        <v>5730000</v>
      </c>
      <c r="AD282" s="3">
        <v>5397000</v>
      </c>
      <c r="AE282" s="16">
        <f t="shared" si="124"/>
        <v>333000</v>
      </c>
      <c r="AF282" s="16">
        <v>0</v>
      </c>
      <c r="AG282">
        <v>373650</v>
      </c>
      <c r="AI282" s="16">
        <v>779913.29479768779</v>
      </c>
      <c r="AK282" s="16">
        <v>0</v>
      </c>
      <c r="AL282" s="11">
        <f t="shared" si="125"/>
        <v>6883563.2947976878</v>
      </c>
      <c r="AM282" s="16">
        <f t="shared" si="126"/>
        <v>586752</v>
      </c>
      <c r="AN282" s="16">
        <f t="shared" si="127"/>
        <v>229200</v>
      </c>
      <c r="AO282" s="16">
        <f t="shared" si="118"/>
        <v>357552</v>
      </c>
      <c r="AP282" s="16">
        <f t="shared" si="128"/>
        <v>212010</v>
      </c>
      <c r="AQ282" s="16">
        <f t="shared" si="129"/>
        <v>7470315.2947976878</v>
      </c>
      <c r="AR282" s="16">
        <f t="shared" si="146"/>
        <v>448218.91768786125</v>
      </c>
      <c r="AS282" s="16">
        <f t="shared" si="130"/>
        <v>49304.08094566474</v>
      </c>
      <c r="AT282" s="16">
        <f t="shared" si="131"/>
        <v>-8964.3783537572253</v>
      </c>
      <c r="AU282" s="16">
        <f t="shared" si="132"/>
        <v>7909569.8341317922</v>
      </c>
      <c r="AV282" s="16">
        <f t="shared" si="133"/>
        <v>7918534.212485549</v>
      </c>
      <c r="AW282" s="16">
        <f t="shared" si="134"/>
        <v>229200</v>
      </c>
      <c r="AX282" s="16" t="s">
        <v>235</v>
      </c>
      <c r="AZ282" s="17">
        <f t="shared" si="135"/>
        <v>0</v>
      </c>
      <c r="BA282" s="16">
        <f t="shared" si="136"/>
        <v>6654363.2947976878</v>
      </c>
      <c r="BB282" s="16">
        <f t="shared" si="137"/>
        <v>6654363.2947976878</v>
      </c>
      <c r="BC282" s="15">
        <v>0.03</v>
      </c>
      <c r="BD282">
        <v>0.01</v>
      </c>
      <c r="BE282" s="37">
        <f t="shared" si="138"/>
        <v>529452</v>
      </c>
      <c r="BF282" s="38">
        <f t="shared" si="139"/>
        <v>326610</v>
      </c>
      <c r="BG282" s="37">
        <f t="shared" si="119"/>
        <v>269850</v>
      </c>
      <c r="BH282" s="37">
        <f t="shared" si="140"/>
        <v>286500</v>
      </c>
      <c r="BI282">
        <v>269850</v>
      </c>
      <c r="BL282" s="8">
        <f t="shared" si="141"/>
        <v>1153563.2947976878</v>
      </c>
      <c r="BM282" s="7" t="str">
        <f t="shared" si="143"/>
        <v>Terdaftar BPJS Kes &amp; Naker</v>
      </c>
      <c r="BN282" s="11">
        <f t="shared" si="144"/>
        <v>326610</v>
      </c>
      <c r="BO282" s="11">
        <f t="shared" si="145"/>
        <v>260142.00000000003</v>
      </c>
      <c r="BP282" s="9">
        <f t="shared" si="142"/>
        <v>0</v>
      </c>
      <c r="BQ282" t="str">
        <f>_xlfn.XLOOKUP(X282,'[2]NON TETAP'!$H:$H,'[2]NON TETAP'!$I:$I)</f>
        <v>GRAMEDIA ASRI MEDIA</v>
      </c>
    </row>
    <row r="283" spans="1:69" x14ac:dyDescent="0.3">
      <c r="A283" s="2">
        <v>282</v>
      </c>
      <c r="B283" s="4" t="s">
        <v>2476</v>
      </c>
      <c r="C283" s="6" t="s">
        <v>241</v>
      </c>
      <c r="D283" s="6"/>
      <c r="E283" s="6" t="s">
        <v>73</v>
      </c>
      <c r="F283" s="6" t="s">
        <v>73</v>
      </c>
      <c r="G283" s="6"/>
      <c r="H283" s="6"/>
      <c r="I283" s="6"/>
      <c r="J283" s="6"/>
      <c r="K283" s="6">
        <v>800366</v>
      </c>
      <c r="L283" s="6"/>
      <c r="M283" s="6" t="str">
        <f>_xlfn.XLOOKUP(P283,[3]update_data_tk!$C$2:$C$545,[3]update_data_tk!$D$2:$D$545)</f>
        <v>25077451000</v>
      </c>
      <c r="N283" s="46" t="s">
        <v>2475</v>
      </c>
      <c r="O283" s="6">
        <v>1743013899</v>
      </c>
      <c r="P283" s="78" t="s">
        <v>2474</v>
      </c>
      <c r="Q283" s="6">
        <v>10196</v>
      </c>
      <c r="R283" s="6">
        <v>27196</v>
      </c>
      <c r="S283" s="5" t="str">
        <f>VLOOKUP(T283,'[1]Kode Posisi'!$A$3:$B$45,2,)</f>
        <v>Outsourcing Petugas Gudang</v>
      </c>
      <c r="T283" s="36" t="s">
        <v>6</v>
      </c>
      <c r="U283" s="44" t="s">
        <v>46</v>
      </c>
      <c r="V283" s="44" t="s">
        <v>2473</v>
      </c>
      <c r="W283" s="36" t="s">
        <v>2363</v>
      </c>
      <c r="X283" s="36" t="s">
        <v>2363</v>
      </c>
      <c r="Y283" s="36" t="s">
        <v>52</v>
      </c>
      <c r="Z283" s="79">
        <v>6910431259</v>
      </c>
      <c r="AA283" s="36" t="s">
        <v>2472</v>
      </c>
      <c r="AB283" s="47">
        <v>5730000</v>
      </c>
      <c r="AC283" s="41">
        <v>5730000</v>
      </c>
      <c r="AD283" s="3">
        <v>5397000</v>
      </c>
      <c r="AE283" s="16">
        <f t="shared" si="124"/>
        <v>333000</v>
      </c>
      <c r="AF283" s="16">
        <v>0</v>
      </c>
      <c r="AG283" s="17">
        <v>0</v>
      </c>
      <c r="AI283" s="16">
        <v>358760.11560693639</v>
      </c>
      <c r="AK283" s="16">
        <v>0</v>
      </c>
      <c r="AL283" s="11">
        <f t="shared" si="125"/>
        <v>6088760.1156069366</v>
      </c>
      <c r="AM283" s="16">
        <f t="shared" si="126"/>
        <v>586752</v>
      </c>
      <c r="AN283" s="16">
        <f t="shared" si="127"/>
        <v>229200</v>
      </c>
      <c r="AO283" s="16">
        <f t="shared" si="118"/>
        <v>357552</v>
      </c>
      <c r="AP283" s="16">
        <f t="shared" si="128"/>
        <v>212010</v>
      </c>
      <c r="AQ283" s="16">
        <f t="shared" si="129"/>
        <v>6675512.1156069366</v>
      </c>
      <c r="AR283" s="16">
        <f t="shared" si="146"/>
        <v>400530.72693641618</v>
      </c>
      <c r="AS283" s="16">
        <f t="shared" si="130"/>
        <v>44058.379963005777</v>
      </c>
      <c r="AT283" s="16">
        <f t="shared" si="131"/>
        <v>-8010.6145387283241</v>
      </c>
      <c r="AU283" s="16">
        <f t="shared" si="132"/>
        <v>7068032.2280046241</v>
      </c>
      <c r="AV283" s="16">
        <f t="shared" si="133"/>
        <v>7076042.8425433524</v>
      </c>
      <c r="AW283" s="16">
        <f t="shared" si="134"/>
        <v>229200</v>
      </c>
      <c r="AX283" s="16" t="s">
        <v>286</v>
      </c>
      <c r="AZ283" s="17">
        <f t="shared" si="135"/>
        <v>0</v>
      </c>
      <c r="BA283" s="16">
        <f t="shared" si="136"/>
        <v>5859560.1156069366</v>
      </c>
      <c r="BB283" s="16">
        <f t="shared" si="137"/>
        <v>5859560.1156069366</v>
      </c>
      <c r="BC283" s="15">
        <v>0.03</v>
      </c>
      <c r="BD283">
        <v>0.01</v>
      </c>
      <c r="BE283" s="37">
        <f t="shared" si="138"/>
        <v>529452</v>
      </c>
      <c r="BF283" s="38">
        <f t="shared" si="139"/>
        <v>326610</v>
      </c>
      <c r="BG283" s="37">
        <f t="shared" si="119"/>
        <v>269850</v>
      </c>
      <c r="BH283" s="37">
        <f t="shared" si="140"/>
        <v>286500</v>
      </c>
      <c r="BI283">
        <v>269850</v>
      </c>
      <c r="BL283" s="8">
        <f t="shared" si="141"/>
        <v>358760.11560693639</v>
      </c>
      <c r="BM283" s="7" t="str">
        <f t="shared" si="143"/>
        <v>Terdaftar BPJS Kes &amp; Naker</v>
      </c>
      <c r="BN283" s="11">
        <f t="shared" si="144"/>
        <v>326610</v>
      </c>
      <c r="BO283" s="11">
        <f t="shared" si="145"/>
        <v>260142.00000000003</v>
      </c>
      <c r="BP283" s="9">
        <f t="shared" si="142"/>
        <v>0</v>
      </c>
      <c r="BQ283" t="str">
        <f>_xlfn.XLOOKUP(X283,'[2]NON TETAP'!$H:$H,'[2]NON TETAP'!$I:$I)</f>
        <v>GRAMEDIA ASRI MEDIA</v>
      </c>
    </row>
    <row r="284" spans="1:69" x14ac:dyDescent="0.3">
      <c r="A284" s="2">
        <v>283</v>
      </c>
      <c r="B284" s="4" t="s">
        <v>2471</v>
      </c>
      <c r="C284" s="6" t="s">
        <v>241</v>
      </c>
      <c r="D284" s="6"/>
      <c r="E284" s="6" t="s">
        <v>73</v>
      </c>
      <c r="F284" s="6" t="s">
        <v>73</v>
      </c>
      <c r="G284" s="6"/>
      <c r="H284" s="6"/>
      <c r="I284" s="6"/>
      <c r="J284" s="6"/>
      <c r="K284" s="6">
        <v>800367</v>
      </c>
      <c r="L284" s="6"/>
      <c r="M284" s="6" t="str">
        <f>_xlfn.XLOOKUP(P284,[3]update_data_tk!$C$2:$C$545,[3]update_data_tk!$D$2:$D$545)</f>
        <v>25077451018</v>
      </c>
      <c r="N284" s="46" t="s">
        <v>2470</v>
      </c>
      <c r="O284" s="6">
        <v>2222210733</v>
      </c>
      <c r="P284" s="78" t="s">
        <v>2469</v>
      </c>
      <c r="Q284" s="6">
        <v>10196</v>
      </c>
      <c r="R284" s="6">
        <v>27196</v>
      </c>
      <c r="S284" s="5" t="str">
        <f>VLOOKUP(T284,'[1]Kode Posisi'!$A$3:$B$45,2,)</f>
        <v>Outsourcing Petugas Gudang</v>
      </c>
      <c r="T284" s="36" t="s">
        <v>2416</v>
      </c>
      <c r="U284" s="44" t="s">
        <v>46</v>
      </c>
      <c r="V284" s="44" t="s">
        <v>2468</v>
      </c>
      <c r="W284" s="36" t="s">
        <v>2363</v>
      </c>
      <c r="X284" s="36" t="s">
        <v>2363</v>
      </c>
      <c r="Y284" s="36" t="s">
        <v>52</v>
      </c>
      <c r="Z284" s="79">
        <v>3420489667</v>
      </c>
      <c r="AA284" s="36" t="s">
        <v>2467</v>
      </c>
      <c r="AB284" s="47">
        <v>5730000</v>
      </c>
      <c r="AC284" s="41">
        <v>5730000</v>
      </c>
      <c r="AD284" s="3">
        <v>5397000</v>
      </c>
      <c r="AE284" s="16">
        <f t="shared" si="124"/>
        <v>333000</v>
      </c>
      <c r="AF284" s="16">
        <v>0</v>
      </c>
      <c r="AG284" s="17">
        <v>0</v>
      </c>
      <c r="AI284" s="16">
        <v>155982.65895953757</v>
      </c>
      <c r="AK284" s="16">
        <v>0</v>
      </c>
      <c r="AL284" s="11">
        <f t="shared" si="125"/>
        <v>5885982.6589595377</v>
      </c>
      <c r="AM284" s="16">
        <f t="shared" si="126"/>
        <v>586752</v>
      </c>
      <c r="AN284" s="16">
        <f t="shared" si="127"/>
        <v>229200</v>
      </c>
      <c r="AO284" s="16">
        <f t="shared" si="118"/>
        <v>357552</v>
      </c>
      <c r="AP284" s="16">
        <f t="shared" si="128"/>
        <v>212010</v>
      </c>
      <c r="AQ284" s="16">
        <f t="shared" si="129"/>
        <v>6472734.6589595377</v>
      </c>
      <c r="AR284" s="16">
        <f t="shared" si="146"/>
        <v>388364.07953757222</v>
      </c>
      <c r="AS284" s="16">
        <f t="shared" si="130"/>
        <v>42720.048749132948</v>
      </c>
      <c r="AT284" s="16">
        <f t="shared" si="131"/>
        <v>-7767.281590751445</v>
      </c>
      <c r="AU284" s="16">
        <f t="shared" si="132"/>
        <v>6853331.4569063587</v>
      </c>
      <c r="AV284" s="16">
        <f t="shared" si="133"/>
        <v>6861098.7384971101</v>
      </c>
      <c r="AW284" s="16">
        <f t="shared" si="134"/>
        <v>229200</v>
      </c>
      <c r="AX284" s="16" t="s">
        <v>319</v>
      </c>
      <c r="AZ284" s="17">
        <f t="shared" si="135"/>
        <v>0</v>
      </c>
      <c r="BA284" s="16">
        <f t="shared" si="136"/>
        <v>5656782.6589595377</v>
      </c>
      <c r="BB284" s="16">
        <f t="shared" si="137"/>
        <v>5656782.6589595377</v>
      </c>
      <c r="BC284" s="15">
        <v>0.03</v>
      </c>
      <c r="BD284">
        <v>0.01</v>
      </c>
      <c r="BE284" s="37">
        <f t="shared" si="138"/>
        <v>529452</v>
      </c>
      <c r="BF284" s="38">
        <f t="shared" si="139"/>
        <v>326610</v>
      </c>
      <c r="BG284" s="37">
        <f t="shared" si="119"/>
        <v>269850</v>
      </c>
      <c r="BH284" s="37">
        <f t="shared" si="140"/>
        <v>286500</v>
      </c>
      <c r="BI284">
        <v>269850</v>
      </c>
      <c r="BL284" s="8">
        <f t="shared" si="141"/>
        <v>155982.65895953757</v>
      </c>
      <c r="BM284" s="7" t="str">
        <f t="shared" si="143"/>
        <v>Terdaftar BPJS Kes &amp; Naker</v>
      </c>
      <c r="BN284" s="11">
        <f t="shared" si="144"/>
        <v>326610</v>
      </c>
      <c r="BO284" s="11">
        <f t="shared" si="145"/>
        <v>260142.00000000003</v>
      </c>
      <c r="BP284" s="9">
        <f t="shared" si="142"/>
        <v>0</v>
      </c>
      <c r="BQ284" t="str">
        <f>_xlfn.XLOOKUP(X284,'[2]NON TETAP'!$H:$H,'[2]NON TETAP'!$I:$I)</f>
        <v>GRAMEDIA ASRI MEDIA</v>
      </c>
    </row>
    <row r="285" spans="1:69" x14ac:dyDescent="0.3">
      <c r="A285" s="2">
        <v>284</v>
      </c>
      <c r="B285" s="4" t="s">
        <v>2463</v>
      </c>
      <c r="C285" s="6" t="s">
        <v>241</v>
      </c>
      <c r="D285" s="6"/>
      <c r="E285" s="6" t="s">
        <v>73</v>
      </c>
      <c r="F285" s="6" t="s">
        <v>73</v>
      </c>
      <c r="G285" s="6"/>
      <c r="H285" s="6"/>
      <c r="I285" s="6"/>
      <c r="J285" s="6"/>
      <c r="K285" s="6">
        <v>800368</v>
      </c>
      <c r="L285" s="6"/>
      <c r="M285" s="6" t="str">
        <f>_xlfn.XLOOKUP(P285,[3]update_data_tk!$C$2:$C$545,[3]update_data_tk!$D$2:$D$545)</f>
        <v>25077451034</v>
      </c>
      <c r="N285" s="46" t="s">
        <v>2466</v>
      </c>
      <c r="O285" s="6">
        <v>1211091895</v>
      </c>
      <c r="P285" s="78" t="s">
        <v>2465</v>
      </c>
      <c r="Q285" s="6">
        <v>10196</v>
      </c>
      <c r="R285" s="6">
        <v>27196</v>
      </c>
      <c r="S285" s="5" t="str">
        <f>VLOOKUP(T285,'[1]Kode Posisi'!$A$3:$B$45,2,)</f>
        <v>Outsourcing Petugas Gudang</v>
      </c>
      <c r="T285" s="36" t="s">
        <v>6</v>
      </c>
      <c r="U285" s="44" t="s">
        <v>46</v>
      </c>
      <c r="V285" s="44" t="s">
        <v>2464</v>
      </c>
      <c r="W285" s="36" t="s">
        <v>2363</v>
      </c>
      <c r="X285" s="36" t="s">
        <v>2363</v>
      </c>
      <c r="Y285" s="36" t="s">
        <v>52</v>
      </c>
      <c r="Z285" s="79">
        <v>1280382121</v>
      </c>
      <c r="AA285" s="36" t="s">
        <v>2463</v>
      </c>
      <c r="AB285" s="47">
        <v>5730000</v>
      </c>
      <c r="AC285" s="41">
        <v>5730000</v>
      </c>
      <c r="AD285" s="3">
        <v>5397000</v>
      </c>
      <c r="AE285" s="16">
        <f t="shared" si="124"/>
        <v>333000</v>
      </c>
      <c r="AF285" s="16">
        <v>0</v>
      </c>
      <c r="AG285" s="17">
        <v>0</v>
      </c>
      <c r="AI285" s="16">
        <v>592734.10404624278</v>
      </c>
      <c r="AK285" s="16">
        <v>0</v>
      </c>
      <c r="AL285" s="11">
        <f t="shared" si="125"/>
        <v>6322734.1040462423</v>
      </c>
      <c r="AM285" s="16">
        <f t="shared" si="126"/>
        <v>586752</v>
      </c>
      <c r="AN285" s="16">
        <f t="shared" si="127"/>
        <v>229200</v>
      </c>
      <c r="AO285" s="16">
        <f t="shared" si="118"/>
        <v>357552</v>
      </c>
      <c r="AP285" s="16">
        <f t="shared" si="128"/>
        <v>212010</v>
      </c>
      <c r="AQ285" s="16">
        <f t="shared" si="129"/>
        <v>6909486.1040462423</v>
      </c>
      <c r="AR285" s="16">
        <f t="shared" si="146"/>
        <v>414569.16624277452</v>
      </c>
      <c r="AS285" s="16">
        <f t="shared" si="130"/>
        <v>45602.608286705195</v>
      </c>
      <c r="AT285" s="16">
        <f t="shared" si="131"/>
        <v>-8291.3833248554911</v>
      </c>
      <c r="AU285" s="16">
        <f t="shared" si="132"/>
        <v>7315763.8869641609</v>
      </c>
      <c r="AV285" s="16">
        <f t="shared" si="133"/>
        <v>7324055.2702890169</v>
      </c>
      <c r="AW285" s="16">
        <f t="shared" si="134"/>
        <v>229200</v>
      </c>
      <c r="AX285" s="16" t="s">
        <v>91</v>
      </c>
      <c r="AZ285" s="17">
        <f t="shared" si="135"/>
        <v>0</v>
      </c>
      <c r="BA285" s="16">
        <f t="shared" si="136"/>
        <v>6093534.1040462423</v>
      </c>
      <c r="BB285" s="16">
        <f t="shared" si="137"/>
        <v>6093534.1040462423</v>
      </c>
      <c r="BC285" s="15">
        <v>0.03</v>
      </c>
      <c r="BD285">
        <v>0.01</v>
      </c>
      <c r="BE285" s="37">
        <f t="shared" si="138"/>
        <v>529452</v>
      </c>
      <c r="BF285" s="38">
        <f t="shared" si="139"/>
        <v>326610</v>
      </c>
      <c r="BG285" s="37">
        <f t="shared" si="119"/>
        <v>269850</v>
      </c>
      <c r="BH285" s="37">
        <f t="shared" si="140"/>
        <v>286500</v>
      </c>
      <c r="BI285">
        <v>269850</v>
      </c>
      <c r="BL285" s="8">
        <f t="shared" si="141"/>
        <v>592734.10404624278</v>
      </c>
      <c r="BM285" s="7" t="str">
        <f t="shared" si="143"/>
        <v>Terdaftar BPJS Kes &amp; Naker</v>
      </c>
      <c r="BN285" s="11">
        <f t="shared" si="144"/>
        <v>326610</v>
      </c>
      <c r="BO285" s="11">
        <f t="shared" si="145"/>
        <v>260142.00000000003</v>
      </c>
      <c r="BP285" s="9">
        <f t="shared" si="142"/>
        <v>0</v>
      </c>
      <c r="BQ285" t="str">
        <f>_xlfn.XLOOKUP(X285,'[2]NON TETAP'!$H:$H,'[2]NON TETAP'!$I:$I)</f>
        <v>GRAMEDIA ASRI MEDIA</v>
      </c>
    </row>
    <row r="286" spans="1:69" x14ac:dyDescent="0.3">
      <c r="A286" s="2">
        <v>285</v>
      </c>
      <c r="B286" s="4" t="s">
        <v>2459</v>
      </c>
      <c r="C286" s="6" t="s">
        <v>241</v>
      </c>
      <c r="D286" s="6"/>
      <c r="E286" s="6" t="s">
        <v>73</v>
      </c>
      <c r="F286" s="6" t="s">
        <v>73</v>
      </c>
      <c r="G286" s="6"/>
      <c r="H286" s="6"/>
      <c r="I286" s="6"/>
      <c r="J286" s="6"/>
      <c r="K286" s="6">
        <v>800369</v>
      </c>
      <c r="L286" s="6"/>
      <c r="M286" s="6" t="str">
        <f>_xlfn.XLOOKUP(P286,[3]update_data_tk!$C$2:$C$545,[3]update_data_tk!$D$2:$D$545)</f>
        <v>25077451042</v>
      </c>
      <c r="N286" s="46" t="s">
        <v>2462</v>
      </c>
      <c r="O286" s="6">
        <v>1602562645</v>
      </c>
      <c r="P286" s="78" t="s">
        <v>2461</v>
      </c>
      <c r="Q286" s="6">
        <v>10196</v>
      </c>
      <c r="R286" s="6">
        <v>27196</v>
      </c>
      <c r="S286" s="5" t="str">
        <f>VLOOKUP(T286,'[1]Kode Posisi'!$A$3:$B$45,2,)</f>
        <v>Outsourcing Petugas Gudang</v>
      </c>
      <c r="T286" s="36" t="s">
        <v>2416</v>
      </c>
      <c r="U286" s="44" t="s">
        <v>46</v>
      </c>
      <c r="V286" s="44" t="s">
        <v>2460</v>
      </c>
      <c r="W286" s="36" t="s">
        <v>2363</v>
      </c>
      <c r="X286" s="36" t="s">
        <v>2363</v>
      </c>
      <c r="Y286" s="36" t="s">
        <v>52</v>
      </c>
      <c r="Z286" s="79">
        <v>6910381111</v>
      </c>
      <c r="AA286" s="36" t="s">
        <v>2459</v>
      </c>
      <c r="AB286" s="47">
        <v>5730000</v>
      </c>
      <c r="AC286" s="41">
        <v>5730000</v>
      </c>
      <c r="AD286" s="3">
        <v>5397000</v>
      </c>
      <c r="AE286" s="16">
        <f t="shared" si="124"/>
        <v>333000</v>
      </c>
      <c r="AF286" s="16">
        <v>0</v>
      </c>
      <c r="AG286" s="17">
        <v>0</v>
      </c>
      <c r="AI286" s="16">
        <v>374358.38150289014</v>
      </c>
      <c r="AK286" s="16">
        <v>0</v>
      </c>
      <c r="AL286" s="11">
        <f t="shared" si="125"/>
        <v>6104358.38150289</v>
      </c>
      <c r="AM286" s="16">
        <f t="shared" si="126"/>
        <v>586752</v>
      </c>
      <c r="AN286" s="16">
        <f t="shared" si="127"/>
        <v>229200</v>
      </c>
      <c r="AO286" s="16">
        <f t="shared" si="118"/>
        <v>357552</v>
      </c>
      <c r="AP286" s="16">
        <f t="shared" si="128"/>
        <v>212010</v>
      </c>
      <c r="AQ286" s="16">
        <f t="shared" si="129"/>
        <v>6691110.38150289</v>
      </c>
      <c r="AR286" s="16">
        <f t="shared" si="146"/>
        <v>401466.6228901734</v>
      </c>
      <c r="AS286" s="16">
        <f t="shared" si="130"/>
        <v>44161.328517919072</v>
      </c>
      <c r="AT286" s="16">
        <f t="shared" si="131"/>
        <v>-8029.3324578034681</v>
      </c>
      <c r="AU286" s="16">
        <f t="shared" si="132"/>
        <v>7084547.6719352603</v>
      </c>
      <c r="AV286" s="16">
        <f t="shared" si="133"/>
        <v>7092577.0043930635</v>
      </c>
      <c r="AW286" s="16">
        <f t="shared" si="134"/>
        <v>229200</v>
      </c>
      <c r="AX286" s="16" t="s">
        <v>235</v>
      </c>
      <c r="AZ286" s="17">
        <f t="shared" si="135"/>
        <v>0</v>
      </c>
      <c r="BA286" s="16">
        <f t="shared" si="136"/>
        <v>5875158.38150289</v>
      </c>
      <c r="BB286" s="16">
        <f t="shared" si="137"/>
        <v>5875158.38150289</v>
      </c>
      <c r="BC286" s="15">
        <v>0.03</v>
      </c>
      <c r="BD286">
        <v>0.01</v>
      </c>
      <c r="BE286" s="37">
        <f t="shared" si="138"/>
        <v>529452</v>
      </c>
      <c r="BF286" s="38">
        <f t="shared" si="139"/>
        <v>326610</v>
      </c>
      <c r="BG286" s="37">
        <f t="shared" si="119"/>
        <v>269850</v>
      </c>
      <c r="BH286" s="37">
        <f t="shared" si="140"/>
        <v>286500</v>
      </c>
      <c r="BI286">
        <v>269850</v>
      </c>
      <c r="BL286" s="8">
        <f t="shared" si="141"/>
        <v>374358.38150289014</v>
      </c>
      <c r="BM286" s="7" t="str">
        <f t="shared" si="143"/>
        <v>Terdaftar BPJS Kes &amp; Naker</v>
      </c>
      <c r="BN286" s="11">
        <f t="shared" si="144"/>
        <v>326610</v>
      </c>
      <c r="BO286" s="11">
        <f t="shared" si="145"/>
        <v>260142.00000000003</v>
      </c>
      <c r="BP286" s="9">
        <f t="shared" si="142"/>
        <v>0</v>
      </c>
      <c r="BQ286" t="str">
        <f>_xlfn.XLOOKUP(X286,'[2]NON TETAP'!$H:$H,'[2]NON TETAP'!$I:$I)</f>
        <v>GRAMEDIA ASRI MEDIA</v>
      </c>
    </row>
    <row r="287" spans="1:69" x14ac:dyDescent="0.3">
      <c r="A287" s="2">
        <v>286</v>
      </c>
      <c r="B287" s="4" t="s">
        <v>2458</v>
      </c>
      <c r="C287" s="6" t="s">
        <v>241</v>
      </c>
      <c r="D287" s="6"/>
      <c r="E287" s="6" t="s">
        <v>73</v>
      </c>
      <c r="F287" s="6" t="s">
        <v>73</v>
      </c>
      <c r="G287" s="6"/>
      <c r="H287" s="6"/>
      <c r="I287" s="6"/>
      <c r="J287" s="6"/>
      <c r="K287" s="6">
        <v>800370</v>
      </c>
      <c r="L287" s="6"/>
      <c r="M287" s="6" t="str">
        <f>_xlfn.XLOOKUP(P287,[3]update_data_tk!$C$2:$C$545,[3]update_data_tk!$D$2:$D$545)</f>
        <v>25077451059</v>
      </c>
      <c r="N287" s="46" t="s">
        <v>2457</v>
      </c>
      <c r="O287" s="6">
        <v>1219274965</v>
      </c>
      <c r="P287" s="78" t="s">
        <v>2456</v>
      </c>
      <c r="Q287" s="6">
        <v>10196</v>
      </c>
      <c r="R287" s="6">
        <v>27196</v>
      </c>
      <c r="S287" s="5" t="str">
        <f>VLOOKUP(T287,'[1]Kode Posisi'!$A$3:$B$45,2,)</f>
        <v>Outsourcing Petugas Gudang</v>
      </c>
      <c r="T287" s="36" t="s">
        <v>2392</v>
      </c>
      <c r="U287" s="44" t="s">
        <v>46</v>
      </c>
      <c r="V287" s="44" t="s">
        <v>2455</v>
      </c>
      <c r="W287" s="36" t="s">
        <v>2363</v>
      </c>
      <c r="X287" s="36" t="s">
        <v>2363</v>
      </c>
      <c r="Y287" s="36" t="s">
        <v>52</v>
      </c>
      <c r="Z287" s="79">
        <v>3420489284</v>
      </c>
      <c r="AA287" s="36" t="s">
        <v>2454</v>
      </c>
      <c r="AB287" s="47">
        <v>5730000</v>
      </c>
      <c r="AC287" s="41">
        <v>5730000</v>
      </c>
      <c r="AD287" s="3">
        <v>5397000</v>
      </c>
      <c r="AE287" s="16">
        <f t="shared" si="124"/>
        <v>333000</v>
      </c>
      <c r="AF287" s="16">
        <v>0</v>
      </c>
      <c r="AG287" s="17">
        <v>0</v>
      </c>
      <c r="AI287" s="16">
        <v>592734.10404624278</v>
      </c>
      <c r="AK287" s="16">
        <v>0</v>
      </c>
      <c r="AL287" s="11">
        <f t="shared" si="125"/>
        <v>6322734.1040462423</v>
      </c>
      <c r="AM287" s="16">
        <f t="shared" si="126"/>
        <v>586752</v>
      </c>
      <c r="AN287" s="16">
        <f t="shared" si="127"/>
        <v>229200</v>
      </c>
      <c r="AO287" s="16">
        <f t="shared" si="118"/>
        <v>357552</v>
      </c>
      <c r="AP287" s="16">
        <f t="shared" si="128"/>
        <v>212010</v>
      </c>
      <c r="AQ287" s="16">
        <f t="shared" si="129"/>
        <v>6909486.1040462423</v>
      </c>
      <c r="AR287" s="16">
        <f t="shared" si="146"/>
        <v>414569.16624277452</v>
      </c>
      <c r="AS287" s="16">
        <f t="shared" si="130"/>
        <v>45602.608286705195</v>
      </c>
      <c r="AT287" s="16">
        <f t="shared" si="131"/>
        <v>-8291.3833248554911</v>
      </c>
      <c r="AU287" s="16">
        <f t="shared" si="132"/>
        <v>7315763.8869641609</v>
      </c>
      <c r="AV287" s="16">
        <f t="shared" si="133"/>
        <v>7324055.2702890169</v>
      </c>
      <c r="AW287" s="16">
        <f t="shared" si="134"/>
        <v>229200</v>
      </c>
      <c r="AX287" s="16" t="s">
        <v>235</v>
      </c>
      <c r="AZ287" s="17">
        <f t="shared" si="135"/>
        <v>0</v>
      </c>
      <c r="BA287" s="16">
        <f t="shared" si="136"/>
        <v>6093534.1040462423</v>
      </c>
      <c r="BB287" s="16">
        <f t="shared" si="137"/>
        <v>6093534.1040462423</v>
      </c>
      <c r="BC287" s="15">
        <v>0.03</v>
      </c>
      <c r="BD287">
        <v>0.01</v>
      </c>
      <c r="BE287" s="37">
        <f t="shared" si="138"/>
        <v>529452</v>
      </c>
      <c r="BF287" s="38">
        <f t="shared" si="139"/>
        <v>326610</v>
      </c>
      <c r="BG287" s="37">
        <f t="shared" si="119"/>
        <v>269850</v>
      </c>
      <c r="BH287" s="37">
        <f t="shared" si="140"/>
        <v>286500</v>
      </c>
      <c r="BI287">
        <v>269850</v>
      </c>
      <c r="BL287" s="8">
        <f t="shared" si="141"/>
        <v>592734.10404624278</v>
      </c>
      <c r="BM287" s="7" t="str">
        <f t="shared" si="143"/>
        <v>Terdaftar BPJS Kes &amp; Naker</v>
      </c>
      <c r="BN287" s="11">
        <f t="shared" si="144"/>
        <v>326610</v>
      </c>
      <c r="BO287" s="11">
        <f t="shared" si="145"/>
        <v>260142.00000000003</v>
      </c>
      <c r="BP287" s="9">
        <f t="shared" si="142"/>
        <v>0</v>
      </c>
      <c r="BQ287" t="str">
        <f>_xlfn.XLOOKUP(X287,'[2]NON TETAP'!$H:$H,'[2]NON TETAP'!$I:$I)</f>
        <v>GRAMEDIA ASRI MEDIA</v>
      </c>
    </row>
    <row r="288" spans="1:69" x14ac:dyDescent="0.3">
      <c r="A288" s="2">
        <v>287</v>
      </c>
      <c r="B288" s="4" t="s">
        <v>2453</v>
      </c>
      <c r="C288" s="6" t="s">
        <v>241</v>
      </c>
      <c r="D288" s="6"/>
      <c r="E288" s="6" t="s">
        <v>73</v>
      </c>
      <c r="F288" s="6" t="s">
        <v>73</v>
      </c>
      <c r="G288" s="6"/>
      <c r="H288" s="6"/>
      <c r="I288" s="6"/>
      <c r="J288" s="6"/>
      <c r="K288" s="6">
        <v>800371</v>
      </c>
      <c r="L288" s="6"/>
      <c r="M288" s="6" t="str">
        <f>_xlfn.XLOOKUP(P288,[3]update_data_tk!$C$2:$C$545,[3]update_data_tk!$D$2:$D$545)</f>
        <v>25051199500</v>
      </c>
      <c r="N288" s="46" t="s">
        <v>2452</v>
      </c>
      <c r="O288" s="6">
        <v>372585947</v>
      </c>
      <c r="P288" s="78" t="s">
        <v>2451</v>
      </c>
      <c r="Q288" s="6">
        <v>10196</v>
      </c>
      <c r="R288" s="6">
        <v>27196</v>
      </c>
      <c r="S288" s="5" t="str">
        <f>VLOOKUP(T288,'[1]Kode Posisi'!$A$3:$B$45,2,)</f>
        <v>Outsourcing Penjualan</v>
      </c>
      <c r="T288" s="36" t="s">
        <v>2403</v>
      </c>
      <c r="U288" s="44" t="s">
        <v>46</v>
      </c>
      <c r="V288" s="44" t="s">
        <v>2450</v>
      </c>
      <c r="W288" s="36" t="s">
        <v>2363</v>
      </c>
      <c r="X288" s="36" t="s">
        <v>2363</v>
      </c>
      <c r="Y288" s="36" t="s">
        <v>52</v>
      </c>
      <c r="Z288" s="79">
        <v>3690158956</v>
      </c>
      <c r="AA288" s="36" t="s">
        <v>2449</v>
      </c>
      <c r="AB288" s="47">
        <v>5730000</v>
      </c>
      <c r="AC288" s="41">
        <v>5730000</v>
      </c>
      <c r="AD288" s="3">
        <v>5397000</v>
      </c>
      <c r="AE288" s="16">
        <f t="shared" si="124"/>
        <v>333000</v>
      </c>
      <c r="AF288" s="16">
        <v>0</v>
      </c>
      <c r="AG288" s="17">
        <v>0</v>
      </c>
      <c r="AI288" s="16">
        <v>0</v>
      </c>
      <c r="AK288" s="16">
        <v>0</v>
      </c>
      <c r="AL288" s="11">
        <f t="shared" si="125"/>
        <v>5730000</v>
      </c>
      <c r="AM288" s="16">
        <f t="shared" si="126"/>
        <v>586752</v>
      </c>
      <c r="AN288" s="16">
        <f t="shared" si="127"/>
        <v>229200</v>
      </c>
      <c r="AO288" s="16">
        <f t="shared" si="118"/>
        <v>357552</v>
      </c>
      <c r="AP288" s="16">
        <f t="shared" si="128"/>
        <v>212010</v>
      </c>
      <c r="AQ288" s="16">
        <f t="shared" si="129"/>
        <v>6316752</v>
      </c>
      <c r="AR288" s="16">
        <f t="shared" si="146"/>
        <v>379005.12</v>
      </c>
      <c r="AS288" s="16">
        <f t="shared" si="130"/>
        <v>41690.563199999997</v>
      </c>
      <c r="AT288" s="16">
        <f t="shared" si="131"/>
        <v>-7580.1023999999998</v>
      </c>
      <c r="AU288" s="16">
        <f t="shared" si="132"/>
        <v>6688177.0175999999</v>
      </c>
      <c r="AV288" s="16">
        <f t="shared" si="133"/>
        <v>6695757.1200000001</v>
      </c>
      <c r="AW288" s="16">
        <f t="shared" si="134"/>
        <v>229200</v>
      </c>
      <c r="AX288" s="16" t="s">
        <v>235</v>
      </c>
      <c r="AZ288" s="17">
        <f t="shared" si="135"/>
        <v>0</v>
      </c>
      <c r="BA288" s="16">
        <f t="shared" si="136"/>
        <v>5500800</v>
      </c>
      <c r="BB288" s="16">
        <f t="shared" si="137"/>
        <v>5500800</v>
      </c>
      <c r="BC288">
        <v>0.03</v>
      </c>
      <c r="BD288">
        <v>0.01</v>
      </c>
      <c r="BE288" s="37">
        <f t="shared" si="138"/>
        <v>529452</v>
      </c>
      <c r="BF288" s="38">
        <f t="shared" si="139"/>
        <v>326610</v>
      </c>
      <c r="BG288" s="37">
        <f t="shared" si="119"/>
        <v>269850</v>
      </c>
      <c r="BH288" s="37">
        <f t="shared" si="140"/>
        <v>286500</v>
      </c>
      <c r="BI288">
        <v>269850</v>
      </c>
      <c r="BL288" s="8">
        <f t="shared" si="141"/>
        <v>0</v>
      </c>
      <c r="BM288" s="7" t="str">
        <f t="shared" si="143"/>
        <v>Terdaftar BPJS Kes &amp; Naker</v>
      </c>
      <c r="BN288" s="11">
        <f t="shared" si="144"/>
        <v>326610</v>
      </c>
      <c r="BO288" s="11">
        <f t="shared" si="145"/>
        <v>260142.00000000003</v>
      </c>
      <c r="BP288" s="9">
        <f t="shared" si="142"/>
        <v>0</v>
      </c>
      <c r="BQ288" t="str">
        <f>_xlfn.XLOOKUP(X288,'[2]NON TETAP'!$H:$H,'[2]NON TETAP'!$I:$I)</f>
        <v>GRAMEDIA ASRI MEDIA</v>
      </c>
    </row>
    <row r="289" spans="1:69" x14ac:dyDescent="0.3">
      <c r="A289" s="2">
        <v>288</v>
      </c>
      <c r="B289" s="4" t="s">
        <v>2448</v>
      </c>
      <c r="C289" s="6" t="s">
        <v>241</v>
      </c>
      <c r="D289" s="6"/>
      <c r="E289" s="6" t="s">
        <v>73</v>
      </c>
      <c r="F289" s="6" t="s">
        <v>73</v>
      </c>
      <c r="G289" s="6"/>
      <c r="H289" s="6"/>
      <c r="I289" s="6"/>
      <c r="J289" s="6"/>
      <c r="K289" s="6">
        <v>800372</v>
      </c>
      <c r="L289" s="6"/>
      <c r="M289" s="6" t="str">
        <f>_xlfn.XLOOKUP(P289,[3]update_data_tk!$C$2:$C$545,[3]update_data_tk!$D$2:$D$545)</f>
        <v>25077450820</v>
      </c>
      <c r="N289" s="46" t="s">
        <v>2447</v>
      </c>
      <c r="O289" s="6">
        <v>1439007412</v>
      </c>
      <c r="P289" s="78" t="s">
        <v>2446</v>
      </c>
      <c r="Q289" s="6">
        <v>10196</v>
      </c>
      <c r="R289" s="6">
        <v>27196</v>
      </c>
      <c r="S289" s="5" t="str">
        <f>VLOOKUP(T289,'[1]Kode Posisi'!$A$3:$B$45,2,)</f>
        <v>Outsourcing Petugas Gudang</v>
      </c>
      <c r="T289" s="36" t="s">
        <v>2392</v>
      </c>
      <c r="U289" s="44" t="s">
        <v>46</v>
      </c>
      <c r="V289" s="44" t="s">
        <v>2445</v>
      </c>
      <c r="W289" s="36" t="s">
        <v>2363</v>
      </c>
      <c r="X289" s="36" t="s">
        <v>2363</v>
      </c>
      <c r="Y289" s="36" t="s">
        <v>63</v>
      </c>
      <c r="Z289" s="79" t="s">
        <v>2444</v>
      </c>
      <c r="AA289" s="36" t="s">
        <v>2443</v>
      </c>
      <c r="AB289" s="47">
        <v>5730000</v>
      </c>
      <c r="AC289" s="41">
        <v>5730000</v>
      </c>
      <c r="AD289" s="3">
        <v>5397000</v>
      </c>
      <c r="AE289" s="16">
        <f t="shared" si="124"/>
        <v>333000</v>
      </c>
      <c r="AF289" s="16">
        <v>0</v>
      </c>
      <c r="AG289" s="17">
        <v>0</v>
      </c>
      <c r="AI289" s="16">
        <v>467947.97687861271</v>
      </c>
      <c r="AK289" s="16">
        <v>0</v>
      </c>
      <c r="AL289" s="11">
        <f t="shared" si="125"/>
        <v>6197947.9768786123</v>
      </c>
      <c r="AM289" s="16">
        <f t="shared" si="126"/>
        <v>586752</v>
      </c>
      <c r="AN289" s="16">
        <f t="shared" si="127"/>
        <v>229200</v>
      </c>
      <c r="AO289" s="16">
        <f t="shared" si="118"/>
        <v>357552</v>
      </c>
      <c r="AP289" s="16">
        <f t="shared" si="128"/>
        <v>212010</v>
      </c>
      <c r="AQ289" s="16">
        <f t="shared" si="129"/>
        <v>6784699.9768786123</v>
      </c>
      <c r="AR289" s="16">
        <f t="shared" si="146"/>
        <v>407081.99861271674</v>
      </c>
      <c r="AS289" s="16">
        <f t="shared" si="130"/>
        <v>44779.019847398842</v>
      </c>
      <c r="AT289" s="16">
        <f t="shared" si="131"/>
        <v>-8141.6399722543347</v>
      </c>
      <c r="AU289" s="16">
        <f t="shared" si="132"/>
        <v>7183640.3355190745</v>
      </c>
      <c r="AV289" s="16">
        <f t="shared" si="133"/>
        <v>7191781.9754913291</v>
      </c>
      <c r="AW289" s="16">
        <f t="shared" si="134"/>
        <v>229200</v>
      </c>
      <c r="AX289" s="16" t="s">
        <v>477</v>
      </c>
      <c r="AZ289" s="17">
        <f t="shared" si="135"/>
        <v>2900</v>
      </c>
      <c r="BA289" s="16">
        <f t="shared" si="136"/>
        <v>5968747.9768786123</v>
      </c>
      <c r="BB289" s="16">
        <f t="shared" si="137"/>
        <v>5965847.9768786123</v>
      </c>
      <c r="BC289" s="15">
        <v>0.03</v>
      </c>
      <c r="BD289">
        <v>0.01</v>
      </c>
      <c r="BE289" s="37">
        <f t="shared" si="138"/>
        <v>529452</v>
      </c>
      <c r="BF289" s="38">
        <f t="shared" si="139"/>
        <v>326610</v>
      </c>
      <c r="BG289" s="37">
        <f t="shared" si="119"/>
        <v>269850</v>
      </c>
      <c r="BH289" s="37">
        <f t="shared" si="140"/>
        <v>286500</v>
      </c>
      <c r="BI289">
        <v>269850</v>
      </c>
      <c r="BJ289" s="2">
        <v>269850</v>
      </c>
      <c r="BL289" s="8">
        <f t="shared" si="141"/>
        <v>467947.97687861271</v>
      </c>
      <c r="BM289" s="7" t="str">
        <f t="shared" si="143"/>
        <v>Terdaftar BPJS Kes &amp; Naker</v>
      </c>
      <c r="BN289" s="11">
        <f t="shared" si="144"/>
        <v>326610</v>
      </c>
      <c r="BO289" s="11">
        <f t="shared" si="145"/>
        <v>260142.00000000003</v>
      </c>
      <c r="BP289" s="9">
        <f t="shared" si="142"/>
        <v>0</v>
      </c>
      <c r="BQ289" t="str">
        <f>_xlfn.XLOOKUP(X289,'[2]NON TETAP'!$H:$H,'[2]NON TETAP'!$I:$I)</f>
        <v>GRAMEDIA ASRI MEDIA</v>
      </c>
    </row>
    <row r="290" spans="1:69" x14ac:dyDescent="0.3">
      <c r="A290" s="2">
        <v>289</v>
      </c>
      <c r="B290" s="4" t="s">
        <v>2442</v>
      </c>
      <c r="C290" s="6" t="s">
        <v>241</v>
      </c>
      <c r="D290" s="6"/>
      <c r="E290" s="6" t="s">
        <v>73</v>
      </c>
      <c r="F290" s="6" t="s">
        <v>73</v>
      </c>
      <c r="G290" s="6"/>
      <c r="H290" s="6"/>
      <c r="I290" s="6"/>
      <c r="J290" s="6"/>
      <c r="K290" s="6">
        <v>800373</v>
      </c>
      <c r="L290" s="6"/>
      <c r="M290" s="6" t="str">
        <f>_xlfn.XLOOKUP(P290,[3]update_data_tk!$C$2:$C$545,[3]update_data_tk!$D$2:$D$545)</f>
        <v>25077450838</v>
      </c>
      <c r="N290" s="46" t="s">
        <v>2441</v>
      </c>
      <c r="O290" s="6">
        <v>1736702662</v>
      </c>
      <c r="P290" s="78" t="s">
        <v>2440</v>
      </c>
      <c r="Q290" s="6">
        <v>10196</v>
      </c>
      <c r="R290" s="6">
        <v>27196</v>
      </c>
      <c r="S290" s="5" t="str">
        <f>VLOOKUP(T290,'[1]Kode Posisi'!$A$3:$B$45,2,)</f>
        <v>Outsourcing Petugas Gudang</v>
      </c>
      <c r="T290" s="36" t="s">
        <v>2439</v>
      </c>
      <c r="U290" s="44" t="s">
        <v>46</v>
      </c>
      <c r="V290" s="44" t="s">
        <v>2438</v>
      </c>
      <c r="W290" s="36" t="s">
        <v>2363</v>
      </c>
      <c r="X290" s="36" t="s">
        <v>2363</v>
      </c>
      <c r="Y290" s="36" t="s">
        <v>52</v>
      </c>
      <c r="Z290" s="79">
        <v>6240656424</v>
      </c>
      <c r="AA290" s="36" t="s">
        <v>2437</v>
      </c>
      <c r="AB290" s="47">
        <v>5730000</v>
      </c>
      <c r="AC290" s="41">
        <v>5730000</v>
      </c>
      <c r="AD290" s="3">
        <v>5397000</v>
      </c>
      <c r="AE290" s="16">
        <f t="shared" si="124"/>
        <v>333000</v>
      </c>
      <c r="AF290" s="16">
        <v>0</v>
      </c>
      <c r="AG290" s="17">
        <v>0</v>
      </c>
      <c r="AI290" s="16">
        <v>280768.78612716764</v>
      </c>
      <c r="AK290" s="16">
        <v>0</v>
      </c>
      <c r="AL290" s="11">
        <f t="shared" si="125"/>
        <v>6010768.7861271678</v>
      </c>
      <c r="AM290" s="16">
        <f t="shared" si="126"/>
        <v>586752</v>
      </c>
      <c r="AN290" s="16">
        <f t="shared" si="127"/>
        <v>229200</v>
      </c>
      <c r="AO290" s="16">
        <f t="shared" si="118"/>
        <v>357552</v>
      </c>
      <c r="AP290" s="16">
        <f t="shared" si="128"/>
        <v>212010</v>
      </c>
      <c r="AQ290" s="16">
        <f t="shared" si="129"/>
        <v>6597520.7861271678</v>
      </c>
      <c r="AR290" s="16">
        <f t="shared" si="146"/>
        <v>395851.24716763006</v>
      </c>
      <c r="AS290" s="16">
        <f t="shared" si="130"/>
        <v>43543.637188439308</v>
      </c>
      <c r="AT290" s="16">
        <f t="shared" si="131"/>
        <v>-7917.0249433526014</v>
      </c>
      <c r="AU290" s="16">
        <f t="shared" si="132"/>
        <v>6985455.0083514452</v>
      </c>
      <c r="AV290" s="16">
        <f t="shared" si="133"/>
        <v>6993372.0332947979</v>
      </c>
      <c r="AW290" s="16">
        <f t="shared" si="134"/>
        <v>229200</v>
      </c>
      <c r="AX290" s="16" t="s">
        <v>286</v>
      </c>
      <c r="AZ290" s="17">
        <f t="shared" si="135"/>
        <v>0</v>
      </c>
      <c r="BA290" s="16">
        <f t="shared" si="136"/>
        <v>5781568.7861271678</v>
      </c>
      <c r="BB290" s="16">
        <f t="shared" si="137"/>
        <v>5781568.7861271678</v>
      </c>
      <c r="BC290" s="15">
        <v>0.03</v>
      </c>
      <c r="BD290">
        <v>0.01</v>
      </c>
      <c r="BE290" s="37">
        <f t="shared" si="138"/>
        <v>529452</v>
      </c>
      <c r="BF290" s="38">
        <f t="shared" si="139"/>
        <v>326610</v>
      </c>
      <c r="BG290" s="37">
        <f t="shared" si="119"/>
        <v>269850</v>
      </c>
      <c r="BH290" s="37">
        <f t="shared" si="140"/>
        <v>286500</v>
      </c>
      <c r="BI290">
        <v>269850</v>
      </c>
      <c r="BL290" s="8">
        <f t="shared" si="141"/>
        <v>280768.78612716764</v>
      </c>
      <c r="BM290" s="7" t="str">
        <f t="shared" si="143"/>
        <v>Terdaftar BPJS Kes &amp; Naker</v>
      </c>
      <c r="BN290" s="11">
        <f t="shared" si="144"/>
        <v>326610</v>
      </c>
      <c r="BO290" s="11">
        <f t="shared" si="145"/>
        <v>260142.00000000003</v>
      </c>
      <c r="BP290" s="9">
        <f t="shared" si="142"/>
        <v>0</v>
      </c>
      <c r="BQ290" t="str">
        <f>_xlfn.XLOOKUP(X290,'[2]NON TETAP'!$H:$H,'[2]NON TETAP'!$I:$I)</f>
        <v>GRAMEDIA ASRI MEDIA</v>
      </c>
    </row>
    <row r="291" spans="1:69" x14ac:dyDescent="0.3">
      <c r="A291" s="2">
        <v>290</v>
      </c>
      <c r="B291" s="4" t="s">
        <v>2433</v>
      </c>
      <c r="C291" s="6" t="s">
        <v>241</v>
      </c>
      <c r="D291" s="6"/>
      <c r="E291" s="6" t="s">
        <v>73</v>
      </c>
      <c r="F291" s="6" t="s">
        <v>73</v>
      </c>
      <c r="G291" s="6"/>
      <c r="H291" s="6"/>
      <c r="I291" s="6"/>
      <c r="J291" s="6"/>
      <c r="K291" s="6">
        <v>800374</v>
      </c>
      <c r="L291" s="6"/>
      <c r="M291" s="6" t="str">
        <f>_xlfn.XLOOKUP(P291,[3]update_data_tk!$C$2:$C$545,[3]update_data_tk!$D$2:$D$545)</f>
        <v>25077450846</v>
      </c>
      <c r="N291" s="46" t="s">
        <v>2436</v>
      </c>
      <c r="O291" s="6">
        <v>2098871425</v>
      </c>
      <c r="P291" s="78" t="s">
        <v>2435</v>
      </c>
      <c r="Q291" s="6">
        <v>10196</v>
      </c>
      <c r="R291" s="6">
        <v>27196</v>
      </c>
      <c r="S291" s="5" t="str">
        <f>VLOOKUP(T291,'[1]Kode Posisi'!$A$3:$B$45,2,)</f>
        <v>Outsourcing Petugas Gudang</v>
      </c>
      <c r="T291" s="36" t="s">
        <v>2392</v>
      </c>
      <c r="U291" s="44" t="s">
        <v>46</v>
      </c>
      <c r="V291" s="44" t="s">
        <v>2434</v>
      </c>
      <c r="W291" s="36" t="s">
        <v>2363</v>
      </c>
      <c r="X291" s="36" t="s">
        <v>2363</v>
      </c>
      <c r="Y291" s="36" t="s">
        <v>52</v>
      </c>
      <c r="Z291" s="79">
        <v>8710223115</v>
      </c>
      <c r="AA291" s="36" t="s">
        <v>2433</v>
      </c>
      <c r="AB291" s="47">
        <v>5730000</v>
      </c>
      <c r="AC291" s="41">
        <v>5730000</v>
      </c>
      <c r="AD291" s="3">
        <v>5397000</v>
      </c>
      <c r="AE291" s="16">
        <f t="shared" si="124"/>
        <v>333000</v>
      </c>
      <c r="AF291" s="16">
        <v>0</v>
      </c>
      <c r="AG291" s="17">
        <v>0</v>
      </c>
      <c r="AI291" s="16">
        <v>280768.78612716764</v>
      </c>
      <c r="AK291" s="16">
        <v>0</v>
      </c>
      <c r="AL291" s="11">
        <f t="shared" si="125"/>
        <v>6010768.7861271678</v>
      </c>
      <c r="AM291" s="16">
        <f t="shared" si="126"/>
        <v>586752</v>
      </c>
      <c r="AN291" s="16">
        <f t="shared" si="127"/>
        <v>229200</v>
      </c>
      <c r="AO291" s="16">
        <f t="shared" si="118"/>
        <v>357552</v>
      </c>
      <c r="AP291" s="16">
        <f t="shared" si="128"/>
        <v>212010</v>
      </c>
      <c r="AQ291" s="16">
        <f t="shared" si="129"/>
        <v>6597520.7861271678</v>
      </c>
      <c r="AR291" s="16">
        <f t="shared" si="146"/>
        <v>395851.24716763006</v>
      </c>
      <c r="AS291" s="16">
        <f t="shared" si="130"/>
        <v>43543.637188439308</v>
      </c>
      <c r="AT291" s="16">
        <f t="shared" si="131"/>
        <v>-7917.0249433526014</v>
      </c>
      <c r="AU291" s="16">
        <f t="shared" si="132"/>
        <v>6985455.0083514452</v>
      </c>
      <c r="AV291" s="16">
        <f t="shared" si="133"/>
        <v>6993372.0332947979</v>
      </c>
      <c r="AW291" s="16">
        <f t="shared" si="134"/>
        <v>229200</v>
      </c>
      <c r="AX291" s="16" t="s">
        <v>235</v>
      </c>
      <c r="AZ291" s="17">
        <f t="shared" si="135"/>
        <v>0</v>
      </c>
      <c r="BA291" s="16">
        <f t="shared" si="136"/>
        <v>5781568.7861271678</v>
      </c>
      <c r="BB291" s="16">
        <f t="shared" si="137"/>
        <v>5781568.7861271678</v>
      </c>
      <c r="BC291" s="15">
        <v>0.03</v>
      </c>
      <c r="BD291">
        <v>0.01</v>
      </c>
      <c r="BE291" s="37">
        <f t="shared" si="138"/>
        <v>529452</v>
      </c>
      <c r="BF291" s="38">
        <f t="shared" si="139"/>
        <v>326610</v>
      </c>
      <c r="BG291" s="37">
        <f t="shared" si="119"/>
        <v>269850</v>
      </c>
      <c r="BH291" s="37">
        <f t="shared" si="140"/>
        <v>286500</v>
      </c>
      <c r="BI291">
        <v>269850</v>
      </c>
      <c r="BL291" s="8">
        <f t="shared" si="141"/>
        <v>280768.78612716764</v>
      </c>
      <c r="BM291" s="7" t="str">
        <f t="shared" si="143"/>
        <v>Terdaftar BPJS Kes &amp; Naker</v>
      </c>
      <c r="BN291" s="11">
        <f t="shared" si="144"/>
        <v>326610</v>
      </c>
      <c r="BO291" s="11">
        <f t="shared" si="145"/>
        <v>260142.00000000003</v>
      </c>
      <c r="BP291" s="9">
        <f t="shared" si="142"/>
        <v>0</v>
      </c>
      <c r="BQ291" t="str">
        <f>_xlfn.XLOOKUP(X291,'[2]NON TETAP'!$H:$H,'[2]NON TETAP'!$I:$I)</f>
        <v>GRAMEDIA ASRI MEDIA</v>
      </c>
    </row>
    <row r="292" spans="1:69" x14ac:dyDescent="0.3">
      <c r="A292" s="2">
        <v>291</v>
      </c>
      <c r="B292" s="4" t="s">
        <v>2432</v>
      </c>
      <c r="C292" s="6" t="s">
        <v>241</v>
      </c>
      <c r="D292" s="6"/>
      <c r="E292" s="6" t="s">
        <v>73</v>
      </c>
      <c r="F292" s="6" t="s">
        <v>73</v>
      </c>
      <c r="G292" s="6"/>
      <c r="H292" s="6"/>
      <c r="I292" s="6"/>
      <c r="J292" s="6"/>
      <c r="K292" s="6">
        <v>800375</v>
      </c>
      <c r="L292" s="6"/>
      <c r="M292" s="6" t="str">
        <f>_xlfn.XLOOKUP(P292,[3]update_data_tk!$C$2:$C$545,[3]update_data_tk!$D$2:$D$545)</f>
        <v>25077450853</v>
      </c>
      <c r="N292" s="46" t="s">
        <v>2431</v>
      </c>
      <c r="O292" s="6">
        <v>2336680337</v>
      </c>
      <c r="P292" s="78" t="s">
        <v>2430</v>
      </c>
      <c r="Q292" s="6">
        <v>10196</v>
      </c>
      <c r="R292" s="6">
        <v>27196</v>
      </c>
      <c r="S292" s="5" t="str">
        <f>VLOOKUP(T292,'[1]Kode Posisi'!$A$3:$B$45,2,)</f>
        <v>Outsourcing Petugas Administrasi</v>
      </c>
      <c r="T292" s="36" t="s">
        <v>35</v>
      </c>
      <c r="U292" s="44" t="s">
        <v>46</v>
      </c>
      <c r="V292" s="44" t="s">
        <v>2429</v>
      </c>
      <c r="W292" s="36" t="s">
        <v>2363</v>
      </c>
      <c r="X292" s="36" t="s">
        <v>2363</v>
      </c>
      <c r="Y292" s="36" t="s">
        <v>52</v>
      </c>
      <c r="Z292" s="79">
        <v>5750610333</v>
      </c>
      <c r="AA292" s="36" t="s">
        <v>2428</v>
      </c>
      <c r="AB292" s="47">
        <v>5730000</v>
      </c>
      <c r="AC292" s="41">
        <v>5730000</v>
      </c>
      <c r="AD292" s="3">
        <v>5397000</v>
      </c>
      <c r="AE292" s="16">
        <f t="shared" si="124"/>
        <v>333000</v>
      </c>
      <c r="AF292" s="16">
        <v>0</v>
      </c>
      <c r="AG292" s="17">
        <v>0</v>
      </c>
      <c r="AI292" s="16">
        <v>0</v>
      </c>
      <c r="AK292" s="16">
        <v>0</v>
      </c>
      <c r="AL292" s="11">
        <f t="shared" si="125"/>
        <v>5730000</v>
      </c>
      <c r="AM292" s="16">
        <f t="shared" si="126"/>
        <v>586752</v>
      </c>
      <c r="AN292" s="16">
        <f t="shared" si="127"/>
        <v>229200</v>
      </c>
      <c r="AO292" s="16">
        <f t="shared" si="118"/>
        <v>357552</v>
      </c>
      <c r="AP292" s="16">
        <f t="shared" si="128"/>
        <v>212010</v>
      </c>
      <c r="AQ292" s="16">
        <f t="shared" si="129"/>
        <v>6316752</v>
      </c>
      <c r="AR292" s="16">
        <f t="shared" si="146"/>
        <v>379005.12</v>
      </c>
      <c r="AS292" s="16">
        <f t="shared" si="130"/>
        <v>41690.563199999997</v>
      </c>
      <c r="AT292" s="16">
        <f t="shared" si="131"/>
        <v>-7580.1023999999998</v>
      </c>
      <c r="AU292" s="16">
        <f t="shared" si="132"/>
        <v>6688177.0175999999</v>
      </c>
      <c r="AV292" s="16">
        <f t="shared" si="133"/>
        <v>6695757.1200000001</v>
      </c>
      <c r="AW292" s="16">
        <f t="shared" si="134"/>
        <v>229200</v>
      </c>
      <c r="AX292" s="16" t="s">
        <v>91</v>
      </c>
      <c r="AZ292" s="17">
        <f t="shared" si="135"/>
        <v>0</v>
      </c>
      <c r="BA292" s="16">
        <f t="shared" si="136"/>
        <v>5500800</v>
      </c>
      <c r="BB292" s="16">
        <f t="shared" si="137"/>
        <v>5500800</v>
      </c>
      <c r="BC292" s="15">
        <v>0.03</v>
      </c>
      <c r="BD292">
        <v>0.01</v>
      </c>
      <c r="BE292" s="37">
        <f t="shared" si="138"/>
        <v>529452</v>
      </c>
      <c r="BF292" s="38">
        <f t="shared" si="139"/>
        <v>326610</v>
      </c>
      <c r="BG292" s="37">
        <f t="shared" si="119"/>
        <v>269850</v>
      </c>
      <c r="BH292" s="37">
        <f t="shared" si="140"/>
        <v>286500</v>
      </c>
      <c r="BI292">
        <v>269850</v>
      </c>
      <c r="BL292" s="8">
        <f t="shared" si="141"/>
        <v>0</v>
      </c>
      <c r="BM292" s="7" t="str">
        <f t="shared" si="143"/>
        <v>Terdaftar BPJS Kes &amp; Naker</v>
      </c>
      <c r="BN292" s="11">
        <f t="shared" si="144"/>
        <v>326610</v>
      </c>
      <c r="BO292" s="11">
        <f t="shared" si="145"/>
        <v>260142.00000000003</v>
      </c>
      <c r="BP292" s="9">
        <f t="shared" si="142"/>
        <v>0</v>
      </c>
      <c r="BQ292" t="str">
        <f>_xlfn.XLOOKUP(X292,'[2]NON TETAP'!$H:$H,'[2]NON TETAP'!$I:$I)</f>
        <v>GRAMEDIA ASRI MEDIA</v>
      </c>
    </row>
    <row r="293" spans="1:69" x14ac:dyDescent="0.3">
      <c r="A293" s="2">
        <v>292</v>
      </c>
      <c r="B293" s="4" t="s">
        <v>2423</v>
      </c>
      <c r="C293" s="6" t="s">
        <v>241</v>
      </c>
      <c r="D293" s="6"/>
      <c r="E293" s="6" t="s">
        <v>73</v>
      </c>
      <c r="F293" s="6" t="s">
        <v>73</v>
      </c>
      <c r="G293" s="6"/>
      <c r="H293" s="6"/>
      <c r="I293" s="6"/>
      <c r="J293" s="6"/>
      <c r="K293" s="6">
        <v>800376</v>
      </c>
      <c r="L293" s="6"/>
      <c r="M293" s="6" t="str">
        <f>_xlfn.XLOOKUP(P293,[3]update_data_tk!$C$2:$C$545,[3]update_data_tk!$D$2:$D$545)</f>
        <v>25077450861</v>
      </c>
      <c r="N293" s="46" t="s">
        <v>2427</v>
      </c>
      <c r="O293" s="6">
        <v>1822163793</v>
      </c>
      <c r="P293" s="78" t="s">
        <v>2426</v>
      </c>
      <c r="Q293" s="6">
        <v>10196</v>
      </c>
      <c r="R293" s="6">
        <v>27196</v>
      </c>
      <c r="S293" s="5" t="str">
        <f>VLOOKUP(T293,'[1]Kode Posisi'!$A$3:$B$45,2,)</f>
        <v>Outsourcing Petugas Administrasi</v>
      </c>
      <c r="T293" s="36" t="s">
        <v>35</v>
      </c>
      <c r="U293" s="44" t="s">
        <v>46</v>
      </c>
      <c r="V293" s="44" t="s">
        <v>2425</v>
      </c>
      <c r="W293" s="36" t="s">
        <v>2363</v>
      </c>
      <c r="X293" s="36" t="s">
        <v>2363</v>
      </c>
      <c r="Y293" s="36" t="s">
        <v>52</v>
      </c>
      <c r="Z293" s="79" t="s">
        <v>2424</v>
      </c>
      <c r="AA293" s="36" t="s">
        <v>2423</v>
      </c>
      <c r="AB293" s="47">
        <v>5730000</v>
      </c>
      <c r="AC293" s="41">
        <v>5730000</v>
      </c>
      <c r="AD293" s="3">
        <v>5397000</v>
      </c>
      <c r="AE293" s="16">
        <f t="shared" si="124"/>
        <v>333000</v>
      </c>
      <c r="AF293" s="16">
        <v>0</v>
      </c>
      <c r="AG293" s="17">
        <v>0</v>
      </c>
      <c r="AI293" s="16">
        <v>374358.38150289014</v>
      </c>
      <c r="AK293" s="16">
        <v>0</v>
      </c>
      <c r="AL293" s="11">
        <f t="shared" si="125"/>
        <v>6104358.38150289</v>
      </c>
      <c r="AM293" s="16">
        <f t="shared" si="126"/>
        <v>586752</v>
      </c>
      <c r="AN293" s="16">
        <f t="shared" si="127"/>
        <v>229200</v>
      </c>
      <c r="AO293" s="16">
        <f t="shared" si="118"/>
        <v>357552</v>
      </c>
      <c r="AP293" s="16">
        <f t="shared" si="128"/>
        <v>212010</v>
      </c>
      <c r="AQ293" s="16">
        <f t="shared" si="129"/>
        <v>6691110.38150289</v>
      </c>
      <c r="AR293" s="16">
        <f t="shared" si="146"/>
        <v>401466.6228901734</v>
      </c>
      <c r="AS293" s="16">
        <f t="shared" si="130"/>
        <v>44161.328517919072</v>
      </c>
      <c r="AT293" s="16">
        <f t="shared" si="131"/>
        <v>-8029.3324578034681</v>
      </c>
      <c r="AU293" s="16">
        <f t="shared" si="132"/>
        <v>7084547.6719352603</v>
      </c>
      <c r="AV293" s="16">
        <f t="shared" si="133"/>
        <v>7092577.0043930635</v>
      </c>
      <c r="AW293" s="16">
        <f t="shared" si="134"/>
        <v>229200</v>
      </c>
      <c r="AX293" s="16" t="s">
        <v>235</v>
      </c>
      <c r="AZ293" s="17">
        <f t="shared" si="135"/>
        <v>0</v>
      </c>
      <c r="BA293" s="16">
        <f t="shared" si="136"/>
        <v>5875158.38150289</v>
      </c>
      <c r="BB293" s="16">
        <f t="shared" si="137"/>
        <v>5875158.38150289</v>
      </c>
      <c r="BC293" s="15">
        <v>0.03</v>
      </c>
      <c r="BD293">
        <v>0.01</v>
      </c>
      <c r="BE293" s="37">
        <f t="shared" si="138"/>
        <v>529452</v>
      </c>
      <c r="BF293" s="38">
        <f t="shared" si="139"/>
        <v>326610</v>
      </c>
      <c r="BG293" s="37">
        <f t="shared" si="119"/>
        <v>269850</v>
      </c>
      <c r="BH293" s="37">
        <f t="shared" si="140"/>
        <v>286500</v>
      </c>
      <c r="BI293">
        <v>269850</v>
      </c>
      <c r="BL293" s="8">
        <f t="shared" si="141"/>
        <v>374358.38150289014</v>
      </c>
      <c r="BM293" s="7" t="str">
        <f t="shared" si="143"/>
        <v>Terdaftar BPJS Kes &amp; Naker</v>
      </c>
      <c r="BN293" s="11">
        <f t="shared" si="144"/>
        <v>326610</v>
      </c>
      <c r="BO293" s="11">
        <f t="shared" si="145"/>
        <v>260142.00000000003</v>
      </c>
      <c r="BP293" s="9">
        <f t="shared" si="142"/>
        <v>0</v>
      </c>
      <c r="BQ293" t="str">
        <f>_xlfn.XLOOKUP(X293,'[2]NON TETAP'!$H:$H,'[2]NON TETAP'!$I:$I)</f>
        <v>GRAMEDIA ASRI MEDIA</v>
      </c>
    </row>
    <row r="294" spans="1:69" x14ac:dyDescent="0.3">
      <c r="A294" s="2">
        <v>293</v>
      </c>
      <c r="B294" s="4" t="s">
        <v>2419</v>
      </c>
      <c r="C294" s="6" t="s">
        <v>241</v>
      </c>
      <c r="D294" s="6"/>
      <c r="E294" s="6" t="s">
        <v>73</v>
      </c>
      <c r="F294" s="6" t="s">
        <v>73</v>
      </c>
      <c r="G294" s="6"/>
      <c r="H294" s="6"/>
      <c r="I294" s="6"/>
      <c r="J294" s="6"/>
      <c r="K294" s="6">
        <v>800377</v>
      </c>
      <c r="L294" s="6"/>
      <c r="M294" s="6" t="str">
        <f>_xlfn.XLOOKUP(P294,[3]update_data_tk!$C$2:$C$545,[3]update_data_tk!$D$2:$D$545)</f>
        <v>25077450879</v>
      </c>
      <c r="N294" s="46" t="s">
        <v>2422</v>
      </c>
      <c r="O294" s="6">
        <v>2332235439</v>
      </c>
      <c r="P294" s="78" t="s">
        <v>2421</v>
      </c>
      <c r="Q294" s="6">
        <v>10196</v>
      </c>
      <c r="R294" s="6">
        <v>27196</v>
      </c>
      <c r="S294" s="5" t="str">
        <f>VLOOKUP(T294,'[1]Kode Posisi'!$A$3:$B$45,2,)</f>
        <v>Outsourcing Petugas Gudang</v>
      </c>
      <c r="T294" s="36" t="s">
        <v>2416</v>
      </c>
      <c r="U294" s="44" t="s">
        <v>46</v>
      </c>
      <c r="V294" s="44" t="s">
        <v>2420</v>
      </c>
      <c r="W294" s="36" t="s">
        <v>2363</v>
      </c>
      <c r="X294" s="36" t="s">
        <v>2363</v>
      </c>
      <c r="Y294" s="36" t="s">
        <v>52</v>
      </c>
      <c r="Z294" s="79">
        <v>6300179515</v>
      </c>
      <c r="AA294" s="36" t="s">
        <v>2419</v>
      </c>
      <c r="AB294" s="47">
        <v>5730000</v>
      </c>
      <c r="AC294" s="41">
        <v>5730000</v>
      </c>
      <c r="AD294" s="3">
        <v>5397000</v>
      </c>
      <c r="AE294" s="16">
        <f t="shared" si="124"/>
        <v>333000</v>
      </c>
      <c r="AF294" s="16">
        <v>0</v>
      </c>
      <c r="AG294" s="17">
        <v>0</v>
      </c>
      <c r="AI294" s="16">
        <v>499144.50867052021</v>
      </c>
      <c r="AK294" s="16">
        <v>0</v>
      </c>
      <c r="AL294" s="11">
        <f t="shared" si="125"/>
        <v>6229144.50867052</v>
      </c>
      <c r="AM294" s="16">
        <f t="shared" si="126"/>
        <v>586752</v>
      </c>
      <c r="AN294" s="16">
        <f t="shared" si="127"/>
        <v>229200</v>
      </c>
      <c r="AO294" s="16">
        <f t="shared" si="118"/>
        <v>357552</v>
      </c>
      <c r="AP294" s="16">
        <f t="shared" si="128"/>
        <v>212010</v>
      </c>
      <c r="AQ294" s="16">
        <f t="shared" si="129"/>
        <v>6815896.50867052</v>
      </c>
      <c r="AR294" s="16">
        <f t="shared" si="146"/>
        <v>408953.79052023118</v>
      </c>
      <c r="AS294" s="16">
        <f t="shared" si="130"/>
        <v>44984.916957225432</v>
      </c>
      <c r="AT294" s="16">
        <f t="shared" si="131"/>
        <v>-8179.0758104046236</v>
      </c>
      <c r="AU294" s="16">
        <f t="shared" si="132"/>
        <v>7216671.2233803468</v>
      </c>
      <c r="AV294" s="16">
        <f t="shared" si="133"/>
        <v>7224850.2991907513</v>
      </c>
      <c r="AW294" s="16">
        <f t="shared" si="134"/>
        <v>229200</v>
      </c>
      <c r="AX294" s="16" t="s">
        <v>91</v>
      </c>
      <c r="AZ294" s="17">
        <f t="shared" si="135"/>
        <v>0</v>
      </c>
      <c r="BA294" s="16">
        <f t="shared" si="136"/>
        <v>5999944.50867052</v>
      </c>
      <c r="BB294" s="16">
        <f t="shared" si="137"/>
        <v>5999944.50867052</v>
      </c>
      <c r="BC294" s="15">
        <v>0.03</v>
      </c>
      <c r="BD294">
        <v>0.01</v>
      </c>
      <c r="BE294" s="37">
        <f t="shared" si="138"/>
        <v>529452</v>
      </c>
      <c r="BF294" s="38">
        <f t="shared" si="139"/>
        <v>326610</v>
      </c>
      <c r="BG294" s="37">
        <f t="shared" si="119"/>
        <v>269850</v>
      </c>
      <c r="BH294" s="37">
        <f t="shared" si="140"/>
        <v>286500</v>
      </c>
      <c r="BI294">
        <v>269850</v>
      </c>
      <c r="BJ294" s="2">
        <v>269850</v>
      </c>
      <c r="BL294" s="8">
        <f t="shared" si="141"/>
        <v>499144.50867052021</v>
      </c>
      <c r="BM294" s="7" t="str">
        <f t="shared" si="143"/>
        <v>Terdaftar BPJS Kes &amp; Naker</v>
      </c>
      <c r="BN294" s="11">
        <f t="shared" si="144"/>
        <v>326610</v>
      </c>
      <c r="BO294" s="11">
        <f t="shared" si="145"/>
        <v>260142.00000000003</v>
      </c>
      <c r="BP294" s="9">
        <f t="shared" si="142"/>
        <v>0</v>
      </c>
      <c r="BQ294" t="str">
        <f>_xlfn.XLOOKUP(X294,'[2]NON TETAP'!$H:$H,'[2]NON TETAP'!$I:$I)</f>
        <v>GRAMEDIA ASRI MEDIA</v>
      </c>
    </row>
    <row r="295" spans="1:69" x14ac:dyDescent="0.3">
      <c r="A295" s="2">
        <v>294</v>
      </c>
      <c r="B295" s="4" t="s">
        <v>2413</v>
      </c>
      <c r="C295" s="6" t="s">
        <v>241</v>
      </c>
      <c r="D295" s="6"/>
      <c r="E295" s="6" t="s">
        <v>73</v>
      </c>
      <c r="F295" s="6" t="s">
        <v>73</v>
      </c>
      <c r="G295" s="6"/>
      <c r="H295" s="6"/>
      <c r="I295" s="6"/>
      <c r="J295" s="6" t="s">
        <v>2373</v>
      </c>
      <c r="K295" s="6">
        <v>800378</v>
      </c>
      <c r="L295" s="6"/>
      <c r="M295" s="6" t="str">
        <f>_xlfn.XLOOKUP(P295,[3]update_data_tk!$C$2:$C$545,[3]update_data_tk!$D$2:$D$545)</f>
        <v>25077450887</v>
      </c>
      <c r="N295" s="46" t="s">
        <v>2418</v>
      </c>
      <c r="O295" s="6">
        <v>377631224</v>
      </c>
      <c r="P295" s="78" t="s">
        <v>2417</v>
      </c>
      <c r="Q295" s="6">
        <v>10196</v>
      </c>
      <c r="R295" s="6">
        <v>27196</v>
      </c>
      <c r="S295" s="5" t="str">
        <f>VLOOKUP(T295,'[1]Kode Posisi'!$A$3:$B$45,2,)</f>
        <v>Outsourcing Petugas Gudang</v>
      </c>
      <c r="T295" s="36" t="s">
        <v>2416</v>
      </c>
      <c r="U295" s="44" t="s">
        <v>46</v>
      </c>
      <c r="V295" s="44" t="s">
        <v>2415</v>
      </c>
      <c r="W295" s="36" t="s">
        <v>2363</v>
      </c>
      <c r="X295" s="36" t="s">
        <v>2363</v>
      </c>
      <c r="Y295" s="36" t="s">
        <v>63</v>
      </c>
      <c r="Z295" s="79" t="s">
        <v>2414</v>
      </c>
      <c r="AA295" s="36" t="s">
        <v>2413</v>
      </c>
      <c r="AB295" s="47">
        <v>5730000</v>
      </c>
      <c r="AC295" s="41">
        <v>5730000</v>
      </c>
      <c r="AD295" s="3">
        <v>5397000</v>
      </c>
      <c r="AE295" s="16">
        <f t="shared" si="124"/>
        <v>333000</v>
      </c>
      <c r="AF295" s="16">
        <v>0</v>
      </c>
      <c r="AG295" s="17">
        <v>0</v>
      </c>
      <c r="AI295" s="16">
        <v>343161.84971098264</v>
      </c>
      <c r="AK295" s="16">
        <v>0</v>
      </c>
      <c r="AL295" s="11">
        <f t="shared" si="125"/>
        <v>6073161.8497109823</v>
      </c>
      <c r="AM295" s="16">
        <f t="shared" si="126"/>
        <v>586752</v>
      </c>
      <c r="AN295" s="16">
        <f t="shared" si="127"/>
        <v>229200</v>
      </c>
      <c r="AO295" s="16">
        <f t="shared" si="118"/>
        <v>357552</v>
      </c>
      <c r="AP295" s="16">
        <f t="shared" si="128"/>
        <v>212010</v>
      </c>
      <c r="AQ295" s="16">
        <f t="shared" si="129"/>
        <v>6659913.8497109823</v>
      </c>
      <c r="AR295" s="16">
        <f t="shared" si="146"/>
        <v>399594.8309826589</v>
      </c>
      <c r="AS295" s="16">
        <f t="shared" si="130"/>
        <v>43955.431408092481</v>
      </c>
      <c r="AT295" s="16">
        <f t="shared" si="131"/>
        <v>-7991.8966196531783</v>
      </c>
      <c r="AU295" s="16">
        <f t="shared" si="132"/>
        <v>7051516.784073988</v>
      </c>
      <c r="AV295" s="16">
        <f t="shared" si="133"/>
        <v>7059508.6806936413</v>
      </c>
      <c r="AW295" s="16">
        <f t="shared" si="134"/>
        <v>229200</v>
      </c>
      <c r="AX295" s="16" t="s">
        <v>235</v>
      </c>
      <c r="AZ295" s="17">
        <v>2900</v>
      </c>
      <c r="BA295" s="16">
        <f t="shared" si="136"/>
        <v>5843961.8497109823</v>
      </c>
      <c r="BB295" s="16">
        <f t="shared" si="137"/>
        <v>5841061.8497109823</v>
      </c>
      <c r="BC295" s="15">
        <v>0.03</v>
      </c>
      <c r="BD295">
        <v>0.01</v>
      </c>
      <c r="BE295" s="37">
        <f t="shared" si="138"/>
        <v>529452</v>
      </c>
      <c r="BF295" s="38">
        <f t="shared" si="139"/>
        <v>326610</v>
      </c>
      <c r="BG295" s="37">
        <f t="shared" si="119"/>
        <v>269850</v>
      </c>
      <c r="BH295" s="37">
        <f t="shared" si="140"/>
        <v>286500</v>
      </c>
      <c r="BI295">
        <v>269850</v>
      </c>
      <c r="BL295" s="8">
        <f t="shared" si="141"/>
        <v>343161.84971098264</v>
      </c>
      <c r="BM295" s="7" t="str">
        <f t="shared" si="143"/>
        <v>Terdaftar BPJS Kes &amp; Naker</v>
      </c>
      <c r="BN295" s="11">
        <f t="shared" si="144"/>
        <v>326610</v>
      </c>
      <c r="BO295" s="11">
        <f t="shared" si="145"/>
        <v>260142.00000000003</v>
      </c>
      <c r="BP295" s="9">
        <f t="shared" si="142"/>
        <v>0</v>
      </c>
      <c r="BQ295" t="str">
        <f>_xlfn.XLOOKUP(X295,'[2]NON TETAP'!$H:$H,'[2]NON TETAP'!$I:$I)</f>
        <v>GRAMEDIA ASRI MEDIA</v>
      </c>
    </row>
    <row r="296" spans="1:69" x14ac:dyDescent="0.3">
      <c r="A296" s="2">
        <v>295</v>
      </c>
      <c r="B296" s="4" t="s">
        <v>2412</v>
      </c>
      <c r="C296" s="6" t="s">
        <v>241</v>
      </c>
      <c r="D296" s="6"/>
      <c r="E296" s="6" t="s">
        <v>73</v>
      </c>
      <c r="F296" s="6" t="s">
        <v>73</v>
      </c>
      <c r="G296" s="6"/>
      <c r="H296" s="6"/>
      <c r="I296" s="6"/>
      <c r="J296" s="6"/>
      <c r="K296" s="6">
        <v>800379</v>
      </c>
      <c r="L296" s="6"/>
      <c r="M296" s="6" t="str">
        <f>_xlfn.XLOOKUP(P296,[3]update_data_tk!$C$2:$C$545,[3]update_data_tk!$D$2:$D$545)</f>
        <v>25077450895</v>
      </c>
      <c r="N296" s="46" t="s">
        <v>2411</v>
      </c>
      <c r="O296" s="6">
        <v>1821057513</v>
      </c>
      <c r="P296" s="78" t="s">
        <v>2410</v>
      </c>
      <c r="Q296" s="6">
        <v>10196</v>
      </c>
      <c r="R296" s="6">
        <v>27196</v>
      </c>
      <c r="S296" s="5" t="str">
        <f>VLOOKUP(T296,'[1]Kode Posisi'!$A$3:$B$45,2,)</f>
        <v>Outsourcing Petugas Gudang</v>
      </c>
      <c r="T296" s="36" t="s">
        <v>6</v>
      </c>
      <c r="U296" s="44" t="s">
        <v>46</v>
      </c>
      <c r="V296" s="44" t="s">
        <v>2409</v>
      </c>
      <c r="W296" s="36" t="s">
        <v>2363</v>
      </c>
      <c r="X296" s="36" t="s">
        <v>2363</v>
      </c>
      <c r="Y296" s="36" t="s">
        <v>63</v>
      </c>
      <c r="Z296" s="79" t="s">
        <v>2408</v>
      </c>
      <c r="AA296" s="36" t="s">
        <v>2407</v>
      </c>
      <c r="AB296" s="47">
        <v>5730000</v>
      </c>
      <c r="AC296" s="41">
        <v>5730000</v>
      </c>
      <c r="AD296" s="3">
        <v>5397000</v>
      </c>
      <c r="AE296" s="16">
        <f t="shared" si="124"/>
        <v>333000</v>
      </c>
      <c r="AF296" s="16">
        <v>0</v>
      </c>
      <c r="AG296" s="17">
        <v>0</v>
      </c>
      <c r="AI296" s="16">
        <v>499144.50867052021</v>
      </c>
      <c r="AK296" s="16">
        <v>0</v>
      </c>
      <c r="AL296" s="11">
        <f t="shared" si="125"/>
        <v>6229144.50867052</v>
      </c>
      <c r="AM296" s="16">
        <f t="shared" si="126"/>
        <v>586752</v>
      </c>
      <c r="AN296" s="16">
        <f t="shared" si="127"/>
        <v>229200</v>
      </c>
      <c r="AO296" s="16">
        <f t="shared" si="118"/>
        <v>357552</v>
      </c>
      <c r="AP296" s="16">
        <f t="shared" si="128"/>
        <v>212010</v>
      </c>
      <c r="AQ296" s="16">
        <f t="shared" si="129"/>
        <v>6815896.50867052</v>
      </c>
      <c r="AR296" s="16">
        <f t="shared" si="146"/>
        <v>408953.79052023118</v>
      </c>
      <c r="AS296" s="16">
        <f t="shared" si="130"/>
        <v>44984.916957225432</v>
      </c>
      <c r="AT296" s="16">
        <f t="shared" si="131"/>
        <v>-8179.0758104046236</v>
      </c>
      <c r="AU296" s="16">
        <f t="shared" si="132"/>
        <v>7216671.2233803468</v>
      </c>
      <c r="AV296" s="16">
        <f t="shared" si="133"/>
        <v>7224850.2991907513</v>
      </c>
      <c r="AW296" s="16">
        <f t="shared" si="134"/>
        <v>229200</v>
      </c>
      <c r="AX296" s="16" t="s">
        <v>286</v>
      </c>
      <c r="AZ296" s="17">
        <f t="shared" ref="AZ296:AZ302" si="147">IF(Y296="BCA",0,2900)</f>
        <v>2900</v>
      </c>
      <c r="BA296" s="16">
        <f t="shared" si="136"/>
        <v>5999944.50867052</v>
      </c>
      <c r="BB296" s="16">
        <f t="shared" si="137"/>
        <v>5997044.50867052</v>
      </c>
      <c r="BC296" s="15">
        <v>0.03</v>
      </c>
      <c r="BD296">
        <v>0.01</v>
      </c>
      <c r="BE296" s="37">
        <f t="shared" si="138"/>
        <v>529452</v>
      </c>
      <c r="BF296" s="38">
        <f t="shared" si="139"/>
        <v>326610</v>
      </c>
      <c r="BG296" s="37">
        <f t="shared" si="119"/>
        <v>269850</v>
      </c>
      <c r="BH296" s="37">
        <f t="shared" si="140"/>
        <v>286500</v>
      </c>
      <c r="BI296">
        <v>269850</v>
      </c>
      <c r="BL296" s="8">
        <f t="shared" si="141"/>
        <v>499144.50867052021</v>
      </c>
      <c r="BM296" s="7" t="str">
        <f t="shared" si="143"/>
        <v>Terdaftar BPJS Kes &amp; Naker</v>
      </c>
      <c r="BN296" s="11">
        <f t="shared" si="144"/>
        <v>326610</v>
      </c>
      <c r="BO296" s="11">
        <f t="shared" si="145"/>
        <v>260142.00000000003</v>
      </c>
      <c r="BP296" s="9">
        <f t="shared" si="142"/>
        <v>0</v>
      </c>
      <c r="BQ296" t="str">
        <f>_xlfn.XLOOKUP(X296,'[2]NON TETAP'!$H:$H,'[2]NON TETAP'!$I:$I)</f>
        <v>GRAMEDIA ASRI MEDIA</v>
      </c>
    </row>
    <row r="297" spans="1:69" x14ac:dyDescent="0.3">
      <c r="A297" s="2">
        <v>296</v>
      </c>
      <c r="B297" s="4" t="s">
        <v>2406</v>
      </c>
      <c r="C297" s="6" t="s">
        <v>241</v>
      </c>
      <c r="D297" s="6"/>
      <c r="E297" s="6" t="s">
        <v>73</v>
      </c>
      <c r="F297" s="6" t="s">
        <v>73</v>
      </c>
      <c r="G297" s="6"/>
      <c r="H297" s="6"/>
      <c r="I297" s="6"/>
      <c r="J297" s="6"/>
      <c r="K297" s="6">
        <v>800380</v>
      </c>
      <c r="L297" s="6"/>
      <c r="M297" s="6" t="str">
        <f>_xlfn.XLOOKUP(P297,[3]update_data_tk!$C$2:$C$545,[3]update_data_tk!$D$2:$D$545)</f>
        <v>25077450903</v>
      </c>
      <c r="N297" s="46" t="s">
        <v>2405</v>
      </c>
      <c r="O297" s="6">
        <v>1819008955</v>
      </c>
      <c r="P297" s="78" t="s">
        <v>2404</v>
      </c>
      <c r="Q297" s="6">
        <v>10196</v>
      </c>
      <c r="R297" s="6">
        <v>27196</v>
      </c>
      <c r="S297" s="5" t="str">
        <f>VLOOKUP(T297,'[1]Kode Posisi'!$A$3:$B$45,2,)</f>
        <v>Outsourcing Penjualan</v>
      </c>
      <c r="T297" s="36" t="s">
        <v>2403</v>
      </c>
      <c r="U297" s="44" t="s">
        <v>46</v>
      </c>
      <c r="V297" s="44" t="s">
        <v>2402</v>
      </c>
      <c r="W297" s="36" t="s">
        <v>2363</v>
      </c>
      <c r="X297" s="36" t="s">
        <v>2363</v>
      </c>
      <c r="Y297" s="36" t="s">
        <v>52</v>
      </c>
      <c r="Z297" s="79">
        <v>8810434296</v>
      </c>
      <c r="AA297" s="36" t="s">
        <v>2401</v>
      </c>
      <c r="AB297" s="47">
        <v>5730000</v>
      </c>
      <c r="AC297" s="41">
        <v>5730000</v>
      </c>
      <c r="AD297" s="3">
        <v>5397000</v>
      </c>
      <c r="AE297" s="16">
        <f t="shared" si="124"/>
        <v>333000</v>
      </c>
      <c r="AF297" s="16">
        <v>0</v>
      </c>
      <c r="AG297" s="17">
        <v>0</v>
      </c>
      <c r="AI297" s="16">
        <v>0</v>
      </c>
      <c r="AK297" s="16">
        <v>0</v>
      </c>
      <c r="AL297" s="11">
        <f t="shared" si="125"/>
        <v>5730000</v>
      </c>
      <c r="AM297" s="16">
        <f t="shared" si="126"/>
        <v>586752</v>
      </c>
      <c r="AN297" s="16">
        <f t="shared" si="127"/>
        <v>229200</v>
      </c>
      <c r="AO297" s="16">
        <f t="shared" si="118"/>
        <v>357552</v>
      </c>
      <c r="AP297" s="16">
        <f t="shared" si="128"/>
        <v>212010</v>
      </c>
      <c r="AQ297" s="16">
        <f t="shared" si="129"/>
        <v>6316752</v>
      </c>
      <c r="AR297" s="16">
        <f t="shared" si="146"/>
        <v>379005.12</v>
      </c>
      <c r="AS297" s="16">
        <f t="shared" si="130"/>
        <v>41690.563199999997</v>
      </c>
      <c r="AT297" s="16">
        <f t="shared" si="131"/>
        <v>-7580.1023999999998</v>
      </c>
      <c r="AU297" s="16">
        <f t="shared" si="132"/>
        <v>6688177.0175999999</v>
      </c>
      <c r="AV297" s="16">
        <f t="shared" si="133"/>
        <v>6695757.1200000001</v>
      </c>
      <c r="AW297" s="16">
        <f t="shared" si="134"/>
        <v>229200</v>
      </c>
      <c r="AX297" s="16" t="s">
        <v>235</v>
      </c>
      <c r="AZ297" s="17">
        <f t="shared" si="147"/>
        <v>0</v>
      </c>
      <c r="BA297" s="16">
        <f t="shared" si="136"/>
        <v>5500800</v>
      </c>
      <c r="BB297" s="16">
        <f t="shared" si="137"/>
        <v>5500800</v>
      </c>
      <c r="BC297" s="15">
        <v>0.03</v>
      </c>
      <c r="BD297">
        <v>0.01</v>
      </c>
      <c r="BE297" s="37">
        <f t="shared" si="138"/>
        <v>529452</v>
      </c>
      <c r="BF297" s="38">
        <f t="shared" si="139"/>
        <v>326610</v>
      </c>
      <c r="BG297" s="37">
        <f t="shared" si="119"/>
        <v>269850</v>
      </c>
      <c r="BH297" s="37">
        <f t="shared" si="140"/>
        <v>286500</v>
      </c>
      <c r="BI297">
        <v>269850</v>
      </c>
      <c r="BL297" s="8">
        <f t="shared" si="141"/>
        <v>0</v>
      </c>
      <c r="BM297" s="7" t="str">
        <f t="shared" si="143"/>
        <v>Terdaftar BPJS Kes &amp; Naker</v>
      </c>
      <c r="BN297" s="11">
        <f t="shared" si="144"/>
        <v>326610</v>
      </c>
      <c r="BO297" s="11">
        <f t="shared" si="145"/>
        <v>260142.00000000003</v>
      </c>
      <c r="BP297" s="9">
        <f t="shared" si="142"/>
        <v>0</v>
      </c>
      <c r="BQ297" t="str">
        <f>_xlfn.XLOOKUP(X297,'[2]NON TETAP'!$H:$H,'[2]NON TETAP'!$I:$I)</f>
        <v>GRAMEDIA ASRI MEDIA</v>
      </c>
    </row>
    <row r="298" spans="1:69" x14ac:dyDescent="0.3">
      <c r="A298" s="2">
        <v>297</v>
      </c>
      <c r="B298" s="4" t="s">
        <v>2396</v>
      </c>
      <c r="C298" s="6" t="s">
        <v>241</v>
      </c>
      <c r="D298" s="6"/>
      <c r="E298" s="6" t="s">
        <v>73</v>
      </c>
      <c r="F298" s="6" t="s">
        <v>73</v>
      </c>
      <c r="G298" s="6"/>
      <c r="H298" s="6"/>
      <c r="I298" s="6"/>
      <c r="J298" s="6"/>
      <c r="K298" s="6">
        <v>800381</v>
      </c>
      <c r="L298" s="6"/>
      <c r="M298" s="6" t="str">
        <f>_xlfn.XLOOKUP(P298,[3]update_data_tk!$C$2:$C$545,[3]update_data_tk!$D$2:$D$545)</f>
        <v>25077450911</v>
      </c>
      <c r="N298" s="46" t="s">
        <v>2400</v>
      </c>
      <c r="O298" s="6">
        <v>1154776364</v>
      </c>
      <c r="P298" s="78" t="s">
        <v>2399</v>
      </c>
      <c r="Q298" s="6">
        <v>10196</v>
      </c>
      <c r="R298" s="6">
        <v>27196</v>
      </c>
      <c r="S298" s="5" t="str">
        <f>VLOOKUP(T298,'[1]Kode Posisi'!$A$3:$B$45,2,)</f>
        <v>Outsourcing Petugas Administrasi</v>
      </c>
      <c r="T298" s="36" t="s">
        <v>35</v>
      </c>
      <c r="U298" s="44" t="s">
        <v>46</v>
      </c>
      <c r="V298" s="44" t="s">
        <v>2398</v>
      </c>
      <c r="W298" s="36" t="s">
        <v>2363</v>
      </c>
      <c r="X298" s="36" t="s">
        <v>2363</v>
      </c>
      <c r="Y298" s="36" t="s">
        <v>52</v>
      </c>
      <c r="Z298" s="79" t="s">
        <v>2397</v>
      </c>
      <c r="AA298" s="36" t="s">
        <v>2396</v>
      </c>
      <c r="AB298" s="47">
        <v>5730000</v>
      </c>
      <c r="AC298" s="41">
        <v>5730000</v>
      </c>
      <c r="AD298" s="3">
        <v>5397000</v>
      </c>
      <c r="AE298" s="16">
        <f t="shared" si="124"/>
        <v>333000</v>
      </c>
      <c r="AF298" s="16">
        <v>0</v>
      </c>
      <c r="AG298" s="17">
        <v>0</v>
      </c>
      <c r="AI298" s="16">
        <v>311965.31791907514</v>
      </c>
      <c r="AK298" s="16">
        <v>0</v>
      </c>
      <c r="AL298" s="11">
        <f t="shared" si="125"/>
        <v>6041965.3179190755</v>
      </c>
      <c r="AM298" s="16">
        <f t="shared" si="126"/>
        <v>586752</v>
      </c>
      <c r="AN298" s="16">
        <f t="shared" si="127"/>
        <v>229200</v>
      </c>
      <c r="AO298" s="16">
        <f t="shared" si="118"/>
        <v>357552</v>
      </c>
      <c r="AP298" s="16">
        <f t="shared" si="128"/>
        <v>212010</v>
      </c>
      <c r="AQ298" s="16">
        <f t="shared" si="129"/>
        <v>6628717.3179190755</v>
      </c>
      <c r="AR298" s="16">
        <f t="shared" si="146"/>
        <v>397723.03907514451</v>
      </c>
      <c r="AS298" s="16">
        <f t="shared" si="130"/>
        <v>43749.534298265899</v>
      </c>
      <c r="AT298" s="16">
        <f t="shared" si="131"/>
        <v>-7954.4607815028903</v>
      </c>
      <c r="AU298" s="16">
        <f t="shared" si="132"/>
        <v>7018485.8962127175</v>
      </c>
      <c r="AV298" s="16">
        <f t="shared" si="133"/>
        <v>7026440.3569942201</v>
      </c>
      <c r="AW298" s="16">
        <f t="shared" si="134"/>
        <v>229200</v>
      </c>
      <c r="AX298" s="16" t="s">
        <v>235</v>
      </c>
      <c r="AZ298" s="17">
        <f t="shared" si="147"/>
        <v>0</v>
      </c>
      <c r="BA298" s="16">
        <f t="shared" si="136"/>
        <v>5812765.3179190755</v>
      </c>
      <c r="BB298" s="16">
        <f t="shared" si="137"/>
        <v>5812765.3179190755</v>
      </c>
      <c r="BC298" s="15">
        <v>0.03</v>
      </c>
      <c r="BD298">
        <v>0.01</v>
      </c>
      <c r="BE298" s="37">
        <f t="shared" si="138"/>
        <v>529452</v>
      </c>
      <c r="BF298" s="38">
        <f t="shared" si="139"/>
        <v>326610</v>
      </c>
      <c r="BG298" s="37">
        <f t="shared" si="119"/>
        <v>269850</v>
      </c>
      <c r="BH298" s="37">
        <f t="shared" si="140"/>
        <v>286500</v>
      </c>
      <c r="BI298">
        <v>269850</v>
      </c>
      <c r="BL298" s="8">
        <f t="shared" si="141"/>
        <v>311965.31791907514</v>
      </c>
      <c r="BM298" s="7" t="str">
        <f t="shared" si="143"/>
        <v>Terdaftar BPJS Kes &amp; Naker</v>
      </c>
      <c r="BN298" s="11">
        <f t="shared" si="144"/>
        <v>326610</v>
      </c>
      <c r="BO298" s="11">
        <f t="shared" si="145"/>
        <v>260142.00000000003</v>
      </c>
      <c r="BP298" s="9">
        <f t="shared" si="142"/>
        <v>0</v>
      </c>
      <c r="BQ298" t="str">
        <f>_xlfn.XLOOKUP(X298,'[2]NON TETAP'!$H:$H,'[2]NON TETAP'!$I:$I)</f>
        <v>GRAMEDIA ASRI MEDIA</v>
      </c>
    </row>
    <row r="299" spans="1:69" x14ac:dyDescent="0.3">
      <c r="A299" s="2">
        <v>298</v>
      </c>
      <c r="B299" s="4" t="s">
        <v>2395</v>
      </c>
      <c r="C299" s="6" t="s">
        <v>241</v>
      </c>
      <c r="D299" s="6"/>
      <c r="E299" s="6" t="s">
        <v>73</v>
      </c>
      <c r="F299" s="6" t="s">
        <v>73</v>
      </c>
      <c r="G299" s="6"/>
      <c r="H299" s="6"/>
      <c r="I299" s="6"/>
      <c r="J299" s="6"/>
      <c r="K299" s="6">
        <v>800382</v>
      </c>
      <c r="L299" s="6"/>
      <c r="M299" s="6" t="str">
        <f>_xlfn.XLOOKUP(P299,[3]update_data_tk!$C$2:$C$545,[3]update_data_tk!$D$2:$D$545)</f>
        <v>25077450747</v>
      </c>
      <c r="N299" s="46" t="s">
        <v>2394</v>
      </c>
      <c r="O299" s="6">
        <v>1372425456</v>
      </c>
      <c r="P299" s="78" t="s">
        <v>2393</v>
      </c>
      <c r="Q299" s="6">
        <v>10196</v>
      </c>
      <c r="R299" s="6">
        <v>27196</v>
      </c>
      <c r="S299" s="5" t="str">
        <f>VLOOKUP(T299,'[1]Kode Posisi'!$A$3:$B$45,2,)</f>
        <v>Outsourcing Petugas Gudang</v>
      </c>
      <c r="T299" s="36" t="s">
        <v>2392</v>
      </c>
      <c r="U299" s="44" t="s">
        <v>46</v>
      </c>
      <c r="V299" s="44" t="s">
        <v>2391</v>
      </c>
      <c r="W299" s="36" t="s">
        <v>2363</v>
      </c>
      <c r="X299" s="36" t="s">
        <v>2363</v>
      </c>
      <c r="Y299" s="36" t="s">
        <v>63</v>
      </c>
      <c r="Z299" s="79" t="s">
        <v>2390</v>
      </c>
      <c r="AA299" s="36" t="s">
        <v>2389</v>
      </c>
      <c r="AB299" s="47">
        <v>5730000</v>
      </c>
      <c r="AC299" s="41">
        <v>5730000</v>
      </c>
      <c r="AD299" s="3">
        <v>5397000</v>
      </c>
      <c r="AE299" s="16">
        <f t="shared" si="124"/>
        <v>333000</v>
      </c>
      <c r="AF299" s="16">
        <v>0</v>
      </c>
      <c r="AG299" s="17">
        <v>0</v>
      </c>
      <c r="AI299" s="16">
        <v>623930.63583815028</v>
      </c>
      <c r="AK299" s="16">
        <v>0</v>
      </c>
      <c r="AL299" s="11">
        <f t="shared" si="125"/>
        <v>6353930.63583815</v>
      </c>
      <c r="AM299" s="16">
        <f t="shared" si="126"/>
        <v>586752</v>
      </c>
      <c r="AN299" s="16">
        <f t="shared" si="127"/>
        <v>229200</v>
      </c>
      <c r="AO299" s="16">
        <f t="shared" si="118"/>
        <v>357552</v>
      </c>
      <c r="AP299" s="16">
        <f t="shared" si="128"/>
        <v>212010</v>
      </c>
      <c r="AQ299" s="16">
        <f t="shared" si="129"/>
        <v>6940682.63583815</v>
      </c>
      <c r="AR299" s="16">
        <f t="shared" si="146"/>
        <v>416440.95815028896</v>
      </c>
      <c r="AS299" s="16">
        <f t="shared" si="130"/>
        <v>45808.505396531786</v>
      </c>
      <c r="AT299" s="16">
        <f t="shared" si="131"/>
        <v>-8328.819163005779</v>
      </c>
      <c r="AU299" s="16">
        <f t="shared" si="132"/>
        <v>7348794.7748254333</v>
      </c>
      <c r="AV299" s="16">
        <f t="shared" si="133"/>
        <v>7357123.5939884391</v>
      </c>
      <c r="AW299" s="16">
        <f t="shared" si="134"/>
        <v>229200</v>
      </c>
      <c r="AX299" s="16" t="s">
        <v>319</v>
      </c>
      <c r="AZ299" s="17">
        <f t="shared" si="147"/>
        <v>2900</v>
      </c>
      <c r="BA299" s="16">
        <f t="shared" si="136"/>
        <v>6124730.63583815</v>
      </c>
      <c r="BB299" s="16">
        <f t="shared" si="137"/>
        <v>6121830.63583815</v>
      </c>
      <c r="BC299" s="15">
        <v>0.03</v>
      </c>
      <c r="BD299">
        <v>0.01</v>
      </c>
      <c r="BE299" s="37">
        <f t="shared" si="138"/>
        <v>529452</v>
      </c>
      <c r="BF299" s="38">
        <f t="shared" si="139"/>
        <v>326610</v>
      </c>
      <c r="BG299" s="37">
        <f t="shared" si="119"/>
        <v>269850</v>
      </c>
      <c r="BH299" s="37">
        <f t="shared" si="140"/>
        <v>286500</v>
      </c>
      <c r="BI299">
        <v>269850</v>
      </c>
      <c r="BJ299" s="2">
        <v>269850</v>
      </c>
      <c r="BL299" s="8">
        <f t="shared" si="141"/>
        <v>623930.63583815028</v>
      </c>
      <c r="BM299" s="7" t="str">
        <f t="shared" si="143"/>
        <v>Terdaftar BPJS Kes &amp; Naker</v>
      </c>
      <c r="BN299" s="11">
        <f t="shared" si="144"/>
        <v>326610</v>
      </c>
      <c r="BO299" s="11">
        <f t="shared" si="145"/>
        <v>260142.00000000003</v>
      </c>
      <c r="BP299" s="9">
        <f t="shared" si="142"/>
        <v>0</v>
      </c>
      <c r="BQ299" t="str">
        <f>_xlfn.XLOOKUP(X299,'[2]NON TETAP'!$H:$H,'[2]NON TETAP'!$I:$I)</f>
        <v>GRAMEDIA ASRI MEDIA</v>
      </c>
    </row>
    <row r="300" spans="1:69" x14ac:dyDescent="0.3">
      <c r="A300" s="2">
        <v>299</v>
      </c>
      <c r="B300" s="4" t="s">
        <v>2388</v>
      </c>
      <c r="C300" s="6" t="s">
        <v>241</v>
      </c>
      <c r="D300" s="6"/>
      <c r="E300" s="6" t="s">
        <v>73</v>
      </c>
      <c r="F300" s="6" t="s">
        <v>73</v>
      </c>
      <c r="G300" s="6"/>
      <c r="H300" s="6"/>
      <c r="I300" s="6"/>
      <c r="J300" s="6"/>
      <c r="K300" s="6">
        <v>800383</v>
      </c>
      <c r="L300" s="6"/>
      <c r="M300" s="6" t="str">
        <f>_xlfn.XLOOKUP(P300,[3]update_data_tk!$C$2:$C$545,[3]update_data_tk!$D$2:$D$545)</f>
        <v>25077450762</v>
      </c>
      <c r="N300" s="46" t="s">
        <v>2387</v>
      </c>
      <c r="O300" s="6">
        <v>1800349064</v>
      </c>
      <c r="P300" s="78" t="s">
        <v>2386</v>
      </c>
      <c r="Q300" s="6">
        <v>10196</v>
      </c>
      <c r="R300" s="6">
        <v>27196</v>
      </c>
      <c r="S300" s="5" t="str">
        <f>VLOOKUP(T300,'[1]Kode Posisi'!$A$3:$B$45,2,)</f>
        <v>Outsourcing Petugas Gudang</v>
      </c>
      <c r="T300" s="36" t="s">
        <v>6</v>
      </c>
      <c r="U300" s="44" t="s">
        <v>46</v>
      </c>
      <c r="V300" s="44" t="s">
        <v>2385</v>
      </c>
      <c r="W300" s="36" t="s">
        <v>2363</v>
      </c>
      <c r="X300" s="36" t="s">
        <v>2363</v>
      </c>
      <c r="Y300" s="36" t="s">
        <v>52</v>
      </c>
      <c r="Z300" s="76" t="s">
        <v>2384</v>
      </c>
      <c r="AA300" s="36" t="s">
        <v>2383</v>
      </c>
      <c r="AB300" s="47">
        <v>5730000</v>
      </c>
      <c r="AC300" s="41">
        <v>5730000</v>
      </c>
      <c r="AD300" s="3">
        <v>5397000</v>
      </c>
      <c r="AE300" s="16">
        <f t="shared" si="124"/>
        <v>333000</v>
      </c>
      <c r="AF300" s="16">
        <v>0</v>
      </c>
      <c r="AG300" s="17">
        <v>0</v>
      </c>
      <c r="AI300" s="16">
        <v>93589.595375722536</v>
      </c>
      <c r="AK300" s="16">
        <v>0</v>
      </c>
      <c r="AL300" s="11">
        <f t="shared" si="125"/>
        <v>5823589.5953757223</v>
      </c>
      <c r="AM300" s="16">
        <f t="shared" si="126"/>
        <v>586752</v>
      </c>
      <c r="AN300" s="16">
        <f t="shared" si="127"/>
        <v>229200</v>
      </c>
      <c r="AO300" s="16">
        <f t="shared" si="118"/>
        <v>357552</v>
      </c>
      <c r="AP300" s="16">
        <f t="shared" si="128"/>
        <v>212010</v>
      </c>
      <c r="AQ300" s="16">
        <f t="shared" si="129"/>
        <v>6410341.5953757223</v>
      </c>
      <c r="AR300" s="16">
        <f t="shared" si="146"/>
        <v>384620.49572254333</v>
      </c>
      <c r="AS300" s="16">
        <f t="shared" si="130"/>
        <v>42308.254529479767</v>
      </c>
      <c r="AT300" s="16">
        <f t="shared" si="131"/>
        <v>-7692.4099144508664</v>
      </c>
      <c r="AU300" s="16">
        <f t="shared" si="132"/>
        <v>6787269.681183815</v>
      </c>
      <c r="AV300" s="16">
        <f t="shared" si="133"/>
        <v>6794962.0910982657</v>
      </c>
      <c r="AW300" s="16">
        <f t="shared" si="134"/>
        <v>229200</v>
      </c>
      <c r="AX300" s="16" t="s">
        <v>235</v>
      </c>
      <c r="AZ300" s="17">
        <f t="shared" si="147"/>
        <v>0</v>
      </c>
      <c r="BA300" s="16">
        <f t="shared" si="136"/>
        <v>5594389.5953757223</v>
      </c>
      <c r="BB300" s="16">
        <f t="shared" si="137"/>
        <v>5594389.5953757223</v>
      </c>
      <c r="BC300" s="15">
        <v>0.03</v>
      </c>
      <c r="BD300">
        <v>0.01</v>
      </c>
      <c r="BE300" s="37">
        <f t="shared" si="138"/>
        <v>529452</v>
      </c>
      <c r="BF300" s="38">
        <f t="shared" si="139"/>
        <v>326610</v>
      </c>
      <c r="BG300" s="37">
        <f t="shared" si="119"/>
        <v>269850</v>
      </c>
      <c r="BH300" s="37">
        <f t="shared" si="140"/>
        <v>286500</v>
      </c>
      <c r="BI300">
        <v>269850</v>
      </c>
      <c r="BL300" s="8">
        <f t="shared" si="141"/>
        <v>93589.595375722536</v>
      </c>
      <c r="BM300" s="7" t="str">
        <f t="shared" si="143"/>
        <v>Terdaftar BPJS Kes &amp; Naker</v>
      </c>
      <c r="BN300" s="11">
        <f t="shared" si="144"/>
        <v>326610</v>
      </c>
      <c r="BO300" s="11">
        <f t="shared" si="145"/>
        <v>260142.00000000003</v>
      </c>
      <c r="BP300" s="9">
        <f t="shared" si="142"/>
        <v>0</v>
      </c>
      <c r="BQ300" t="str">
        <f>_xlfn.XLOOKUP(X300,'[2]NON TETAP'!$H:$H,'[2]NON TETAP'!$I:$I)</f>
        <v>GRAMEDIA ASRI MEDIA</v>
      </c>
    </row>
    <row r="301" spans="1:69" x14ac:dyDescent="0.3">
      <c r="A301" s="2">
        <v>300</v>
      </c>
      <c r="B301" s="4" t="s">
        <v>2379</v>
      </c>
      <c r="C301" s="6" t="s">
        <v>241</v>
      </c>
      <c r="D301" s="6"/>
      <c r="E301" s="6" t="s">
        <v>73</v>
      </c>
      <c r="F301" s="6" t="s">
        <v>73</v>
      </c>
      <c r="G301" s="6"/>
      <c r="H301" s="6"/>
      <c r="I301" s="6"/>
      <c r="J301" s="6"/>
      <c r="K301" s="6">
        <v>800384</v>
      </c>
      <c r="L301" s="6"/>
      <c r="M301" s="6" t="str">
        <f>_xlfn.XLOOKUP(P301,[3]update_data_tk!$C$2:$C$545,[3]update_data_tk!$D$2:$D$545)</f>
        <v>25077450770</v>
      </c>
      <c r="N301" s="46" t="s">
        <v>2382</v>
      </c>
      <c r="O301" s="6">
        <v>3008582087</v>
      </c>
      <c r="P301" s="78" t="s">
        <v>2381</v>
      </c>
      <c r="Q301" s="6">
        <v>10196</v>
      </c>
      <c r="R301" s="6">
        <v>27196</v>
      </c>
      <c r="S301" s="5" t="str">
        <f>VLOOKUP(T301,'[1]Kode Posisi'!$A$3:$B$45,2,)</f>
        <v>Outsourcing Petugas Gudang</v>
      </c>
      <c r="T301" s="36" t="s">
        <v>6</v>
      </c>
      <c r="U301" s="44" t="s">
        <v>46</v>
      </c>
      <c r="V301" s="44" t="s">
        <v>2380</v>
      </c>
      <c r="W301" s="36" t="s">
        <v>2363</v>
      </c>
      <c r="X301" s="36" t="s">
        <v>2363</v>
      </c>
      <c r="Y301" s="36" t="s">
        <v>52</v>
      </c>
      <c r="Z301" s="79">
        <v>6871905115</v>
      </c>
      <c r="AA301" s="36" t="s">
        <v>2379</v>
      </c>
      <c r="AB301" s="47">
        <v>5730000</v>
      </c>
      <c r="AC301" s="41">
        <v>5730000</v>
      </c>
      <c r="AD301" s="3">
        <v>5397000</v>
      </c>
      <c r="AE301" s="16">
        <f t="shared" si="124"/>
        <v>333000</v>
      </c>
      <c r="AF301" s="16">
        <v>0</v>
      </c>
      <c r="AG301" s="17">
        <v>0</v>
      </c>
      <c r="AI301" s="16">
        <v>374358.38150289014</v>
      </c>
      <c r="AK301" s="16">
        <v>0</v>
      </c>
      <c r="AL301" s="11">
        <f t="shared" si="125"/>
        <v>6104358.38150289</v>
      </c>
      <c r="AM301" s="16">
        <f t="shared" si="126"/>
        <v>586752</v>
      </c>
      <c r="AN301" s="16">
        <f t="shared" si="127"/>
        <v>229200</v>
      </c>
      <c r="AO301" s="16">
        <f t="shared" si="118"/>
        <v>357552</v>
      </c>
      <c r="AP301" s="16">
        <f t="shared" si="128"/>
        <v>212010</v>
      </c>
      <c r="AQ301" s="16">
        <f t="shared" si="129"/>
        <v>6691110.38150289</v>
      </c>
      <c r="AR301" s="16">
        <f t="shared" si="146"/>
        <v>401466.6228901734</v>
      </c>
      <c r="AS301" s="16">
        <f t="shared" si="130"/>
        <v>44161.328517919072</v>
      </c>
      <c r="AT301" s="16">
        <f t="shared" si="131"/>
        <v>-8029.3324578034681</v>
      </c>
      <c r="AU301" s="16">
        <f t="shared" si="132"/>
        <v>7084547.6719352603</v>
      </c>
      <c r="AV301" s="16">
        <f t="shared" si="133"/>
        <v>7092577.0043930635</v>
      </c>
      <c r="AW301" s="16">
        <f t="shared" si="134"/>
        <v>229200</v>
      </c>
      <c r="AX301" s="16" t="s">
        <v>235</v>
      </c>
      <c r="AZ301" s="17">
        <f t="shared" si="147"/>
        <v>0</v>
      </c>
      <c r="BA301" s="16">
        <f t="shared" si="136"/>
        <v>5875158.38150289</v>
      </c>
      <c r="BB301" s="16">
        <f t="shared" si="137"/>
        <v>5875158.38150289</v>
      </c>
      <c r="BC301" s="15">
        <v>0.03</v>
      </c>
      <c r="BD301">
        <v>0.01</v>
      </c>
      <c r="BE301" s="37">
        <f t="shared" si="138"/>
        <v>529452</v>
      </c>
      <c r="BF301" s="38">
        <f t="shared" si="139"/>
        <v>326610</v>
      </c>
      <c r="BG301" s="37">
        <f t="shared" si="119"/>
        <v>269850</v>
      </c>
      <c r="BH301" s="37">
        <f t="shared" si="140"/>
        <v>286500</v>
      </c>
      <c r="BI301">
        <v>269850</v>
      </c>
      <c r="BL301" s="8">
        <f t="shared" si="141"/>
        <v>374358.38150289014</v>
      </c>
      <c r="BM301" s="7" t="str">
        <f t="shared" si="143"/>
        <v>Terdaftar BPJS Kes &amp; Naker</v>
      </c>
      <c r="BN301" s="11">
        <f t="shared" si="144"/>
        <v>326610</v>
      </c>
      <c r="BO301" s="11">
        <f t="shared" si="145"/>
        <v>260142.00000000003</v>
      </c>
      <c r="BP301" s="9">
        <f t="shared" si="142"/>
        <v>0</v>
      </c>
      <c r="BQ301" t="str">
        <f>_xlfn.XLOOKUP(X301,'[2]NON TETAP'!$H:$H,'[2]NON TETAP'!$I:$I)</f>
        <v>GRAMEDIA ASRI MEDIA</v>
      </c>
    </row>
    <row r="302" spans="1:69" x14ac:dyDescent="0.3">
      <c r="A302" s="2">
        <v>301</v>
      </c>
      <c r="B302" s="4" t="s">
        <v>2375</v>
      </c>
      <c r="C302" s="6" t="s">
        <v>241</v>
      </c>
      <c r="D302" s="6"/>
      <c r="E302" s="6" t="s">
        <v>73</v>
      </c>
      <c r="F302" s="6" t="s">
        <v>73</v>
      </c>
      <c r="G302" s="6"/>
      <c r="H302" s="6"/>
      <c r="I302" s="6"/>
      <c r="J302" s="6"/>
      <c r="K302" s="6">
        <v>800385</v>
      </c>
      <c r="L302" s="6"/>
      <c r="M302" s="6" t="str">
        <f>_xlfn.XLOOKUP(P302,[3]update_data_tk!$C$2:$C$545,[3]update_data_tk!$D$2:$D$545)</f>
        <v>25077450788</v>
      </c>
      <c r="N302" s="46" t="s">
        <v>2378</v>
      </c>
      <c r="O302" s="6">
        <v>3053242394</v>
      </c>
      <c r="P302" s="78" t="s">
        <v>2377</v>
      </c>
      <c r="Q302" s="6">
        <v>10196</v>
      </c>
      <c r="R302" s="6">
        <v>27196</v>
      </c>
      <c r="S302" s="5" t="str">
        <f>VLOOKUP(T302,'[1]Kode Posisi'!$A$3:$B$45,2,)</f>
        <v>Outsourcing Petugas Administrasi</v>
      </c>
      <c r="T302" s="36" t="s">
        <v>35</v>
      </c>
      <c r="U302" s="44" t="s">
        <v>46</v>
      </c>
      <c r="V302" s="44" t="s">
        <v>2376</v>
      </c>
      <c r="W302" s="36" t="s">
        <v>2363</v>
      </c>
      <c r="X302" s="36" t="s">
        <v>2363</v>
      </c>
      <c r="Y302" s="36" t="s">
        <v>52</v>
      </c>
      <c r="Z302" s="79">
        <v>5855110447</v>
      </c>
      <c r="AA302" s="36" t="s">
        <v>2375</v>
      </c>
      <c r="AB302" s="47">
        <v>5730000</v>
      </c>
      <c r="AC302" s="41">
        <v>5730000</v>
      </c>
      <c r="AD302" s="3">
        <v>5397000</v>
      </c>
      <c r="AE302" s="16">
        <f t="shared" si="124"/>
        <v>333000</v>
      </c>
      <c r="AF302" s="16">
        <v>0</v>
      </c>
      <c r="AG302" s="17">
        <v>0</v>
      </c>
      <c r="AI302" s="16">
        <v>93589.595375722536</v>
      </c>
      <c r="AK302" s="16">
        <v>0</v>
      </c>
      <c r="AL302" s="11">
        <f t="shared" si="125"/>
        <v>5823589.5953757223</v>
      </c>
      <c r="AM302" s="16">
        <f t="shared" si="126"/>
        <v>586752</v>
      </c>
      <c r="AN302" s="16">
        <f t="shared" si="127"/>
        <v>229200</v>
      </c>
      <c r="AO302" s="16">
        <f t="shared" ref="AO302:AO365" si="148">IF(BC302=0.03,AC302*0.0624,0)</f>
        <v>357552</v>
      </c>
      <c r="AP302" s="16">
        <f t="shared" si="128"/>
        <v>212010</v>
      </c>
      <c r="AQ302" s="16">
        <f t="shared" si="129"/>
        <v>6410341.5953757223</v>
      </c>
      <c r="AR302" s="16">
        <f t="shared" si="146"/>
        <v>384620.49572254333</v>
      </c>
      <c r="AS302" s="16">
        <f t="shared" si="130"/>
        <v>42308.254529479767</v>
      </c>
      <c r="AT302" s="16">
        <f t="shared" si="131"/>
        <v>-7692.4099144508664</v>
      </c>
      <c r="AU302" s="16">
        <f t="shared" si="132"/>
        <v>6787269.681183815</v>
      </c>
      <c r="AV302" s="16">
        <f t="shared" si="133"/>
        <v>6794962.0910982657</v>
      </c>
      <c r="AW302" s="16">
        <f t="shared" si="134"/>
        <v>229200</v>
      </c>
      <c r="AX302" s="16" t="s">
        <v>235</v>
      </c>
      <c r="AZ302" s="17">
        <f t="shared" si="147"/>
        <v>0</v>
      </c>
      <c r="BA302" s="16">
        <f t="shared" si="136"/>
        <v>5594389.5953757223</v>
      </c>
      <c r="BB302" s="16">
        <f t="shared" si="137"/>
        <v>5594389.5953757223</v>
      </c>
      <c r="BC302" s="15">
        <v>0.03</v>
      </c>
      <c r="BD302">
        <v>0.01</v>
      </c>
      <c r="BE302" s="37">
        <f t="shared" si="138"/>
        <v>529452</v>
      </c>
      <c r="BF302" s="38">
        <f t="shared" si="139"/>
        <v>326610</v>
      </c>
      <c r="BG302" s="37">
        <f t="shared" ref="BG302:BG365" si="149">5%*AD302</f>
        <v>269850</v>
      </c>
      <c r="BH302" s="37">
        <f t="shared" si="140"/>
        <v>286500</v>
      </c>
      <c r="BI302">
        <v>269850</v>
      </c>
      <c r="BL302" s="8">
        <f t="shared" si="141"/>
        <v>93589.595375722536</v>
      </c>
      <c r="BM302" s="7" t="str">
        <f t="shared" si="143"/>
        <v>Terdaftar BPJS Kes &amp; Naker</v>
      </c>
      <c r="BN302" s="11">
        <f t="shared" si="144"/>
        <v>326610</v>
      </c>
      <c r="BO302" s="11">
        <f t="shared" si="145"/>
        <v>260142.00000000003</v>
      </c>
      <c r="BP302" s="9">
        <f t="shared" si="142"/>
        <v>0</v>
      </c>
      <c r="BQ302" t="str">
        <f>_xlfn.XLOOKUP(X302,'[2]NON TETAP'!$H:$H,'[2]NON TETAP'!$I:$I)</f>
        <v>GRAMEDIA ASRI MEDIA</v>
      </c>
    </row>
    <row r="303" spans="1:69" x14ac:dyDescent="0.3">
      <c r="A303" s="2">
        <v>302</v>
      </c>
      <c r="B303" s="4" t="s">
        <v>2374</v>
      </c>
      <c r="C303" s="6" t="s">
        <v>241</v>
      </c>
      <c r="D303" s="6"/>
      <c r="E303" s="6" t="s">
        <v>73</v>
      </c>
      <c r="F303" s="6" t="s">
        <v>73</v>
      </c>
      <c r="G303" s="6"/>
      <c r="H303" s="6"/>
      <c r="I303" s="6"/>
      <c r="J303" s="6" t="s">
        <v>2373</v>
      </c>
      <c r="K303" s="6">
        <v>800386</v>
      </c>
      <c r="L303" s="6"/>
      <c r="M303" s="6" t="str">
        <f>_xlfn.XLOOKUP(P303,[3]update_data_tk!$C$2:$C$545,[3]update_data_tk!$D$2:$D$545)</f>
        <v>25077450796</v>
      </c>
      <c r="N303" s="46" t="s">
        <v>2372</v>
      </c>
      <c r="O303" s="6">
        <v>1217087403</v>
      </c>
      <c r="P303" s="78" t="s">
        <v>2371</v>
      </c>
      <c r="Q303" s="6">
        <v>10196</v>
      </c>
      <c r="R303" s="6">
        <v>27196</v>
      </c>
      <c r="S303" s="5" t="str">
        <f>VLOOKUP(T303,'[1]Kode Posisi'!$A$3:$B$45,2,)</f>
        <v>Outsourcing Petugas Gudang</v>
      </c>
      <c r="T303" s="36" t="s">
        <v>6</v>
      </c>
      <c r="U303" s="44" t="s">
        <v>46</v>
      </c>
      <c r="V303" s="44" t="s">
        <v>2370</v>
      </c>
      <c r="W303" s="36" t="s">
        <v>2363</v>
      </c>
      <c r="X303" s="36" t="s">
        <v>2363</v>
      </c>
      <c r="Y303" s="36" t="s">
        <v>63</v>
      </c>
      <c r="Z303" s="79" t="s">
        <v>2369</v>
      </c>
      <c r="AA303" s="36" t="s">
        <v>2368</v>
      </c>
      <c r="AB303" s="47">
        <v>5730000</v>
      </c>
      <c r="AC303" s="41">
        <v>5730000</v>
      </c>
      <c r="AD303" s="3">
        <v>5397000</v>
      </c>
      <c r="AE303" s="16">
        <f t="shared" si="124"/>
        <v>333000</v>
      </c>
      <c r="AF303" s="16">
        <v>0</v>
      </c>
      <c r="AG303" s="17">
        <v>0</v>
      </c>
      <c r="AI303" s="16">
        <v>483546.24277456646</v>
      </c>
      <c r="AK303" s="16">
        <v>0</v>
      </c>
      <c r="AL303" s="11">
        <f t="shared" si="125"/>
        <v>6213546.2427745666</v>
      </c>
      <c r="AM303" s="16">
        <f t="shared" si="126"/>
        <v>586752</v>
      </c>
      <c r="AN303" s="16">
        <f t="shared" si="127"/>
        <v>229200</v>
      </c>
      <c r="AO303" s="16">
        <f t="shared" si="148"/>
        <v>357552</v>
      </c>
      <c r="AP303" s="16">
        <f t="shared" si="128"/>
        <v>212010</v>
      </c>
      <c r="AQ303" s="16">
        <f t="shared" si="129"/>
        <v>6800298.2427745666</v>
      </c>
      <c r="AR303" s="16">
        <f t="shared" si="146"/>
        <v>408017.89456647396</v>
      </c>
      <c r="AS303" s="16">
        <f t="shared" si="130"/>
        <v>44881.968402312137</v>
      </c>
      <c r="AT303" s="16">
        <f t="shared" si="131"/>
        <v>-8160.3578913294796</v>
      </c>
      <c r="AU303" s="16">
        <f t="shared" si="132"/>
        <v>7200155.7794497106</v>
      </c>
      <c r="AV303" s="16">
        <f t="shared" si="133"/>
        <v>7208316.1373410402</v>
      </c>
      <c r="AW303" s="16">
        <f t="shared" si="134"/>
        <v>229200</v>
      </c>
      <c r="AX303" s="16" t="s">
        <v>235</v>
      </c>
      <c r="AZ303" s="17">
        <v>2900</v>
      </c>
      <c r="BA303" s="16">
        <f t="shared" si="136"/>
        <v>5984346.2427745666</v>
      </c>
      <c r="BB303" s="16">
        <f t="shared" si="137"/>
        <v>5981446.2427745666</v>
      </c>
      <c r="BC303" s="15">
        <v>0.03</v>
      </c>
      <c r="BD303">
        <v>0.01</v>
      </c>
      <c r="BE303" s="37">
        <f t="shared" si="138"/>
        <v>529452</v>
      </c>
      <c r="BF303" s="38">
        <f t="shared" si="139"/>
        <v>326610</v>
      </c>
      <c r="BG303" s="37">
        <f t="shared" si="149"/>
        <v>269850</v>
      </c>
      <c r="BH303" s="37">
        <f t="shared" si="140"/>
        <v>286500</v>
      </c>
      <c r="BI303">
        <v>269850</v>
      </c>
      <c r="BL303" s="8">
        <f t="shared" si="141"/>
        <v>483546.24277456646</v>
      </c>
      <c r="BM303" s="7" t="str">
        <f t="shared" si="143"/>
        <v>Terdaftar BPJS Kes &amp; Naker</v>
      </c>
      <c r="BN303" s="11">
        <f t="shared" si="144"/>
        <v>326610</v>
      </c>
      <c r="BO303" s="11">
        <f t="shared" si="145"/>
        <v>260142.00000000003</v>
      </c>
      <c r="BP303" s="9">
        <f t="shared" si="142"/>
        <v>0</v>
      </c>
      <c r="BQ303" t="str">
        <f>_xlfn.XLOOKUP(X303,'[2]NON TETAP'!$H:$H,'[2]NON TETAP'!$I:$I)</f>
        <v>GRAMEDIA ASRI MEDIA</v>
      </c>
    </row>
    <row r="304" spans="1:69" x14ac:dyDescent="0.3">
      <c r="A304" s="2">
        <v>303</v>
      </c>
      <c r="B304" s="4" t="s">
        <v>2367</v>
      </c>
      <c r="C304" s="6" t="s">
        <v>241</v>
      </c>
      <c r="D304" s="6"/>
      <c r="E304" s="6" t="s">
        <v>73</v>
      </c>
      <c r="F304" s="6" t="s">
        <v>73</v>
      </c>
      <c r="G304" s="6"/>
      <c r="H304" s="6"/>
      <c r="I304" s="6"/>
      <c r="J304" s="6"/>
      <c r="K304" s="6">
        <v>800387</v>
      </c>
      <c r="L304" s="6"/>
      <c r="M304" s="6" t="str">
        <f>_xlfn.XLOOKUP(P304,[4]data_upah!$A$2:$A$545,[4]data_upah!$C$2:$C$545)</f>
        <v>25051199393</v>
      </c>
      <c r="N304" s="46" t="s">
        <v>2366</v>
      </c>
      <c r="O304" s="6">
        <v>1901590154</v>
      </c>
      <c r="P304" s="78" t="s">
        <v>2365</v>
      </c>
      <c r="Q304" s="6">
        <v>10196</v>
      </c>
      <c r="R304" s="6">
        <v>27196</v>
      </c>
      <c r="S304" s="5" t="str">
        <f>VLOOKUP(T304,'[1]Kode Posisi'!$A$3:$B$45,2,)</f>
        <v>Outsourcing Petugas Gudang</v>
      </c>
      <c r="T304" s="36" t="s">
        <v>6</v>
      </c>
      <c r="U304" s="44" t="s">
        <v>46</v>
      </c>
      <c r="V304" s="44" t="s">
        <v>2364</v>
      </c>
      <c r="W304" s="36" t="s">
        <v>2363</v>
      </c>
      <c r="X304" s="36" t="s">
        <v>2363</v>
      </c>
      <c r="Y304" s="36" t="s">
        <v>52</v>
      </c>
      <c r="Z304" s="79">
        <v>8651001579</v>
      </c>
      <c r="AA304" s="36" t="s">
        <v>2362</v>
      </c>
      <c r="AB304" s="47">
        <v>5730000</v>
      </c>
      <c r="AC304" s="41">
        <v>5730000</v>
      </c>
      <c r="AD304" s="3">
        <v>5397000</v>
      </c>
      <c r="AE304" s="16">
        <f t="shared" si="124"/>
        <v>333000</v>
      </c>
      <c r="AF304" s="16">
        <v>0</v>
      </c>
      <c r="AG304" s="17">
        <v>0</v>
      </c>
      <c r="AI304" s="16">
        <v>0</v>
      </c>
      <c r="AK304" s="16">
        <v>0</v>
      </c>
      <c r="AL304" s="11">
        <f t="shared" si="125"/>
        <v>5730000</v>
      </c>
      <c r="AM304" s="16">
        <f t="shared" si="126"/>
        <v>586752</v>
      </c>
      <c r="AN304" s="16">
        <f t="shared" si="127"/>
        <v>229200</v>
      </c>
      <c r="AO304" s="16">
        <f t="shared" si="148"/>
        <v>357552</v>
      </c>
      <c r="AP304" s="16">
        <f t="shared" si="128"/>
        <v>212010</v>
      </c>
      <c r="AQ304" s="16">
        <f t="shared" si="129"/>
        <v>6316752</v>
      </c>
      <c r="AR304" s="16">
        <f t="shared" si="146"/>
        <v>379005.12</v>
      </c>
      <c r="AS304" s="16">
        <f t="shared" si="130"/>
        <v>41690.563199999997</v>
      </c>
      <c r="AT304" s="16">
        <f t="shared" si="131"/>
        <v>-7580.1023999999998</v>
      </c>
      <c r="AU304" s="16">
        <f t="shared" si="132"/>
        <v>6688177.0175999999</v>
      </c>
      <c r="AV304" s="16">
        <f t="shared" si="133"/>
        <v>6695757.1200000001</v>
      </c>
      <c r="AW304" s="16">
        <f t="shared" si="134"/>
        <v>229200</v>
      </c>
      <c r="AX304" s="16" t="s">
        <v>235</v>
      </c>
      <c r="AZ304" s="17">
        <f t="shared" ref="AZ304:AZ335" si="150">IF(Y304="BCA",0,2900)</f>
        <v>0</v>
      </c>
      <c r="BA304" s="16">
        <f t="shared" si="136"/>
        <v>5500800</v>
      </c>
      <c r="BB304" s="16">
        <f t="shared" si="137"/>
        <v>5500800</v>
      </c>
      <c r="BC304">
        <v>0.03</v>
      </c>
      <c r="BD304">
        <v>0.01</v>
      </c>
      <c r="BE304" s="37">
        <f t="shared" si="138"/>
        <v>529452</v>
      </c>
      <c r="BF304" s="38">
        <f t="shared" si="139"/>
        <v>326610</v>
      </c>
      <c r="BG304" s="37">
        <f t="shared" si="149"/>
        <v>269850</v>
      </c>
      <c r="BH304" s="37">
        <f t="shared" si="140"/>
        <v>286500</v>
      </c>
      <c r="BI304">
        <v>269850</v>
      </c>
      <c r="BL304" s="8">
        <f t="shared" si="141"/>
        <v>0</v>
      </c>
      <c r="BM304" s="7" t="str">
        <f t="shared" si="143"/>
        <v>Terdaftar BPJS Kes &amp; Naker</v>
      </c>
      <c r="BN304" s="11">
        <f t="shared" si="144"/>
        <v>326610</v>
      </c>
      <c r="BO304" s="11">
        <f t="shared" si="145"/>
        <v>260142.00000000003</v>
      </c>
      <c r="BP304" s="9">
        <f t="shared" si="142"/>
        <v>0</v>
      </c>
      <c r="BQ304" t="str">
        <f>_xlfn.XLOOKUP(X304,'[2]NON TETAP'!$H:$H,'[2]NON TETAP'!$I:$I)</f>
        <v>GRAMEDIA ASRI MEDIA</v>
      </c>
    </row>
    <row r="305" spans="1:69" x14ac:dyDescent="0.3">
      <c r="A305" s="2">
        <v>304</v>
      </c>
      <c r="B305" s="4" t="s">
        <v>2356</v>
      </c>
      <c r="C305" s="6" t="s">
        <v>241</v>
      </c>
      <c r="D305" s="6"/>
      <c r="E305" s="6" t="s">
        <v>73</v>
      </c>
      <c r="F305" s="6" t="s">
        <v>73</v>
      </c>
      <c r="G305" s="6"/>
      <c r="H305" s="6"/>
      <c r="I305" s="6"/>
      <c r="J305" s="6"/>
      <c r="K305" s="6">
        <v>800388</v>
      </c>
      <c r="L305" s="6" t="s">
        <v>2361</v>
      </c>
      <c r="M305" s="6" t="str">
        <f>_xlfn.XLOOKUP(P305,[3]update_data_tk!$C$2:$C$545,[3]update_data_tk!$D$2:$D$545)</f>
        <v>25077450804</v>
      </c>
      <c r="N305" s="46" t="s">
        <v>2360</v>
      </c>
      <c r="O305" s="6">
        <v>618849538</v>
      </c>
      <c r="P305" s="78" t="s">
        <v>2359</v>
      </c>
      <c r="Q305" s="6">
        <v>33086</v>
      </c>
      <c r="R305" s="6">
        <v>27521</v>
      </c>
      <c r="S305" s="5" t="str">
        <f>VLOOKUP(T305,'[1]Kode Posisi'!$A$3:$B$45,2,)</f>
        <v>Outsourcing Petugas Administrasi</v>
      </c>
      <c r="T305" s="36" t="s">
        <v>2358</v>
      </c>
      <c r="U305" s="44" t="s">
        <v>1106</v>
      </c>
      <c r="V305" s="44" t="s">
        <v>2357</v>
      </c>
      <c r="W305" s="36" t="s">
        <v>25</v>
      </c>
      <c r="X305" s="36" t="s">
        <v>25</v>
      </c>
      <c r="Y305" s="36" t="s">
        <v>52</v>
      </c>
      <c r="Z305" s="79">
        <v>3420403631</v>
      </c>
      <c r="AA305" s="36" t="s">
        <v>2356</v>
      </c>
      <c r="AB305" s="47">
        <v>5730000</v>
      </c>
      <c r="AC305" s="41">
        <v>5730000</v>
      </c>
      <c r="AD305" s="3">
        <v>5397000</v>
      </c>
      <c r="AE305" s="16">
        <f t="shared" si="124"/>
        <v>333000</v>
      </c>
      <c r="AF305" s="16">
        <v>200000</v>
      </c>
      <c r="AG305" s="17">
        <v>0</v>
      </c>
      <c r="AI305" s="16">
        <v>0</v>
      </c>
      <c r="AK305" s="16">
        <v>0</v>
      </c>
      <c r="AL305" s="11">
        <f t="shared" si="125"/>
        <v>5930000</v>
      </c>
      <c r="AM305" s="16">
        <f t="shared" si="126"/>
        <v>586752</v>
      </c>
      <c r="AN305" s="16">
        <f t="shared" si="127"/>
        <v>229200</v>
      </c>
      <c r="AO305" s="16">
        <f t="shared" si="148"/>
        <v>357552</v>
      </c>
      <c r="AP305" s="16">
        <f t="shared" si="128"/>
        <v>219410</v>
      </c>
      <c r="AQ305" s="16">
        <f t="shared" si="129"/>
        <v>6516752</v>
      </c>
      <c r="AR305" s="16">
        <f t="shared" si="146"/>
        <v>391005.12</v>
      </c>
      <c r="AS305" s="16">
        <f t="shared" si="130"/>
        <v>43010.563199999997</v>
      </c>
      <c r="AT305" s="16">
        <f t="shared" si="131"/>
        <v>-7820.1023999999998</v>
      </c>
      <c r="AU305" s="16">
        <f t="shared" si="132"/>
        <v>6899937.0175999999</v>
      </c>
      <c r="AV305" s="16">
        <f t="shared" si="133"/>
        <v>6907757.1200000001</v>
      </c>
      <c r="AW305" s="16">
        <f t="shared" si="134"/>
        <v>229200</v>
      </c>
      <c r="AX305" s="16" t="s">
        <v>235</v>
      </c>
      <c r="AZ305" s="17">
        <f t="shared" si="150"/>
        <v>0</v>
      </c>
      <c r="BA305" s="16">
        <f t="shared" si="136"/>
        <v>5700800</v>
      </c>
      <c r="BB305" s="16">
        <f t="shared" si="137"/>
        <v>5700800</v>
      </c>
      <c r="BC305" s="15">
        <v>0.03</v>
      </c>
      <c r="BD305">
        <v>0.01</v>
      </c>
      <c r="BE305" s="37">
        <f t="shared" si="138"/>
        <v>529452</v>
      </c>
      <c r="BF305" s="38">
        <f t="shared" si="139"/>
        <v>326610</v>
      </c>
      <c r="BG305" s="37">
        <f t="shared" si="149"/>
        <v>269850</v>
      </c>
      <c r="BH305" s="37">
        <f t="shared" si="140"/>
        <v>286500</v>
      </c>
      <c r="BI305">
        <v>269850</v>
      </c>
      <c r="BL305" s="8">
        <f t="shared" si="141"/>
        <v>200000</v>
      </c>
      <c r="BM305" s="7" t="str">
        <f t="shared" si="143"/>
        <v>Terdaftar BPJS Kes &amp; Naker</v>
      </c>
      <c r="BN305" s="11">
        <f t="shared" si="144"/>
        <v>326610</v>
      </c>
      <c r="BO305" s="11">
        <f t="shared" si="145"/>
        <v>260142.00000000003</v>
      </c>
      <c r="BP305" s="9">
        <f t="shared" si="142"/>
        <v>0</v>
      </c>
      <c r="BQ305" t="str">
        <f>_xlfn.XLOOKUP(X305,'[2]NON TETAP'!$H:$H,'[2]NON TETAP'!$I:$I)</f>
        <v>GRAMEDIA ASRI MEDIA</v>
      </c>
    </row>
    <row r="306" spans="1:69" ht="15.6" x14ac:dyDescent="0.3">
      <c r="A306" s="2">
        <v>305</v>
      </c>
      <c r="B306" s="4" t="s">
        <v>2355</v>
      </c>
      <c r="C306" s="6" t="s">
        <v>241</v>
      </c>
      <c r="D306" s="6"/>
      <c r="E306" s="6" t="s">
        <v>73</v>
      </c>
      <c r="F306" s="6" t="s">
        <v>73</v>
      </c>
      <c r="G306" s="6"/>
      <c r="H306" s="6"/>
      <c r="I306" s="6"/>
      <c r="J306" s="6"/>
      <c r="K306" s="6">
        <v>800389</v>
      </c>
      <c r="L306" s="6"/>
      <c r="M306" s="6" t="e">
        <f>_xlfn.XLOOKUP(P306,[3]update_data_tk!$C$2:$C$545,[3]update_data_tk!$D$2:$D$545)</f>
        <v>#N/A</v>
      </c>
      <c r="N306" s="46"/>
      <c r="O306" s="6"/>
      <c r="P306" s="36" t="s">
        <v>2354</v>
      </c>
      <c r="Q306" s="6" t="s">
        <v>30</v>
      </c>
      <c r="R306" s="6">
        <v>27090</v>
      </c>
      <c r="S306" s="5" t="str">
        <f>VLOOKUP(T306,'[1]Kode Posisi'!$A$3:$B$45,2,)</f>
        <v>Outsourcing Cleaning Service</v>
      </c>
      <c r="T306" s="36" t="s">
        <v>2353</v>
      </c>
      <c r="U306" s="44" t="s">
        <v>1106</v>
      </c>
      <c r="V306" s="44" t="s">
        <v>2352</v>
      </c>
      <c r="W306" s="36" t="s">
        <v>30</v>
      </c>
      <c r="X306" s="36" t="s">
        <v>30</v>
      </c>
      <c r="Y306" s="36" t="s">
        <v>473</v>
      </c>
      <c r="Z306" s="76" t="s">
        <v>2351</v>
      </c>
      <c r="AA306" s="36" t="s">
        <v>2350</v>
      </c>
      <c r="AB306" s="3">
        <v>5397000</v>
      </c>
      <c r="AC306" s="41">
        <v>5730000</v>
      </c>
      <c r="AD306" s="3">
        <v>5397000</v>
      </c>
      <c r="AE306" s="16">
        <f t="shared" si="124"/>
        <v>0</v>
      </c>
      <c r="AF306" s="16">
        <v>0</v>
      </c>
      <c r="AG306">
        <v>1250000</v>
      </c>
      <c r="AI306" s="16">
        <v>0</v>
      </c>
      <c r="AJ306" s="11"/>
      <c r="AK306" s="16">
        <v>0</v>
      </c>
      <c r="AL306" s="11">
        <f t="shared" si="125"/>
        <v>6647000</v>
      </c>
      <c r="AM306" s="16">
        <f t="shared" si="126"/>
        <v>0</v>
      </c>
      <c r="AN306" s="16">
        <f t="shared" si="127"/>
        <v>0</v>
      </c>
      <c r="AO306" s="16">
        <f t="shared" si="148"/>
        <v>0</v>
      </c>
      <c r="AP306" s="16">
        <f t="shared" si="128"/>
        <v>0</v>
      </c>
      <c r="AQ306" s="16">
        <f t="shared" si="129"/>
        <v>6647000</v>
      </c>
      <c r="AR306" s="16"/>
      <c r="AS306" s="16">
        <f t="shared" si="130"/>
        <v>0</v>
      </c>
      <c r="AT306" s="16">
        <f t="shared" si="131"/>
        <v>0</v>
      </c>
      <c r="AU306" s="16">
        <f t="shared" si="132"/>
        <v>6647000</v>
      </c>
      <c r="AV306" s="16">
        <f t="shared" si="133"/>
        <v>6647000</v>
      </c>
      <c r="AW306" s="16">
        <f t="shared" si="134"/>
        <v>0</v>
      </c>
      <c r="AX306" s="16" t="s">
        <v>319</v>
      </c>
      <c r="AY306" s="11"/>
      <c r="AZ306" s="17">
        <f t="shared" si="150"/>
        <v>2900</v>
      </c>
      <c r="BA306" s="16">
        <f t="shared" si="136"/>
        <v>6647000</v>
      </c>
      <c r="BB306" s="16">
        <f t="shared" si="137"/>
        <v>6644100</v>
      </c>
      <c r="BD306" s="15"/>
      <c r="BE306" s="37">
        <f t="shared" si="138"/>
        <v>0</v>
      </c>
      <c r="BF306" s="38">
        <f t="shared" si="139"/>
        <v>0</v>
      </c>
      <c r="BG306" s="37">
        <f t="shared" si="149"/>
        <v>269850</v>
      </c>
      <c r="BH306" s="37">
        <f t="shared" si="140"/>
        <v>0</v>
      </c>
      <c r="BI306">
        <v>0</v>
      </c>
      <c r="BL306" s="8">
        <f t="shared" si="141"/>
        <v>1250000</v>
      </c>
      <c r="BM306" s="7" t="str">
        <f>IF(AND(BC306=0.03,0.2,BD306=0.01),"Terdaftar BPJS Kes &amp; Naker","Tidak Terdaftar")</f>
        <v>Tidak Terdaftar</v>
      </c>
      <c r="BN306" s="11"/>
      <c r="BO306" s="11"/>
      <c r="BP306" s="9">
        <f t="shared" si="142"/>
        <v>0</v>
      </c>
      <c r="BQ306" s="58" t="s">
        <v>29</v>
      </c>
    </row>
    <row r="307" spans="1:69" x14ac:dyDescent="0.3">
      <c r="A307" s="2">
        <v>306</v>
      </c>
      <c r="B307" s="4" t="s">
        <v>2349</v>
      </c>
      <c r="C307" s="6" t="s">
        <v>241</v>
      </c>
      <c r="D307" s="6"/>
      <c r="E307" s="6" t="s">
        <v>73</v>
      </c>
      <c r="F307" s="6" t="s">
        <v>73</v>
      </c>
      <c r="G307" s="6"/>
      <c r="H307" s="6"/>
      <c r="I307" s="6"/>
      <c r="J307" s="6"/>
      <c r="K307" s="6">
        <v>800392</v>
      </c>
      <c r="L307" s="6" t="s">
        <v>2348</v>
      </c>
      <c r="M307" s="6" t="str">
        <f>_xlfn.XLOOKUP(P307,[3]update_data_tk!$C$2:$C$545,[3]update_data_tk!$D$2:$D$545)</f>
        <v>25077451877</v>
      </c>
      <c r="N307" s="46" t="s">
        <v>2347</v>
      </c>
      <c r="O307" s="6">
        <v>1220296779</v>
      </c>
      <c r="P307" s="78" t="s">
        <v>2346</v>
      </c>
      <c r="Q307" s="6">
        <v>99090</v>
      </c>
      <c r="R307" s="6">
        <v>27004</v>
      </c>
      <c r="S307" s="5" t="str">
        <f>VLOOKUP(T307,'[1]Kode Posisi'!$A$3:$B$45,2,)</f>
        <v>Outsourcing Penjualan</v>
      </c>
      <c r="T307" s="36" t="s">
        <v>21</v>
      </c>
      <c r="U307" s="44" t="e">
        <v>#N/A</v>
      </c>
      <c r="V307" s="44" t="s">
        <v>2345</v>
      </c>
      <c r="W307" s="36" t="s">
        <v>1244</v>
      </c>
      <c r="X307" s="36" t="s">
        <v>23</v>
      </c>
      <c r="Y307" s="36" t="s">
        <v>52</v>
      </c>
      <c r="Z307" s="79">
        <v>2290254089</v>
      </c>
      <c r="AA307" s="36" t="s">
        <v>2344</v>
      </c>
      <c r="AB307" s="47">
        <v>5730000</v>
      </c>
      <c r="AC307" s="41">
        <v>5730000</v>
      </c>
      <c r="AD307" s="3">
        <v>5397000</v>
      </c>
      <c r="AE307" s="16">
        <f t="shared" si="124"/>
        <v>333000</v>
      </c>
      <c r="AF307" s="16">
        <v>0</v>
      </c>
      <c r="AG307" s="17">
        <v>0</v>
      </c>
      <c r="AI307" s="16">
        <v>0</v>
      </c>
      <c r="AK307" s="16">
        <v>0</v>
      </c>
      <c r="AL307" s="11">
        <f t="shared" si="125"/>
        <v>5730000</v>
      </c>
      <c r="AM307" s="16">
        <f t="shared" si="126"/>
        <v>586752</v>
      </c>
      <c r="AN307" s="16">
        <f t="shared" si="127"/>
        <v>229200</v>
      </c>
      <c r="AO307" s="16">
        <f t="shared" si="148"/>
        <v>357552</v>
      </c>
      <c r="AP307" s="16">
        <f t="shared" si="128"/>
        <v>212010</v>
      </c>
      <c r="AQ307" s="16">
        <f t="shared" si="129"/>
        <v>6316752</v>
      </c>
      <c r="AR307" s="16">
        <f t="shared" ref="AR307:AR370" si="151">SUM(AQ307*0.06)</f>
        <v>379005.12</v>
      </c>
      <c r="AS307" s="16">
        <f t="shared" si="130"/>
        <v>41690.563199999997</v>
      </c>
      <c r="AT307" s="16">
        <f t="shared" si="131"/>
        <v>-7580.1023999999998</v>
      </c>
      <c r="AU307" s="16">
        <f t="shared" si="132"/>
        <v>6688177.0175999999</v>
      </c>
      <c r="AV307" s="16">
        <f t="shared" si="133"/>
        <v>6695757.1200000001</v>
      </c>
      <c r="AW307" s="16">
        <f t="shared" si="134"/>
        <v>229200</v>
      </c>
      <c r="AX307" s="16" t="s">
        <v>235</v>
      </c>
      <c r="AZ307" s="17">
        <f t="shared" si="150"/>
        <v>0</v>
      </c>
      <c r="BA307" s="16">
        <f t="shared" si="136"/>
        <v>5500800</v>
      </c>
      <c r="BB307" s="16">
        <f t="shared" si="137"/>
        <v>5500800</v>
      </c>
      <c r="BC307">
        <v>0.03</v>
      </c>
      <c r="BD307">
        <v>0.01</v>
      </c>
      <c r="BE307" s="37">
        <f t="shared" si="138"/>
        <v>529452</v>
      </c>
      <c r="BF307" s="38">
        <f t="shared" si="139"/>
        <v>326610</v>
      </c>
      <c r="BG307" s="37">
        <f t="shared" si="149"/>
        <v>269850</v>
      </c>
      <c r="BH307" s="37">
        <f t="shared" si="140"/>
        <v>286500</v>
      </c>
      <c r="BI307">
        <v>269850</v>
      </c>
      <c r="BL307" s="8">
        <f t="shared" si="141"/>
        <v>0</v>
      </c>
      <c r="BM307" s="7" t="str">
        <f t="shared" ref="BM307:BM370" si="152">IF(AND(BC307=0.03,BD307=0.01),"Terdaftar BPJS Kes &amp; Naker","Tidak Terdaftar")</f>
        <v>Terdaftar BPJS Kes &amp; Naker</v>
      </c>
      <c r="BN307" s="11">
        <f t="shared" ref="BN307:BN370" si="153">AC307*5.7%</f>
        <v>326610</v>
      </c>
      <c r="BO307" s="11">
        <f t="shared" ref="BO307:BO370" si="154">AC307*4.54%</f>
        <v>260142.00000000003</v>
      </c>
      <c r="BP307" s="9">
        <f t="shared" si="142"/>
        <v>0</v>
      </c>
      <c r="BQ307" t="str">
        <f>_xlfn.XLOOKUP(X307,'[2]NON TETAP'!$H:$H,'[2]NON TETAP'!$I:$I)</f>
        <v>GLOBAL LINTAS KARYA UTAMA</v>
      </c>
    </row>
    <row r="308" spans="1:69" x14ac:dyDescent="0.3">
      <c r="A308" s="2">
        <v>307</v>
      </c>
      <c r="B308" s="4" t="s">
        <v>2339</v>
      </c>
      <c r="C308" s="6" t="s">
        <v>241</v>
      </c>
      <c r="D308" s="6"/>
      <c r="E308" s="6" t="s">
        <v>73</v>
      </c>
      <c r="F308" s="6" t="s">
        <v>73</v>
      </c>
      <c r="G308" s="6" t="s">
        <v>73</v>
      </c>
      <c r="H308" s="6"/>
      <c r="I308" s="6"/>
      <c r="J308" s="6"/>
      <c r="K308" s="6">
        <v>800393</v>
      </c>
      <c r="L308" s="6"/>
      <c r="M308" s="6" t="s">
        <v>2343</v>
      </c>
      <c r="N308" s="46" t="s">
        <v>2342</v>
      </c>
      <c r="O308" s="6">
        <v>1737028675</v>
      </c>
      <c r="P308" s="78" t="s">
        <v>2341</v>
      </c>
      <c r="Q308" s="6">
        <v>10150</v>
      </c>
      <c r="R308" s="6">
        <v>27150</v>
      </c>
      <c r="S308" s="5" t="str">
        <f>VLOOKUP(T308,'[1]Kode Posisi'!$A$3:$B$45,2,)</f>
        <v>Outsourcing Cleaning Service</v>
      </c>
      <c r="T308" s="36" t="s">
        <v>47</v>
      </c>
      <c r="U308" s="44" t="s">
        <v>1190</v>
      </c>
      <c r="V308" s="44" t="s">
        <v>2340</v>
      </c>
      <c r="W308" s="36" t="s">
        <v>1188</v>
      </c>
      <c r="X308" s="36" t="s">
        <v>1187</v>
      </c>
      <c r="Y308" s="36" t="s">
        <v>52</v>
      </c>
      <c r="Z308" s="79">
        <v>5665114454</v>
      </c>
      <c r="AA308" s="36" t="s">
        <v>2339</v>
      </c>
      <c r="AB308" s="47">
        <v>5523000</v>
      </c>
      <c r="AC308" s="41">
        <v>5523000</v>
      </c>
      <c r="AD308" s="3">
        <v>5196000</v>
      </c>
      <c r="AE308" s="16">
        <f t="shared" si="124"/>
        <v>327000</v>
      </c>
      <c r="AF308" s="16">
        <v>0</v>
      </c>
      <c r="AG308" s="17">
        <v>0</v>
      </c>
      <c r="AH308" s="11"/>
      <c r="AI308" s="16">
        <v>0</v>
      </c>
      <c r="AK308" s="16">
        <v>0</v>
      </c>
      <c r="AL308" s="11">
        <f t="shared" si="125"/>
        <v>5523000</v>
      </c>
      <c r="AM308" s="16">
        <f t="shared" si="126"/>
        <v>565555.19999999995</v>
      </c>
      <c r="AN308" s="16">
        <f t="shared" si="127"/>
        <v>220920</v>
      </c>
      <c r="AO308" s="16">
        <f t="shared" si="148"/>
        <v>344635.2</v>
      </c>
      <c r="AP308" s="16">
        <f t="shared" si="128"/>
        <v>204351</v>
      </c>
      <c r="AQ308" s="16">
        <f t="shared" si="129"/>
        <v>6088555.2000000002</v>
      </c>
      <c r="AR308" s="16">
        <f t="shared" si="151"/>
        <v>365313.31199999998</v>
      </c>
      <c r="AS308" s="16">
        <f t="shared" si="130"/>
        <v>40184.464319999999</v>
      </c>
      <c r="AT308" s="16">
        <f t="shared" si="131"/>
        <v>-7306.2662399999999</v>
      </c>
      <c r="AU308" s="16">
        <f t="shared" si="132"/>
        <v>6446562.2457600003</v>
      </c>
      <c r="AV308" s="16">
        <f t="shared" si="133"/>
        <v>6453868.5120000001</v>
      </c>
      <c r="AW308" s="16">
        <f t="shared" si="134"/>
        <v>220920</v>
      </c>
      <c r="AX308" s="16" t="s">
        <v>91</v>
      </c>
      <c r="AZ308" s="17">
        <f t="shared" si="150"/>
        <v>0</v>
      </c>
      <c r="BA308" s="16">
        <f t="shared" si="136"/>
        <v>5302080</v>
      </c>
      <c r="BB308" s="16">
        <f t="shared" si="137"/>
        <v>5302080</v>
      </c>
      <c r="BC308">
        <v>0.03</v>
      </c>
      <c r="BD308">
        <v>0.01</v>
      </c>
      <c r="BE308" s="37">
        <f t="shared" si="138"/>
        <v>510325.19999999995</v>
      </c>
      <c r="BF308" s="38">
        <f t="shared" si="139"/>
        <v>314811</v>
      </c>
      <c r="BG308" s="37">
        <f t="shared" si="149"/>
        <v>259800</v>
      </c>
      <c r="BH308" s="37">
        <f t="shared" si="140"/>
        <v>276150</v>
      </c>
      <c r="BI308">
        <v>259800</v>
      </c>
      <c r="BL308" s="8">
        <f t="shared" si="141"/>
        <v>0</v>
      </c>
      <c r="BM308" s="7" t="str">
        <f t="shared" si="152"/>
        <v>Terdaftar BPJS Kes &amp; Naker</v>
      </c>
      <c r="BN308" s="11">
        <f t="shared" si="153"/>
        <v>314811</v>
      </c>
      <c r="BO308" s="11">
        <f t="shared" si="154"/>
        <v>250744.2</v>
      </c>
      <c r="BP308" s="9">
        <f t="shared" si="142"/>
        <v>0</v>
      </c>
      <c r="BQ308" t="str">
        <f>_xlfn.XLOOKUP(X308,'[2]NON TETAP'!$H:$H,'[2]NON TETAP'!$I:$I)</f>
        <v>GRAMEDIA ASRI MEDIA</v>
      </c>
    </row>
    <row r="309" spans="1:69" x14ac:dyDescent="0.3">
      <c r="A309" s="2">
        <v>308</v>
      </c>
      <c r="B309" s="4" t="s">
        <v>2333</v>
      </c>
      <c r="C309" s="6" t="s">
        <v>241</v>
      </c>
      <c r="D309" s="6"/>
      <c r="E309" s="6" t="s">
        <v>73</v>
      </c>
      <c r="F309" s="6" t="s">
        <v>73</v>
      </c>
      <c r="G309" s="6" t="s">
        <v>73</v>
      </c>
      <c r="H309" s="6"/>
      <c r="I309" s="6"/>
      <c r="J309" s="6"/>
      <c r="K309" s="6">
        <v>800394</v>
      </c>
      <c r="L309" s="6"/>
      <c r="M309" s="6" t="s">
        <v>2338</v>
      </c>
      <c r="N309" s="46" t="s">
        <v>2337</v>
      </c>
      <c r="O309" s="6">
        <v>1615857851</v>
      </c>
      <c r="P309" s="78" t="s">
        <v>2336</v>
      </c>
      <c r="Q309" s="6">
        <v>10150</v>
      </c>
      <c r="R309" s="6">
        <v>27150</v>
      </c>
      <c r="S309" s="5" t="str">
        <f>VLOOKUP(T309,'[1]Kode Posisi'!$A$3:$B$45,2,)</f>
        <v>Outsourcing Cleaning Service</v>
      </c>
      <c r="T309" s="36" t="s">
        <v>47</v>
      </c>
      <c r="U309" s="44" t="s">
        <v>1190</v>
      </c>
      <c r="V309" s="44" t="s">
        <v>2335</v>
      </c>
      <c r="W309" s="36" t="s">
        <v>1188</v>
      </c>
      <c r="X309" s="36" t="s">
        <v>1187</v>
      </c>
      <c r="Y309" s="36" t="s">
        <v>63</v>
      </c>
      <c r="Z309" s="79" t="s">
        <v>2334</v>
      </c>
      <c r="AA309" s="36" t="s">
        <v>2333</v>
      </c>
      <c r="AB309" s="47">
        <v>5523000</v>
      </c>
      <c r="AC309" s="41">
        <v>5523000</v>
      </c>
      <c r="AD309" s="3">
        <v>5196000</v>
      </c>
      <c r="AE309" s="16">
        <f t="shared" si="124"/>
        <v>327000</v>
      </c>
      <c r="AF309" s="16">
        <v>0</v>
      </c>
      <c r="AG309" s="17">
        <v>0</v>
      </c>
      <c r="AH309" s="11"/>
      <c r="AI309" s="16">
        <v>0</v>
      </c>
      <c r="AK309" s="16">
        <v>0</v>
      </c>
      <c r="AL309" s="11">
        <f t="shared" si="125"/>
        <v>5523000</v>
      </c>
      <c r="AM309" s="16">
        <f t="shared" si="126"/>
        <v>565555.19999999995</v>
      </c>
      <c r="AN309" s="16">
        <f t="shared" si="127"/>
        <v>220920</v>
      </c>
      <c r="AO309" s="16">
        <f t="shared" si="148"/>
        <v>344635.2</v>
      </c>
      <c r="AP309" s="16">
        <f t="shared" si="128"/>
        <v>204351</v>
      </c>
      <c r="AQ309" s="16">
        <f t="shared" si="129"/>
        <v>6088555.2000000002</v>
      </c>
      <c r="AR309" s="16">
        <f t="shared" si="151"/>
        <v>365313.31199999998</v>
      </c>
      <c r="AS309" s="16">
        <f t="shared" si="130"/>
        <v>40184.464319999999</v>
      </c>
      <c r="AT309" s="16">
        <f t="shared" si="131"/>
        <v>-7306.2662399999999</v>
      </c>
      <c r="AU309" s="16">
        <f t="shared" si="132"/>
        <v>6446562.2457600003</v>
      </c>
      <c r="AV309" s="16">
        <f t="shared" si="133"/>
        <v>6453868.5120000001</v>
      </c>
      <c r="AW309" s="16">
        <f t="shared" si="134"/>
        <v>220920</v>
      </c>
      <c r="AX309" s="16" t="s">
        <v>286</v>
      </c>
      <c r="AZ309" s="17">
        <f t="shared" si="150"/>
        <v>2900</v>
      </c>
      <c r="BA309" s="16">
        <f t="shared" si="136"/>
        <v>5302080</v>
      </c>
      <c r="BB309" s="16">
        <f t="shared" si="137"/>
        <v>5299180</v>
      </c>
      <c r="BC309">
        <v>0.03</v>
      </c>
      <c r="BD309">
        <v>0.01</v>
      </c>
      <c r="BE309" s="37">
        <f t="shared" si="138"/>
        <v>510325.19999999995</v>
      </c>
      <c r="BF309" s="38">
        <f t="shared" si="139"/>
        <v>314811</v>
      </c>
      <c r="BG309" s="37">
        <f t="shared" si="149"/>
        <v>259800</v>
      </c>
      <c r="BH309" s="37">
        <f t="shared" si="140"/>
        <v>276150</v>
      </c>
      <c r="BI309">
        <v>259800</v>
      </c>
      <c r="BL309" s="8">
        <f t="shared" si="141"/>
        <v>0</v>
      </c>
      <c r="BM309" s="7" t="str">
        <f t="shared" si="152"/>
        <v>Terdaftar BPJS Kes &amp; Naker</v>
      </c>
      <c r="BN309" s="11">
        <f t="shared" si="153"/>
        <v>314811</v>
      </c>
      <c r="BO309" s="11">
        <f t="shared" si="154"/>
        <v>250744.2</v>
      </c>
      <c r="BP309" s="9">
        <f t="shared" si="142"/>
        <v>0</v>
      </c>
      <c r="BQ309" t="str">
        <f>_xlfn.XLOOKUP(X309,'[2]NON TETAP'!$H:$H,'[2]NON TETAP'!$I:$I)</f>
        <v>GRAMEDIA ASRI MEDIA</v>
      </c>
    </row>
    <row r="310" spans="1:69" x14ac:dyDescent="0.3">
      <c r="A310" s="2">
        <v>309</v>
      </c>
      <c r="B310" s="4" t="s">
        <v>2327</v>
      </c>
      <c r="C310" s="6" t="s">
        <v>241</v>
      </c>
      <c r="D310" s="6"/>
      <c r="E310" s="6" t="s">
        <v>73</v>
      </c>
      <c r="F310" s="6" t="s">
        <v>73</v>
      </c>
      <c r="G310" s="6" t="s">
        <v>73</v>
      </c>
      <c r="H310" s="6"/>
      <c r="I310" s="6"/>
      <c r="J310" s="6"/>
      <c r="K310" s="6">
        <v>800395</v>
      </c>
      <c r="L310" s="6"/>
      <c r="M310" s="6" t="s">
        <v>2332</v>
      </c>
      <c r="N310" s="46" t="s">
        <v>2331</v>
      </c>
      <c r="O310" s="6">
        <v>1606255694</v>
      </c>
      <c r="P310" s="78" t="s">
        <v>2330</v>
      </c>
      <c r="Q310" s="6">
        <v>10150</v>
      </c>
      <c r="R310" s="6">
        <v>27150</v>
      </c>
      <c r="S310" s="5" t="str">
        <f>VLOOKUP(T310,'[1]Kode Posisi'!$A$3:$B$45,2,)</f>
        <v>Outsourcing Cleaning Service</v>
      </c>
      <c r="T310" s="36" t="s">
        <v>1530</v>
      </c>
      <c r="U310" s="44" t="s">
        <v>1190</v>
      </c>
      <c r="V310" s="44" t="s">
        <v>2329</v>
      </c>
      <c r="W310" s="36" t="s">
        <v>1188</v>
      </c>
      <c r="X310" s="36" t="s">
        <v>1187</v>
      </c>
      <c r="Y310" s="36" t="s">
        <v>63</v>
      </c>
      <c r="Z310" s="79" t="s">
        <v>2328</v>
      </c>
      <c r="AA310" s="36" t="s">
        <v>2327</v>
      </c>
      <c r="AB310" s="47">
        <v>5523000</v>
      </c>
      <c r="AC310" s="41">
        <v>5523000</v>
      </c>
      <c r="AD310" s="3">
        <v>5196000</v>
      </c>
      <c r="AE310" s="16">
        <f t="shared" si="124"/>
        <v>327000</v>
      </c>
      <c r="AF310" s="16">
        <v>0</v>
      </c>
      <c r="AG310">
        <v>300000</v>
      </c>
      <c r="AH310" s="11"/>
      <c r="AI310" s="16">
        <v>0</v>
      </c>
      <c r="AK310" s="16">
        <v>0</v>
      </c>
      <c r="AL310" s="11">
        <f t="shared" si="125"/>
        <v>5823000</v>
      </c>
      <c r="AM310" s="16">
        <f t="shared" si="126"/>
        <v>565555.19999999995</v>
      </c>
      <c r="AN310" s="16">
        <f t="shared" si="127"/>
        <v>220920</v>
      </c>
      <c r="AO310" s="16">
        <f t="shared" si="148"/>
        <v>344635.2</v>
      </c>
      <c r="AP310" s="16">
        <f t="shared" si="128"/>
        <v>204351</v>
      </c>
      <c r="AQ310" s="16">
        <f t="shared" si="129"/>
        <v>6388555.2000000002</v>
      </c>
      <c r="AR310" s="16">
        <f t="shared" si="151"/>
        <v>383313.31199999998</v>
      </c>
      <c r="AS310" s="16">
        <f t="shared" si="130"/>
        <v>42164.464319999999</v>
      </c>
      <c r="AT310" s="16">
        <f t="shared" si="131"/>
        <v>-7666.2662399999999</v>
      </c>
      <c r="AU310" s="16">
        <f t="shared" si="132"/>
        <v>6764202.2457600003</v>
      </c>
      <c r="AV310" s="16">
        <f t="shared" si="133"/>
        <v>6771868.5120000001</v>
      </c>
      <c r="AW310" s="16">
        <f t="shared" si="134"/>
        <v>220920</v>
      </c>
      <c r="AX310" s="16" t="s">
        <v>235</v>
      </c>
      <c r="AZ310" s="17">
        <f t="shared" si="150"/>
        <v>2900</v>
      </c>
      <c r="BA310" s="16">
        <f t="shared" si="136"/>
        <v>5602080</v>
      </c>
      <c r="BB310" s="16">
        <f t="shared" si="137"/>
        <v>5599180</v>
      </c>
      <c r="BC310">
        <v>0.03</v>
      </c>
      <c r="BD310">
        <v>0.01</v>
      </c>
      <c r="BE310" s="37">
        <f t="shared" si="138"/>
        <v>510325.19999999995</v>
      </c>
      <c r="BF310" s="38">
        <f t="shared" si="139"/>
        <v>314811</v>
      </c>
      <c r="BG310" s="37">
        <f t="shared" si="149"/>
        <v>259800</v>
      </c>
      <c r="BH310" s="37">
        <f t="shared" si="140"/>
        <v>276150</v>
      </c>
      <c r="BI310">
        <v>259800</v>
      </c>
      <c r="BL310" s="8">
        <f t="shared" si="141"/>
        <v>300000</v>
      </c>
      <c r="BM310" s="7" t="str">
        <f t="shared" si="152"/>
        <v>Terdaftar BPJS Kes &amp; Naker</v>
      </c>
      <c r="BN310" s="11">
        <f t="shared" si="153"/>
        <v>314811</v>
      </c>
      <c r="BO310" s="11">
        <f t="shared" si="154"/>
        <v>250744.2</v>
      </c>
      <c r="BP310" s="9">
        <f t="shared" si="142"/>
        <v>0</v>
      </c>
      <c r="BQ310" t="str">
        <f>_xlfn.XLOOKUP(X310,'[2]NON TETAP'!$H:$H,'[2]NON TETAP'!$I:$I)</f>
        <v>GRAMEDIA ASRI MEDIA</v>
      </c>
    </row>
    <row r="311" spans="1:69" x14ac:dyDescent="0.3">
      <c r="A311" s="2">
        <v>310</v>
      </c>
      <c r="B311" s="4" t="s">
        <v>2321</v>
      </c>
      <c r="C311" s="6" t="s">
        <v>241</v>
      </c>
      <c r="D311" s="6"/>
      <c r="E311" s="6" t="s">
        <v>73</v>
      </c>
      <c r="F311" s="6" t="s">
        <v>73</v>
      </c>
      <c r="G311" s="6" t="s">
        <v>73</v>
      </c>
      <c r="H311" s="6"/>
      <c r="I311" s="6"/>
      <c r="J311" s="6"/>
      <c r="K311" s="6">
        <v>800396</v>
      </c>
      <c r="L311" s="6"/>
      <c r="M311" s="6" t="s">
        <v>2326</v>
      </c>
      <c r="N311" s="46" t="s">
        <v>2325</v>
      </c>
      <c r="O311" s="6">
        <v>1737483513</v>
      </c>
      <c r="P311" s="78" t="s">
        <v>2324</v>
      </c>
      <c r="Q311" s="6">
        <v>10150</v>
      </c>
      <c r="R311" s="6">
        <v>27150</v>
      </c>
      <c r="S311" s="5" t="str">
        <f>VLOOKUP(T311,'[1]Kode Posisi'!$A$3:$B$45,2,)</f>
        <v>Outsourcing Cleaning Service</v>
      </c>
      <c r="T311" s="36" t="s">
        <v>47</v>
      </c>
      <c r="U311" s="44" t="s">
        <v>1190</v>
      </c>
      <c r="V311" s="44" t="s">
        <v>2323</v>
      </c>
      <c r="W311" s="36" t="s">
        <v>1188</v>
      </c>
      <c r="X311" s="36" t="s">
        <v>1187</v>
      </c>
      <c r="Y311" s="36" t="s">
        <v>63</v>
      </c>
      <c r="Z311" s="79" t="s">
        <v>2322</v>
      </c>
      <c r="AA311" s="36" t="s">
        <v>2321</v>
      </c>
      <c r="AB311" s="47">
        <v>5523000</v>
      </c>
      <c r="AC311" s="41">
        <v>5523000</v>
      </c>
      <c r="AD311" s="3">
        <v>5196000</v>
      </c>
      <c r="AE311" s="16">
        <f t="shared" si="124"/>
        <v>327000</v>
      </c>
      <c r="AF311" s="16">
        <v>0</v>
      </c>
      <c r="AG311" s="17">
        <v>0</v>
      </c>
      <c r="AH311" s="11"/>
      <c r="AI311" s="16">
        <v>0</v>
      </c>
      <c r="AK311" s="16">
        <v>0</v>
      </c>
      <c r="AL311" s="11">
        <f t="shared" si="125"/>
        <v>5523000</v>
      </c>
      <c r="AM311" s="16">
        <f t="shared" si="126"/>
        <v>565555.19999999995</v>
      </c>
      <c r="AN311" s="16">
        <f t="shared" si="127"/>
        <v>220920</v>
      </c>
      <c r="AO311" s="16">
        <f t="shared" si="148"/>
        <v>344635.2</v>
      </c>
      <c r="AP311" s="16">
        <f t="shared" si="128"/>
        <v>204351</v>
      </c>
      <c r="AQ311" s="16">
        <f t="shared" si="129"/>
        <v>6088555.2000000002</v>
      </c>
      <c r="AR311" s="16">
        <f t="shared" si="151"/>
        <v>365313.31199999998</v>
      </c>
      <c r="AS311" s="16">
        <f t="shared" si="130"/>
        <v>40184.464319999999</v>
      </c>
      <c r="AT311" s="16">
        <f t="shared" si="131"/>
        <v>-7306.2662399999999</v>
      </c>
      <c r="AU311" s="16">
        <f t="shared" si="132"/>
        <v>6446562.2457600003</v>
      </c>
      <c r="AV311" s="16">
        <f t="shared" si="133"/>
        <v>6453868.5120000001</v>
      </c>
      <c r="AW311" s="16">
        <f t="shared" si="134"/>
        <v>220920</v>
      </c>
      <c r="AX311" s="16" t="s">
        <v>319</v>
      </c>
      <c r="AZ311" s="17">
        <f t="shared" si="150"/>
        <v>2900</v>
      </c>
      <c r="BA311" s="16">
        <f t="shared" si="136"/>
        <v>5302080</v>
      </c>
      <c r="BB311" s="16">
        <f t="shared" si="137"/>
        <v>5299180</v>
      </c>
      <c r="BC311">
        <v>0.03</v>
      </c>
      <c r="BD311">
        <v>0.01</v>
      </c>
      <c r="BE311" s="37">
        <f t="shared" si="138"/>
        <v>510325.19999999995</v>
      </c>
      <c r="BF311" s="38">
        <f t="shared" si="139"/>
        <v>314811</v>
      </c>
      <c r="BG311" s="37">
        <f t="shared" si="149"/>
        <v>259800</v>
      </c>
      <c r="BH311" s="37">
        <f t="shared" si="140"/>
        <v>276150</v>
      </c>
      <c r="BI311">
        <v>259800</v>
      </c>
      <c r="BL311" s="8">
        <f t="shared" si="141"/>
        <v>0</v>
      </c>
      <c r="BM311" s="7" t="str">
        <f t="shared" si="152"/>
        <v>Terdaftar BPJS Kes &amp; Naker</v>
      </c>
      <c r="BN311" s="11">
        <f t="shared" si="153"/>
        <v>314811</v>
      </c>
      <c r="BO311" s="11">
        <f t="shared" si="154"/>
        <v>250744.2</v>
      </c>
      <c r="BP311" s="9">
        <f t="shared" si="142"/>
        <v>0</v>
      </c>
      <c r="BQ311" t="str">
        <f>_xlfn.XLOOKUP(X311,'[2]NON TETAP'!$H:$H,'[2]NON TETAP'!$I:$I)</f>
        <v>GRAMEDIA ASRI MEDIA</v>
      </c>
    </row>
    <row r="312" spans="1:69" x14ac:dyDescent="0.3">
      <c r="A312" s="2">
        <v>311</v>
      </c>
      <c r="B312" s="4" t="s">
        <v>2316</v>
      </c>
      <c r="C312" s="6" t="s">
        <v>241</v>
      </c>
      <c r="D312" s="6"/>
      <c r="E312" s="6" t="s">
        <v>73</v>
      </c>
      <c r="F312" s="6" t="s">
        <v>73</v>
      </c>
      <c r="G312" s="6" t="s">
        <v>73</v>
      </c>
      <c r="H312" s="6"/>
      <c r="I312" s="6"/>
      <c r="J312" s="6"/>
      <c r="K312" s="6">
        <v>800397</v>
      </c>
      <c r="L312" s="6"/>
      <c r="M312" s="6" t="s">
        <v>2320</v>
      </c>
      <c r="N312" s="46" t="s">
        <v>2319</v>
      </c>
      <c r="O312" s="6">
        <v>1619460628</v>
      </c>
      <c r="P312" s="78" t="s">
        <v>2318</v>
      </c>
      <c r="Q312" s="6">
        <v>10150</v>
      </c>
      <c r="R312" s="6">
        <v>27150</v>
      </c>
      <c r="S312" s="5" t="str">
        <f>VLOOKUP(T312,'[1]Kode Posisi'!$A$3:$B$45,2,)</f>
        <v>Outsourcing Cleaning Service</v>
      </c>
      <c r="T312" s="36" t="s">
        <v>47</v>
      </c>
      <c r="U312" s="44" t="s">
        <v>1190</v>
      </c>
      <c r="V312" s="44" t="s">
        <v>2317</v>
      </c>
      <c r="W312" s="36" t="s">
        <v>1188</v>
      </c>
      <c r="X312" s="36" t="s">
        <v>1187</v>
      </c>
      <c r="Y312" s="36" t="s">
        <v>52</v>
      </c>
      <c r="Z312" s="79">
        <v>5676026637</v>
      </c>
      <c r="AA312" s="36" t="s">
        <v>2316</v>
      </c>
      <c r="AB312" s="47">
        <v>5523000</v>
      </c>
      <c r="AC312" s="41">
        <v>5523000</v>
      </c>
      <c r="AD312" s="3">
        <v>5196000</v>
      </c>
      <c r="AE312" s="16">
        <f t="shared" si="124"/>
        <v>327000</v>
      </c>
      <c r="AF312" s="16">
        <v>0</v>
      </c>
      <c r="AG312" s="17">
        <v>0</v>
      </c>
      <c r="AH312" s="11"/>
      <c r="AI312" s="16">
        <v>0</v>
      </c>
      <c r="AK312" s="16">
        <v>0</v>
      </c>
      <c r="AL312" s="11">
        <f t="shared" si="125"/>
        <v>5523000</v>
      </c>
      <c r="AM312" s="16">
        <f t="shared" si="126"/>
        <v>565555.19999999995</v>
      </c>
      <c r="AN312" s="16">
        <f t="shared" si="127"/>
        <v>220920</v>
      </c>
      <c r="AO312" s="16">
        <f t="shared" si="148"/>
        <v>344635.2</v>
      </c>
      <c r="AP312" s="16">
        <f t="shared" si="128"/>
        <v>204351</v>
      </c>
      <c r="AQ312" s="16">
        <f t="shared" si="129"/>
        <v>6088555.2000000002</v>
      </c>
      <c r="AR312" s="16">
        <f t="shared" si="151"/>
        <v>365313.31199999998</v>
      </c>
      <c r="AS312" s="16">
        <f t="shared" si="130"/>
        <v>40184.464319999999</v>
      </c>
      <c r="AT312" s="16">
        <f t="shared" si="131"/>
        <v>-7306.2662399999999</v>
      </c>
      <c r="AU312" s="16">
        <f t="shared" si="132"/>
        <v>6446562.2457600003</v>
      </c>
      <c r="AV312" s="16">
        <f t="shared" si="133"/>
        <v>6453868.5120000001</v>
      </c>
      <c r="AW312" s="16">
        <f t="shared" si="134"/>
        <v>220920</v>
      </c>
      <c r="AX312" s="16" t="s">
        <v>286</v>
      </c>
      <c r="AZ312" s="17">
        <f t="shared" si="150"/>
        <v>0</v>
      </c>
      <c r="BA312" s="16">
        <f t="shared" si="136"/>
        <v>5302080</v>
      </c>
      <c r="BB312" s="16">
        <f t="shared" si="137"/>
        <v>5302080</v>
      </c>
      <c r="BC312">
        <v>0.03</v>
      </c>
      <c r="BD312">
        <v>0.01</v>
      </c>
      <c r="BE312" s="37">
        <f t="shared" si="138"/>
        <v>510325.19999999995</v>
      </c>
      <c r="BF312" s="38">
        <f t="shared" si="139"/>
        <v>314811</v>
      </c>
      <c r="BG312" s="37">
        <f t="shared" si="149"/>
        <v>259800</v>
      </c>
      <c r="BH312" s="37">
        <f t="shared" si="140"/>
        <v>276150</v>
      </c>
      <c r="BI312">
        <v>259800</v>
      </c>
      <c r="BJ312" s="2">
        <v>259800</v>
      </c>
      <c r="BL312" s="8">
        <f t="shared" si="141"/>
        <v>0</v>
      </c>
      <c r="BM312" s="7" t="str">
        <f t="shared" si="152"/>
        <v>Terdaftar BPJS Kes &amp; Naker</v>
      </c>
      <c r="BN312" s="11">
        <f t="shared" si="153"/>
        <v>314811</v>
      </c>
      <c r="BO312" s="11">
        <f t="shared" si="154"/>
        <v>250744.2</v>
      </c>
      <c r="BP312" s="9">
        <f t="shared" si="142"/>
        <v>0</v>
      </c>
      <c r="BQ312" t="str">
        <f>_xlfn.XLOOKUP(X312,'[2]NON TETAP'!$H:$H,'[2]NON TETAP'!$I:$I)</f>
        <v>GRAMEDIA ASRI MEDIA</v>
      </c>
    </row>
    <row r="313" spans="1:69" x14ac:dyDescent="0.3">
      <c r="A313" s="2">
        <v>312</v>
      </c>
      <c r="B313" s="4" t="s">
        <v>2311</v>
      </c>
      <c r="C313" s="6" t="s">
        <v>241</v>
      </c>
      <c r="D313" s="6"/>
      <c r="E313" s="6" t="s">
        <v>73</v>
      </c>
      <c r="F313" s="6" t="s">
        <v>73</v>
      </c>
      <c r="G313" s="6"/>
      <c r="H313" s="6"/>
      <c r="I313" s="6"/>
      <c r="J313" s="6"/>
      <c r="K313" s="6">
        <v>800398</v>
      </c>
      <c r="L313" s="6"/>
      <c r="M313" s="6" t="s">
        <v>2315</v>
      </c>
      <c r="N313" s="46" t="s">
        <v>2314</v>
      </c>
      <c r="O313" s="6">
        <v>1012701159</v>
      </c>
      <c r="P313" s="78" t="s">
        <v>2313</v>
      </c>
      <c r="Q313" s="6">
        <v>10088</v>
      </c>
      <c r="R313" s="6">
        <v>27552</v>
      </c>
      <c r="S313" s="5" t="str">
        <f>VLOOKUP(T313,'[1]Kode Posisi'!$A$3:$B$45,2,)</f>
        <v>Outsourcing Petugas Pemeliharaan Gedung</v>
      </c>
      <c r="T313" s="36" t="s">
        <v>1250</v>
      </c>
      <c r="U313" s="44" t="s">
        <v>1106</v>
      </c>
      <c r="V313" s="44" t="s">
        <v>2312</v>
      </c>
      <c r="W313" s="36" t="s">
        <v>1300</v>
      </c>
      <c r="X313" s="36" t="s">
        <v>1300</v>
      </c>
      <c r="Y313" s="36" t="s">
        <v>52</v>
      </c>
      <c r="Z313" s="79">
        <v>2370273017</v>
      </c>
      <c r="AA313" s="36" t="s">
        <v>2311</v>
      </c>
      <c r="AB313" s="47">
        <v>5523000</v>
      </c>
      <c r="AC313" s="41">
        <v>5523000</v>
      </c>
      <c r="AD313" s="3">
        <v>5196000</v>
      </c>
      <c r="AE313" s="16">
        <f t="shared" si="124"/>
        <v>327000</v>
      </c>
      <c r="AF313" s="16">
        <v>0</v>
      </c>
      <c r="AG313" s="17">
        <v>0</v>
      </c>
      <c r="AI313" s="16">
        <v>2072393.063583815</v>
      </c>
      <c r="AK313" s="16">
        <v>0</v>
      </c>
      <c r="AL313" s="11">
        <f t="shared" si="125"/>
        <v>7595393.0635838155</v>
      </c>
      <c r="AM313" s="16">
        <f t="shared" si="126"/>
        <v>565555.19999999995</v>
      </c>
      <c r="AN313" s="16">
        <f t="shared" si="127"/>
        <v>220920</v>
      </c>
      <c r="AO313" s="16">
        <f t="shared" si="148"/>
        <v>344635.2</v>
      </c>
      <c r="AP313" s="16">
        <f t="shared" si="128"/>
        <v>204351</v>
      </c>
      <c r="AQ313" s="16">
        <f t="shared" si="129"/>
        <v>8160948.2635838157</v>
      </c>
      <c r="AR313" s="16">
        <f t="shared" si="151"/>
        <v>489656.89581502893</v>
      </c>
      <c r="AS313" s="16">
        <f t="shared" si="130"/>
        <v>53862.258539653179</v>
      </c>
      <c r="AT313" s="16">
        <f t="shared" si="131"/>
        <v>-9793.1379163005786</v>
      </c>
      <c r="AU313" s="16">
        <f t="shared" si="132"/>
        <v>8640812.021482544</v>
      </c>
      <c r="AV313" s="16">
        <f t="shared" si="133"/>
        <v>8650605.1593988445</v>
      </c>
      <c r="AW313" s="16">
        <f t="shared" si="134"/>
        <v>220920</v>
      </c>
      <c r="AX313" s="16" t="s">
        <v>319</v>
      </c>
      <c r="AZ313" s="17">
        <f t="shared" si="150"/>
        <v>0</v>
      </c>
      <c r="BA313" s="16">
        <f t="shared" si="136"/>
        <v>7374473.0635838155</v>
      </c>
      <c r="BB313" s="16">
        <f t="shared" si="137"/>
        <v>7374473.0635838155</v>
      </c>
      <c r="BC313">
        <v>0.03</v>
      </c>
      <c r="BD313">
        <v>0.01</v>
      </c>
      <c r="BE313" s="37">
        <f t="shared" si="138"/>
        <v>510325.19999999995</v>
      </c>
      <c r="BF313" s="38">
        <f t="shared" si="139"/>
        <v>314811</v>
      </c>
      <c r="BG313" s="37">
        <f t="shared" si="149"/>
        <v>259800</v>
      </c>
      <c r="BH313" s="37">
        <f t="shared" si="140"/>
        <v>276150</v>
      </c>
      <c r="BI313">
        <v>259800</v>
      </c>
      <c r="BL313" s="8">
        <f t="shared" si="141"/>
        <v>2072393.063583815</v>
      </c>
      <c r="BM313" s="7" t="str">
        <f t="shared" si="152"/>
        <v>Terdaftar BPJS Kes &amp; Naker</v>
      </c>
      <c r="BN313" s="11">
        <f t="shared" si="153"/>
        <v>314811</v>
      </c>
      <c r="BO313" s="11">
        <f t="shared" si="154"/>
        <v>250744.2</v>
      </c>
      <c r="BP313" s="9">
        <f t="shared" si="142"/>
        <v>0</v>
      </c>
      <c r="BQ313" t="str">
        <f>_xlfn.XLOOKUP(X313,'[2]NON TETAP'!$H:$H,'[2]NON TETAP'!$I:$I)</f>
        <v>GRAMEDIA ASRI MEDIA</v>
      </c>
    </row>
    <row r="314" spans="1:69" x14ac:dyDescent="0.3">
      <c r="A314" s="2">
        <v>313</v>
      </c>
      <c r="B314" s="4" t="s">
        <v>2306</v>
      </c>
      <c r="C314" s="6" t="s">
        <v>241</v>
      </c>
      <c r="D314" s="6"/>
      <c r="E314" s="6" t="s">
        <v>73</v>
      </c>
      <c r="F314" s="6" t="s">
        <v>73</v>
      </c>
      <c r="G314" s="6"/>
      <c r="H314" s="6"/>
      <c r="I314" s="6"/>
      <c r="J314" s="6"/>
      <c r="K314" s="6">
        <v>800399</v>
      </c>
      <c r="L314" s="6"/>
      <c r="M314" s="6" t="s">
        <v>2310</v>
      </c>
      <c r="N314" s="46" t="s">
        <v>2309</v>
      </c>
      <c r="O314" s="6">
        <v>3272062342</v>
      </c>
      <c r="P314" s="78" t="s">
        <v>2308</v>
      </c>
      <c r="Q314" s="6">
        <v>10088</v>
      </c>
      <c r="R314" s="6">
        <v>27552</v>
      </c>
      <c r="S314" s="5" t="str">
        <f>VLOOKUP(T314,'[1]Kode Posisi'!$A$3:$B$45,2,)</f>
        <v>Outsourcing Petugas Pemeliharaan Gedung</v>
      </c>
      <c r="T314" s="36" t="s">
        <v>1250</v>
      </c>
      <c r="U314" s="44" t="s">
        <v>1106</v>
      </c>
      <c r="V314" s="44" t="s">
        <v>2307</v>
      </c>
      <c r="W314" s="36" t="s">
        <v>1300</v>
      </c>
      <c r="X314" s="36" t="s">
        <v>1300</v>
      </c>
      <c r="Y314" s="36" t="s">
        <v>52</v>
      </c>
      <c r="Z314" s="79">
        <v>8720354722</v>
      </c>
      <c r="AA314" s="36" t="s">
        <v>2306</v>
      </c>
      <c r="AB314" s="47">
        <v>5523000</v>
      </c>
      <c r="AC314" s="41">
        <v>5523000</v>
      </c>
      <c r="AD314" s="3">
        <v>5196000</v>
      </c>
      <c r="AE314" s="16">
        <f t="shared" si="124"/>
        <v>327000</v>
      </c>
      <c r="AF314" s="16">
        <v>0</v>
      </c>
      <c r="AG314" s="17">
        <v>0</v>
      </c>
      <c r="AI314" s="16">
        <v>1381595.3757225433</v>
      </c>
      <c r="AK314" s="16">
        <v>207840</v>
      </c>
      <c r="AL314" s="11">
        <f t="shared" si="125"/>
        <v>6696755.3757225433</v>
      </c>
      <c r="AM314" s="16">
        <f t="shared" si="126"/>
        <v>565555.19999999995</v>
      </c>
      <c r="AN314" s="16">
        <f t="shared" si="127"/>
        <v>220920</v>
      </c>
      <c r="AO314" s="16">
        <f t="shared" si="148"/>
        <v>344635.2</v>
      </c>
      <c r="AP314" s="16">
        <f t="shared" si="128"/>
        <v>204351</v>
      </c>
      <c r="AQ314" s="16">
        <f t="shared" si="129"/>
        <v>7262310.5757225435</v>
      </c>
      <c r="AR314" s="16">
        <f t="shared" si="151"/>
        <v>435738.63454335259</v>
      </c>
      <c r="AS314" s="16">
        <f t="shared" si="130"/>
        <v>47931.249799768782</v>
      </c>
      <c r="AT314" s="16">
        <f t="shared" si="131"/>
        <v>-8714.772690867052</v>
      </c>
      <c r="AU314" s="16">
        <f t="shared" si="132"/>
        <v>7689334.4375750292</v>
      </c>
      <c r="AV314" s="16">
        <f t="shared" si="133"/>
        <v>7698049.2102658963</v>
      </c>
      <c r="AW314" s="16">
        <f t="shared" si="134"/>
        <v>220920</v>
      </c>
      <c r="AX314" s="16" t="s">
        <v>91</v>
      </c>
      <c r="AZ314" s="17">
        <f t="shared" si="150"/>
        <v>0</v>
      </c>
      <c r="BA314" s="16">
        <f t="shared" si="136"/>
        <v>6475835.3757225433</v>
      </c>
      <c r="BB314" s="16">
        <f t="shared" si="137"/>
        <v>6475835.3757225433</v>
      </c>
      <c r="BC314">
        <v>0.03</v>
      </c>
      <c r="BD314">
        <v>0.01</v>
      </c>
      <c r="BE314" s="37">
        <f t="shared" si="138"/>
        <v>510325.19999999995</v>
      </c>
      <c r="BF314" s="38">
        <f t="shared" si="139"/>
        <v>314811</v>
      </c>
      <c r="BG314" s="37">
        <f t="shared" si="149"/>
        <v>259800</v>
      </c>
      <c r="BH314" s="37">
        <f t="shared" si="140"/>
        <v>276150</v>
      </c>
      <c r="BI314">
        <v>259800</v>
      </c>
      <c r="BL314" s="8">
        <f t="shared" si="141"/>
        <v>1173755.3757225433</v>
      </c>
      <c r="BM314" s="7" t="str">
        <f t="shared" si="152"/>
        <v>Terdaftar BPJS Kes &amp; Naker</v>
      </c>
      <c r="BN314" s="11">
        <f t="shared" si="153"/>
        <v>314811</v>
      </c>
      <c r="BO314" s="11">
        <f t="shared" si="154"/>
        <v>250744.2</v>
      </c>
      <c r="BP314" s="9">
        <f t="shared" si="142"/>
        <v>0</v>
      </c>
      <c r="BQ314" t="str">
        <f>_xlfn.XLOOKUP(X314,'[2]NON TETAP'!$H:$H,'[2]NON TETAP'!$I:$I)</f>
        <v>GRAMEDIA ASRI MEDIA</v>
      </c>
    </row>
    <row r="315" spans="1:69" x14ac:dyDescent="0.3">
      <c r="A315" s="2">
        <v>314</v>
      </c>
      <c r="B315" s="4" t="s">
        <v>2301</v>
      </c>
      <c r="C315" s="6" t="s">
        <v>241</v>
      </c>
      <c r="D315" s="6"/>
      <c r="E315" s="6" t="s">
        <v>73</v>
      </c>
      <c r="F315" s="6" t="s">
        <v>73</v>
      </c>
      <c r="G315" s="6"/>
      <c r="H315" s="6"/>
      <c r="I315" s="6"/>
      <c r="J315" s="6"/>
      <c r="K315" s="6">
        <v>800400</v>
      </c>
      <c r="L315" s="6"/>
      <c r="M315" s="6" t="s">
        <v>2305</v>
      </c>
      <c r="N315" s="46" t="s">
        <v>2304</v>
      </c>
      <c r="O315" s="6">
        <v>848232764</v>
      </c>
      <c r="P315" s="78" t="s">
        <v>2303</v>
      </c>
      <c r="Q315" s="6">
        <v>18102</v>
      </c>
      <c r="R315" s="6">
        <v>27190</v>
      </c>
      <c r="S315" s="5" t="str">
        <f>VLOOKUP(T315,'[1]Kode Posisi'!$A$3:$B$45,2,)</f>
        <v>Outsourcing Petugas Pemeliharaan Gedung</v>
      </c>
      <c r="T315" s="36" t="s">
        <v>247</v>
      </c>
      <c r="U315" s="44" t="s">
        <v>2270</v>
      </c>
      <c r="V315" s="44" t="s">
        <v>2302</v>
      </c>
      <c r="W315" s="36" t="s">
        <v>2268</v>
      </c>
      <c r="X315" s="36" t="s">
        <v>2289</v>
      </c>
      <c r="Y315" s="36" t="s">
        <v>52</v>
      </c>
      <c r="Z315" s="79">
        <v>7257012695</v>
      </c>
      <c r="AA315" s="36" t="s">
        <v>2301</v>
      </c>
      <c r="AB315" s="47">
        <v>3020000</v>
      </c>
      <c r="AC315" s="41">
        <v>3020000</v>
      </c>
      <c r="AD315" s="3">
        <v>2860000</v>
      </c>
      <c r="AE315" s="16">
        <f t="shared" si="124"/>
        <v>160000</v>
      </c>
      <c r="AF315" s="16">
        <v>0</v>
      </c>
      <c r="AG315" s="17">
        <v>0</v>
      </c>
      <c r="AI315" s="16">
        <v>0</v>
      </c>
      <c r="AK315" s="16">
        <v>0</v>
      </c>
      <c r="AL315" s="11">
        <f t="shared" si="125"/>
        <v>3020000</v>
      </c>
      <c r="AM315" s="16">
        <f t="shared" si="126"/>
        <v>309248</v>
      </c>
      <c r="AN315" s="16">
        <f t="shared" si="127"/>
        <v>120800</v>
      </c>
      <c r="AO315" s="16">
        <f t="shared" si="148"/>
        <v>188448</v>
      </c>
      <c r="AP315" s="16">
        <f t="shared" si="128"/>
        <v>111740</v>
      </c>
      <c r="AQ315" s="16">
        <f t="shared" si="129"/>
        <v>3329248</v>
      </c>
      <c r="AR315" s="16">
        <f t="shared" si="151"/>
        <v>199754.88</v>
      </c>
      <c r="AS315" s="16">
        <f t="shared" si="130"/>
        <v>21973.036800000002</v>
      </c>
      <c r="AT315" s="16">
        <f t="shared" si="131"/>
        <v>-3995.0976000000001</v>
      </c>
      <c r="AU315" s="16">
        <f t="shared" si="132"/>
        <v>3525007.7823999999</v>
      </c>
      <c r="AV315" s="16">
        <f t="shared" si="133"/>
        <v>3529002.88</v>
      </c>
      <c r="AW315" s="16">
        <f t="shared" si="134"/>
        <v>120800</v>
      </c>
      <c r="AX315" s="16" t="s">
        <v>235</v>
      </c>
      <c r="AZ315" s="17">
        <f t="shared" si="150"/>
        <v>0</v>
      </c>
      <c r="BA315" s="16">
        <f t="shared" si="136"/>
        <v>2899200</v>
      </c>
      <c r="BB315" s="16">
        <f t="shared" si="137"/>
        <v>2899200</v>
      </c>
      <c r="BC315">
        <v>0.03</v>
      </c>
      <c r="BD315">
        <v>0.01</v>
      </c>
      <c r="BE315" s="37">
        <f t="shared" si="138"/>
        <v>279048</v>
      </c>
      <c r="BF315" s="38">
        <f t="shared" si="139"/>
        <v>172140</v>
      </c>
      <c r="BG315" s="37">
        <f t="shared" si="149"/>
        <v>143000</v>
      </c>
      <c r="BH315" s="37">
        <f t="shared" si="140"/>
        <v>151000</v>
      </c>
      <c r="BI315">
        <v>143000</v>
      </c>
      <c r="BL315" s="8">
        <f t="shared" si="141"/>
        <v>0</v>
      </c>
      <c r="BM315" s="7" t="str">
        <f t="shared" si="152"/>
        <v>Terdaftar BPJS Kes &amp; Naker</v>
      </c>
      <c r="BN315" s="11">
        <f t="shared" si="153"/>
        <v>172140</v>
      </c>
      <c r="BO315" s="11">
        <f t="shared" si="154"/>
        <v>137108</v>
      </c>
      <c r="BP315" s="9">
        <f t="shared" si="142"/>
        <v>0</v>
      </c>
      <c r="BQ315" t="s">
        <v>8</v>
      </c>
    </row>
    <row r="316" spans="1:69" x14ac:dyDescent="0.3">
      <c r="A316" s="2">
        <v>315</v>
      </c>
      <c r="B316" s="4" t="s">
        <v>2295</v>
      </c>
      <c r="C316" s="6" t="s">
        <v>241</v>
      </c>
      <c r="D316" s="6"/>
      <c r="E316" s="6" t="s">
        <v>73</v>
      </c>
      <c r="F316" s="6" t="s">
        <v>73</v>
      </c>
      <c r="G316" s="6"/>
      <c r="H316" s="6"/>
      <c r="I316" s="6"/>
      <c r="J316" s="6"/>
      <c r="K316" s="6">
        <v>800401</v>
      </c>
      <c r="L316" s="6"/>
      <c r="M316" s="6" t="s">
        <v>2300</v>
      </c>
      <c r="N316" s="46" t="s">
        <v>2299</v>
      </c>
      <c r="O316" s="6">
        <v>1970507979</v>
      </c>
      <c r="P316" s="78" t="s">
        <v>2298</v>
      </c>
      <c r="Q316" s="6">
        <v>10458</v>
      </c>
      <c r="R316" s="6">
        <v>27458</v>
      </c>
      <c r="S316" s="5" t="str">
        <f>VLOOKUP(T316,'[1]Kode Posisi'!$A$3:$B$45,2,)</f>
        <v>Outsourcing Cleaning Service</v>
      </c>
      <c r="T316" s="36" t="s">
        <v>47</v>
      </c>
      <c r="U316" s="44" t="s">
        <v>2270</v>
      </c>
      <c r="V316" s="44" t="s">
        <v>2297</v>
      </c>
      <c r="W316" s="36" t="s">
        <v>2268</v>
      </c>
      <c r="X316" s="36" t="s">
        <v>984</v>
      </c>
      <c r="Y316" s="36" t="s">
        <v>473</v>
      </c>
      <c r="Z316" s="79" t="s">
        <v>2296</v>
      </c>
      <c r="AA316" s="36" t="s">
        <v>2295</v>
      </c>
      <c r="AB316" s="47">
        <v>3020000</v>
      </c>
      <c r="AC316" s="41">
        <v>3020000</v>
      </c>
      <c r="AD316" s="3">
        <v>2860000</v>
      </c>
      <c r="AE316" s="16">
        <f t="shared" si="124"/>
        <v>160000</v>
      </c>
      <c r="AF316" s="16">
        <v>0</v>
      </c>
      <c r="AG316" s="17">
        <v>0</v>
      </c>
      <c r="AI316" s="16">
        <v>0</v>
      </c>
      <c r="AK316" s="16">
        <v>0</v>
      </c>
      <c r="AL316" s="11">
        <f t="shared" si="125"/>
        <v>3020000</v>
      </c>
      <c r="AM316" s="16">
        <f t="shared" si="126"/>
        <v>309248</v>
      </c>
      <c r="AN316" s="16">
        <f t="shared" si="127"/>
        <v>120800</v>
      </c>
      <c r="AO316" s="16">
        <f t="shared" si="148"/>
        <v>188448</v>
      </c>
      <c r="AP316" s="16">
        <f t="shared" si="128"/>
        <v>111740</v>
      </c>
      <c r="AQ316" s="16">
        <f t="shared" si="129"/>
        <v>3329248</v>
      </c>
      <c r="AR316" s="16">
        <f t="shared" si="151"/>
        <v>199754.88</v>
      </c>
      <c r="AS316" s="16">
        <f t="shared" si="130"/>
        <v>21973.036800000002</v>
      </c>
      <c r="AT316" s="16">
        <f t="shared" si="131"/>
        <v>-3995.0976000000001</v>
      </c>
      <c r="AU316" s="16">
        <f t="shared" si="132"/>
        <v>3525007.7823999999</v>
      </c>
      <c r="AV316" s="16">
        <f t="shared" si="133"/>
        <v>3529002.88</v>
      </c>
      <c r="AW316" s="16">
        <f t="shared" si="134"/>
        <v>120800</v>
      </c>
      <c r="AX316" s="16" t="s">
        <v>91</v>
      </c>
      <c r="AZ316" s="17">
        <f t="shared" si="150"/>
        <v>2900</v>
      </c>
      <c r="BA316" s="16">
        <f t="shared" si="136"/>
        <v>2899200</v>
      </c>
      <c r="BB316" s="16">
        <f t="shared" si="137"/>
        <v>2896300</v>
      </c>
      <c r="BC316">
        <v>0.03</v>
      </c>
      <c r="BD316">
        <v>0.01</v>
      </c>
      <c r="BE316" s="37">
        <f t="shared" si="138"/>
        <v>279048</v>
      </c>
      <c r="BF316" s="38">
        <f t="shared" si="139"/>
        <v>172140</v>
      </c>
      <c r="BG316" s="37">
        <f t="shared" si="149"/>
        <v>143000</v>
      </c>
      <c r="BH316" s="37">
        <f t="shared" si="140"/>
        <v>151000</v>
      </c>
      <c r="BI316">
        <v>143000</v>
      </c>
      <c r="BL316" s="8">
        <f t="shared" si="141"/>
        <v>0</v>
      </c>
      <c r="BM316" s="7" t="str">
        <f t="shared" si="152"/>
        <v>Terdaftar BPJS Kes &amp; Naker</v>
      </c>
      <c r="BN316" s="11">
        <f t="shared" si="153"/>
        <v>172140</v>
      </c>
      <c r="BO316" s="11">
        <f t="shared" si="154"/>
        <v>137108</v>
      </c>
      <c r="BP316" s="9">
        <f t="shared" si="142"/>
        <v>0</v>
      </c>
      <c r="BQ316" t="str">
        <f>_xlfn.XLOOKUP(X316,'[2]NON TETAP'!$H:$H,'[2]NON TETAP'!$I:$I)</f>
        <v>GRAMEDIA ASRI MEDIA</v>
      </c>
    </row>
    <row r="317" spans="1:69" x14ac:dyDescent="0.3">
      <c r="A317" s="2">
        <v>316</v>
      </c>
      <c r="B317" s="4" t="s">
        <v>2294</v>
      </c>
      <c r="C317" s="6" t="s">
        <v>241</v>
      </c>
      <c r="D317" s="6"/>
      <c r="E317" s="6" t="s">
        <v>73</v>
      </c>
      <c r="F317" s="6" t="s">
        <v>73</v>
      </c>
      <c r="G317" s="6"/>
      <c r="H317" s="6"/>
      <c r="I317" s="6"/>
      <c r="J317" s="6"/>
      <c r="K317" s="6">
        <v>800402</v>
      </c>
      <c r="L317" s="6"/>
      <c r="M317" s="6" t="s">
        <v>2293</v>
      </c>
      <c r="N317" s="46" t="s">
        <v>2292</v>
      </c>
      <c r="O317" s="6">
        <v>2241853075</v>
      </c>
      <c r="P317" s="78" t="s">
        <v>2291</v>
      </c>
      <c r="Q317" s="6">
        <v>18102</v>
      </c>
      <c r="R317" s="6">
        <v>27190</v>
      </c>
      <c r="S317" s="5" t="str">
        <f>VLOOKUP(T317,'[1]Kode Posisi'!$A$3:$B$45,2,)</f>
        <v>Outsourcing Petugas Pemeliharaan Gedung</v>
      </c>
      <c r="T317" s="36" t="s">
        <v>247</v>
      </c>
      <c r="U317" s="44" t="s">
        <v>2270</v>
      </c>
      <c r="V317" s="44" t="s">
        <v>2290</v>
      </c>
      <c r="W317" s="36" t="s">
        <v>2268</v>
      </c>
      <c r="X317" s="36" t="s">
        <v>2289</v>
      </c>
      <c r="Y317" s="36" t="s">
        <v>52</v>
      </c>
      <c r="Z317" s="79" t="s">
        <v>2288</v>
      </c>
      <c r="AA317" s="36" t="s">
        <v>2287</v>
      </c>
      <c r="AB317" s="47">
        <v>3020000</v>
      </c>
      <c r="AC317" s="41">
        <v>3020000</v>
      </c>
      <c r="AD317" s="3">
        <v>2860000</v>
      </c>
      <c r="AE317" s="16">
        <f t="shared" si="124"/>
        <v>160000</v>
      </c>
      <c r="AF317" s="16">
        <v>0</v>
      </c>
      <c r="AG317" s="17">
        <v>0</v>
      </c>
      <c r="AI317" s="16">
        <v>0</v>
      </c>
      <c r="AK317" s="16">
        <v>0</v>
      </c>
      <c r="AL317" s="11">
        <f t="shared" si="125"/>
        <v>3020000</v>
      </c>
      <c r="AM317" s="16">
        <f t="shared" si="126"/>
        <v>309248</v>
      </c>
      <c r="AN317" s="16">
        <f t="shared" si="127"/>
        <v>120800</v>
      </c>
      <c r="AO317" s="16">
        <f t="shared" si="148"/>
        <v>188448</v>
      </c>
      <c r="AP317" s="16">
        <f t="shared" si="128"/>
        <v>111740</v>
      </c>
      <c r="AQ317" s="16">
        <f t="shared" si="129"/>
        <v>3329248</v>
      </c>
      <c r="AR317" s="16">
        <f t="shared" si="151"/>
        <v>199754.88</v>
      </c>
      <c r="AS317" s="16">
        <f t="shared" si="130"/>
        <v>21973.036800000002</v>
      </c>
      <c r="AT317" s="16">
        <f t="shared" si="131"/>
        <v>-3995.0976000000001</v>
      </c>
      <c r="AU317" s="16">
        <f t="shared" si="132"/>
        <v>3525007.7823999999</v>
      </c>
      <c r="AV317" s="16">
        <f t="shared" si="133"/>
        <v>3529002.88</v>
      </c>
      <c r="AW317" s="16">
        <f t="shared" si="134"/>
        <v>120800</v>
      </c>
      <c r="AX317" s="16" t="s">
        <v>91</v>
      </c>
      <c r="AZ317" s="17">
        <f t="shared" si="150"/>
        <v>0</v>
      </c>
      <c r="BA317" s="16">
        <f t="shared" si="136"/>
        <v>2899200</v>
      </c>
      <c r="BB317" s="16">
        <f t="shared" si="137"/>
        <v>2899200</v>
      </c>
      <c r="BC317">
        <v>0.03</v>
      </c>
      <c r="BD317">
        <v>0.01</v>
      </c>
      <c r="BE317" s="37">
        <f t="shared" si="138"/>
        <v>279048</v>
      </c>
      <c r="BF317" s="38">
        <f t="shared" si="139"/>
        <v>172140</v>
      </c>
      <c r="BG317" s="37">
        <f t="shared" si="149"/>
        <v>143000</v>
      </c>
      <c r="BH317" s="37">
        <f t="shared" si="140"/>
        <v>151000</v>
      </c>
      <c r="BI317">
        <v>143000</v>
      </c>
      <c r="BL317" s="8">
        <f t="shared" si="141"/>
        <v>0</v>
      </c>
      <c r="BM317" s="7" t="str">
        <f t="shared" si="152"/>
        <v>Terdaftar BPJS Kes &amp; Naker</v>
      </c>
      <c r="BN317" s="11">
        <f t="shared" si="153"/>
        <v>172140</v>
      </c>
      <c r="BO317" s="11">
        <f t="shared" si="154"/>
        <v>137108</v>
      </c>
      <c r="BP317" s="9">
        <f t="shared" si="142"/>
        <v>0</v>
      </c>
      <c r="BQ317" t="s">
        <v>8</v>
      </c>
    </row>
    <row r="318" spans="1:69" x14ac:dyDescent="0.3">
      <c r="A318" s="2">
        <v>317</v>
      </c>
      <c r="B318" s="4" t="s">
        <v>2281</v>
      </c>
      <c r="C318" s="6" t="s">
        <v>241</v>
      </c>
      <c r="D318" s="6"/>
      <c r="E318" s="6" t="s">
        <v>73</v>
      </c>
      <c r="F318" s="6" t="s">
        <v>73</v>
      </c>
      <c r="G318" s="6"/>
      <c r="H318" s="6"/>
      <c r="I318" s="6"/>
      <c r="J318" s="6"/>
      <c r="K318" s="6">
        <v>800403</v>
      </c>
      <c r="L318" s="6"/>
      <c r="M318" s="6" t="s">
        <v>2286</v>
      </c>
      <c r="N318" s="46" t="s">
        <v>2285</v>
      </c>
      <c r="O318" s="6">
        <v>1970241592</v>
      </c>
      <c r="P318" s="78" t="s">
        <v>2284</v>
      </c>
      <c r="Q318" s="6">
        <v>10458</v>
      </c>
      <c r="R318" s="6">
        <v>27458</v>
      </c>
      <c r="S318" s="5" t="str">
        <f>VLOOKUP(T318,'[1]Kode Posisi'!$A$3:$B$45,2,)</f>
        <v>Outsourcing Cleaning Service</v>
      </c>
      <c r="T318" s="36" t="s">
        <v>1530</v>
      </c>
      <c r="U318" s="44" t="s">
        <v>2270</v>
      </c>
      <c r="V318" s="44" t="s">
        <v>2283</v>
      </c>
      <c r="W318" s="36" t="s">
        <v>2268</v>
      </c>
      <c r="X318" s="36" t="s">
        <v>984</v>
      </c>
      <c r="Y318" s="36" t="s">
        <v>473</v>
      </c>
      <c r="Z318" s="79" t="s">
        <v>2282</v>
      </c>
      <c r="AA318" s="36" t="s">
        <v>2281</v>
      </c>
      <c r="AB318" s="47">
        <v>3020000</v>
      </c>
      <c r="AC318" s="41">
        <v>3020000</v>
      </c>
      <c r="AD318" s="3">
        <v>2860000</v>
      </c>
      <c r="AE318" s="16">
        <f t="shared" si="124"/>
        <v>160000</v>
      </c>
      <c r="AF318" s="16">
        <v>0</v>
      </c>
      <c r="AG318">
        <v>200000</v>
      </c>
      <c r="AI318" s="16">
        <v>0</v>
      </c>
      <c r="AK318" s="16">
        <v>0</v>
      </c>
      <c r="AL318" s="11">
        <f t="shared" si="125"/>
        <v>3220000</v>
      </c>
      <c r="AM318" s="16">
        <f t="shared" si="126"/>
        <v>309248</v>
      </c>
      <c r="AN318" s="16">
        <f t="shared" si="127"/>
        <v>120800</v>
      </c>
      <c r="AO318" s="16">
        <f t="shared" si="148"/>
        <v>188448</v>
      </c>
      <c r="AP318" s="16">
        <f t="shared" si="128"/>
        <v>111740</v>
      </c>
      <c r="AQ318" s="16">
        <f t="shared" si="129"/>
        <v>3529248</v>
      </c>
      <c r="AR318" s="16">
        <f t="shared" si="151"/>
        <v>211754.88</v>
      </c>
      <c r="AS318" s="16">
        <f t="shared" si="130"/>
        <v>23293.036800000002</v>
      </c>
      <c r="AT318" s="16">
        <f t="shared" si="131"/>
        <v>-4235.0976000000001</v>
      </c>
      <c r="AU318" s="16">
        <f t="shared" si="132"/>
        <v>3736767.7823999999</v>
      </c>
      <c r="AV318" s="16">
        <f t="shared" si="133"/>
        <v>3741002.88</v>
      </c>
      <c r="AW318" s="16">
        <f t="shared" si="134"/>
        <v>120800</v>
      </c>
      <c r="AX318" s="16" t="s">
        <v>319</v>
      </c>
      <c r="AZ318" s="17">
        <f t="shared" si="150"/>
        <v>2900</v>
      </c>
      <c r="BA318" s="16">
        <f t="shared" si="136"/>
        <v>3099200</v>
      </c>
      <c r="BB318" s="16">
        <f t="shared" si="137"/>
        <v>3096300</v>
      </c>
      <c r="BC318">
        <v>0.03</v>
      </c>
      <c r="BD318">
        <v>0.01</v>
      </c>
      <c r="BE318" s="37">
        <f t="shared" si="138"/>
        <v>279048</v>
      </c>
      <c r="BF318" s="38">
        <f t="shared" si="139"/>
        <v>172140</v>
      </c>
      <c r="BG318" s="37">
        <f t="shared" si="149"/>
        <v>143000</v>
      </c>
      <c r="BH318" s="37">
        <f t="shared" si="140"/>
        <v>151000</v>
      </c>
      <c r="BI318">
        <v>143000</v>
      </c>
      <c r="BL318" s="8">
        <f t="shared" si="141"/>
        <v>200000</v>
      </c>
      <c r="BM318" s="7" t="str">
        <f t="shared" si="152"/>
        <v>Terdaftar BPJS Kes &amp; Naker</v>
      </c>
      <c r="BN318" s="11">
        <f t="shared" si="153"/>
        <v>172140</v>
      </c>
      <c r="BO318" s="11">
        <f t="shared" si="154"/>
        <v>137108</v>
      </c>
      <c r="BP318" s="9">
        <f t="shared" si="142"/>
        <v>0</v>
      </c>
      <c r="BQ318" t="str">
        <f>_xlfn.XLOOKUP(X318,'[2]NON TETAP'!$H:$H,'[2]NON TETAP'!$I:$I)</f>
        <v>GRAMEDIA ASRI MEDIA</v>
      </c>
    </row>
    <row r="319" spans="1:69" x14ac:dyDescent="0.3">
      <c r="A319" s="2">
        <v>318</v>
      </c>
      <c r="B319" s="4" t="s">
        <v>2275</v>
      </c>
      <c r="C319" s="6" t="s">
        <v>241</v>
      </c>
      <c r="D319" s="6"/>
      <c r="E319" s="6" t="s">
        <v>73</v>
      </c>
      <c r="F319" s="6" t="s">
        <v>73</v>
      </c>
      <c r="G319" s="6"/>
      <c r="H319" s="6"/>
      <c r="I319" s="6"/>
      <c r="J319" s="6"/>
      <c r="K319" s="6">
        <v>800404</v>
      </c>
      <c r="L319" s="6"/>
      <c r="M319" s="6" t="s">
        <v>2280</v>
      </c>
      <c r="N319" s="46" t="s">
        <v>2279</v>
      </c>
      <c r="O319" s="6">
        <v>1863214672</v>
      </c>
      <c r="P319" s="78" t="s">
        <v>2278</v>
      </c>
      <c r="Q319" s="6">
        <v>10458</v>
      </c>
      <c r="R319" s="6">
        <v>27458</v>
      </c>
      <c r="S319" s="5" t="str">
        <f>VLOOKUP(T319,'[1]Kode Posisi'!$A$3:$B$45,2,)</f>
        <v>Outsourcing Cleaning Service</v>
      </c>
      <c r="T319" s="36" t="s">
        <v>47</v>
      </c>
      <c r="U319" s="44" t="s">
        <v>2270</v>
      </c>
      <c r="V319" s="44" t="s">
        <v>2277</v>
      </c>
      <c r="W319" s="36" t="s">
        <v>2268</v>
      </c>
      <c r="X319" s="36" t="s">
        <v>984</v>
      </c>
      <c r="Y319" s="36" t="s">
        <v>473</v>
      </c>
      <c r="Z319" s="76" t="s">
        <v>2276</v>
      </c>
      <c r="AA319" s="36" t="s">
        <v>2275</v>
      </c>
      <c r="AB319" s="47">
        <v>3020000</v>
      </c>
      <c r="AC319" s="41">
        <v>3020000</v>
      </c>
      <c r="AD319" s="3">
        <v>2860000</v>
      </c>
      <c r="AE319" s="16">
        <f t="shared" si="124"/>
        <v>160000</v>
      </c>
      <c r="AF319" s="16">
        <v>0</v>
      </c>
      <c r="AG319" s="17">
        <v>0</v>
      </c>
      <c r="AI319" s="16">
        <v>0</v>
      </c>
      <c r="AK319" s="16">
        <v>0</v>
      </c>
      <c r="AL319" s="11">
        <f t="shared" si="125"/>
        <v>3020000</v>
      </c>
      <c r="AM319" s="16">
        <f t="shared" si="126"/>
        <v>309248</v>
      </c>
      <c r="AN319" s="16">
        <f t="shared" si="127"/>
        <v>120800</v>
      </c>
      <c r="AO319" s="16">
        <f t="shared" si="148"/>
        <v>188448</v>
      </c>
      <c r="AP319" s="16">
        <f t="shared" si="128"/>
        <v>111740</v>
      </c>
      <c r="AQ319" s="16">
        <f t="shared" si="129"/>
        <v>3329248</v>
      </c>
      <c r="AR319" s="16">
        <f t="shared" si="151"/>
        <v>199754.88</v>
      </c>
      <c r="AS319" s="16">
        <f t="shared" si="130"/>
        <v>21973.036800000002</v>
      </c>
      <c r="AT319" s="16">
        <f t="shared" si="131"/>
        <v>-3995.0976000000001</v>
      </c>
      <c r="AU319" s="16">
        <f t="shared" si="132"/>
        <v>3525007.7823999999</v>
      </c>
      <c r="AV319" s="16">
        <f t="shared" si="133"/>
        <v>3529002.88</v>
      </c>
      <c r="AW319" s="16">
        <f t="shared" si="134"/>
        <v>120800</v>
      </c>
      <c r="AX319" s="16" t="s">
        <v>235</v>
      </c>
      <c r="AZ319" s="17">
        <f t="shared" si="150"/>
        <v>2900</v>
      </c>
      <c r="BA319" s="16">
        <f t="shared" si="136"/>
        <v>2899200</v>
      </c>
      <c r="BB319" s="16">
        <f t="shared" si="137"/>
        <v>2896300</v>
      </c>
      <c r="BC319">
        <v>0.03</v>
      </c>
      <c r="BD319">
        <v>0.01</v>
      </c>
      <c r="BE319" s="37">
        <f t="shared" si="138"/>
        <v>279048</v>
      </c>
      <c r="BF319" s="38">
        <f t="shared" si="139"/>
        <v>172140</v>
      </c>
      <c r="BG319" s="37">
        <f t="shared" si="149"/>
        <v>143000</v>
      </c>
      <c r="BH319" s="37">
        <f t="shared" si="140"/>
        <v>151000</v>
      </c>
      <c r="BI319">
        <v>143000</v>
      </c>
      <c r="BL319" s="8">
        <f t="shared" si="141"/>
        <v>0</v>
      </c>
      <c r="BM319" s="7" t="str">
        <f t="shared" si="152"/>
        <v>Terdaftar BPJS Kes &amp; Naker</v>
      </c>
      <c r="BN319" s="11">
        <f t="shared" si="153"/>
        <v>172140</v>
      </c>
      <c r="BO319" s="11">
        <f t="shared" si="154"/>
        <v>137108</v>
      </c>
      <c r="BP319" s="9">
        <f t="shared" si="142"/>
        <v>0</v>
      </c>
      <c r="BQ319" t="str">
        <f>_xlfn.XLOOKUP(X319,'[2]NON TETAP'!$H:$H,'[2]NON TETAP'!$I:$I)</f>
        <v>GRAMEDIA ASRI MEDIA</v>
      </c>
    </row>
    <row r="320" spans="1:69" x14ac:dyDescent="0.3">
      <c r="A320" s="2">
        <v>319</v>
      </c>
      <c r="B320" s="4" t="s">
        <v>2274</v>
      </c>
      <c r="C320" s="6" t="s">
        <v>241</v>
      </c>
      <c r="D320" s="6"/>
      <c r="E320" s="6" t="s">
        <v>73</v>
      </c>
      <c r="F320" s="6" t="s">
        <v>73</v>
      </c>
      <c r="G320" s="6"/>
      <c r="H320" s="6"/>
      <c r="I320" s="6"/>
      <c r="J320" s="6"/>
      <c r="K320" s="6">
        <v>800405</v>
      </c>
      <c r="L320" s="6"/>
      <c r="M320" s="6" t="s">
        <v>2273</v>
      </c>
      <c r="N320" s="46" t="s">
        <v>2272</v>
      </c>
      <c r="O320" s="6">
        <v>2051580576</v>
      </c>
      <c r="P320" s="78" t="s">
        <v>2271</v>
      </c>
      <c r="Q320" s="6">
        <v>10458</v>
      </c>
      <c r="R320" s="6">
        <v>27458</v>
      </c>
      <c r="S320" s="5" t="str">
        <f>VLOOKUP(T320,'[1]Kode Posisi'!$A$3:$B$45,2,)</f>
        <v>Outsourcing Cleaning Service</v>
      </c>
      <c r="T320" s="36" t="s">
        <v>47</v>
      </c>
      <c r="U320" s="44" t="s">
        <v>2270</v>
      </c>
      <c r="V320" s="44" t="s">
        <v>2269</v>
      </c>
      <c r="W320" s="36" t="s">
        <v>2268</v>
      </c>
      <c r="X320" s="36" t="s">
        <v>984</v>
      </c>
      <c r="Y320" s="36" t="s">
        <v>473</v>
      </c>
      <c r="Z320" s="79" t="s">
        <v>2267</v>
      </c>
      <c r="AA320" s="36" t="s">
        <v>2266</v>
      </c>
      <c r="AB320" s="47">
        <v>3020000</v>
      </c>
      <c r="AC320" s="41">
        <v>3020000</v>
      </c>
      <c r="AD320" s="3">
        <v>2860000</v>
      </c>
      <c r="AE320" s="16">
        <f t="shared" ref="AE320:AE383" si="155">AB320-AD320</f>
        <v>160000</v>
      </c>
      <c r="AF320" s="16">
        <v>0</v>
      </c>
      <c r="AG320" s="17">
        <v>0</v>
      </c>
      <c r="AI320" s="16">
        <v>0</v>
      </c>
      <c r="AK320" s="16">
        <v>0</v>
      </c>
      <c r="AL320" s="11">
        <f t="shared" si="125"/>
        <v>3020000</v>
      </c>
      <c r="AM320" s="16">
        <f t="shared" si="126"/>
        <v>309248</v>
      </c>
      <c r="AN320" s="16">
        <f t="shared" si="127"/>
        <v>120800</v>
      </c>
      <c r="AO320" s="16">
        <f t="shared" si="148"/>
        <v>188448</v>
      </c>
      <c r="AP320" s="16">
        <f t="shared" si="128"/>
        <v>111740</v>
      </c>
      <c r="AQ320" s="16">
        <f t="shared" si="129"/>
        <v>3329248</v>
      </c>
      <c r="AR320" s="16">
        <f t="shared" si="151"/>
        <v>199754.88</v>
      </c>
      <c r="AS320" s="16">
        <f t="shared" si="130"/>
        <v>21973.036800000002</v>
      </c>
      <c r="AT320" s="16">
        <f t="shared" si="131"/>
        <v>-3995.0976000000001</v>
      </c>
      <c r="AU320" s="16">
        <f t="shared" si="132"/>
        <v>3525007.7823999999</v>
      </c>
      <c r="AV320" s="16">
        <f t="shared" si="133"/>
        <v>3529002.88</v>
      </c>
      <c r="AW320" s="16">
        <f t="shared" si="134"/>
        <v>120800</v>
      </c>
      <c r="AX320" s="16" t="s">
        <v>319</v>
      </c>
      <c r="AZ320" s="17">
        <f t="shared" si="150"/>
        <v>2900</v>
      </c>
      <c r="BA320" s="16">
        <f t="shared" si="136"/>
        <v>2899200</v>
      </c>
      <c r="BB320" s="16">
        <f t="shared" si="137"/>
        <v>2896300</v>
      </c>
      <c r="BC320">
        <v>0.03</v>
      </c>
      <c r="BD320">
        <v>0.01</v>
      </c>
      <c r="BE320" s="37">
        <f t="shared" si="138"/>
        <v>279048</v>
      </c>
      <c r="BF320" s="38">
        <f t="shared" si="139"/>
        <v>172140</v>
      </c>
      <c r="BG320" s="37">
        <f t="shared" si="149"/>
        <v>143000</v>
      </c>
      <c r="BH320" s="37">
        <f t="shared" si="140"/>
        <v>151000</v>
      </c>
      <c r="BI320">
        <v>143000</v>
      </c>
      <c r="BL320" s="8">
        <f t="shared" si="141"/>
        <v>0</v>
      </c>
      <c r="BM320" s="7" t="str">
        <f t="shared" si="152"/>
        <v>Terdaftar BPJS Kes &amp; Naker</v>
      </c>
      <c r="BN320" s="11">
        <f t="shared" si="153"/>
        <v>172140</v>
      </c>
      <c r="BO320" s="11">
        <f t="shared" si="154"/>
        <v>137108</v>
      </c>
      <c r="BP320" s="9">
        <f t="shared" si="142"/>
        <v>0</v>
      </c>
      <c r="BQ320" t="str">
        <f>_xlfn.XLOOKUP(X320,'[2]NON TETAP'!$H:$H,'[2]NON TETAP'!$I:$I)</f>
        <v>GRAMEDIA ASRI MEDIA</v>
      </c>
    </row>
    <row r="321" spans="1:69" x14ac:dyDescent="0.3">
      <c r="A321" s="2">
        <v>320</v>
      </c>
      <c r="B321" s="4" t="s">
        <v>2265</v>
      </c>
      <c r="C321" s="6" t="s">
        <v>241</v>
      </c>
      <c r="D321" s="6"/>
      <c r="E321" s="6" t="s">
        <v>73</v>
      </c>
      <c r="F321" s="6" t="s">
        <v>73</v>
      </c>
      <c r="G321" s="6" t="s">
        <v>73</v>
      </c>
      <c r="H321" s="6"/>
      <c r="I321" s="6"/>
      <c r="J321" s="6"/>
      <c r="K321" s="6">
        <v>800406</v>
      </c>
      <c r="L321" s="6"/>
      <c r="M321" s="6" t="s">
        <v>2264</v>
      </c>
      <c r="N321" s="46" t="s">
        <v>2263</v>
      </c>
      <c r="O321" s="6">
        <v>1861991381</v>
      </c>
      <c r="P321" s="78" t="s">
        <v>2262</v>
      </c>
      <c r="Q321" s="6">
        <v>10140</v>
      </c>
      <c r="R321" s="6">
        <v>27140</v>
      </c>
      <c r="S321" s="5" t="str">
        <f>VLOOKUP(T321,'[1]Kode Posisi'!$A$3:$B$45,2,)</f>
        <v>Outsourcing Cleaning Service</v>
      </c>
      <c r="T321" s="36" t="s">
        <v>47</v>
      </c>
      <c r="U321" s="44">
        <v>9025</v>
      </c>
      <c r="V321" s="44" t="s">
        <v>2261</v>
      </c>
      <c r="W321" s="36" t="s">
        <v>2260</v>
      </c>
      <c r="X321" s="36" t="s">
        <v>2259</v>
      </c>
      <c r="Y321" s="36" t="s">
        <v>473</v>
      </c>
      <c r="Z321" s="76" t="s">
        <v>2258</v>
      </c>
      <c r="AA321" s="36" t="s">
        <v>2257</v>
      </c>
      <c r="AB321" s="47">
        <v>4149000</v>
      </c>
      <c r="AC321" s="41">
        <v>4149000</v>
      </c>
      <c r="AD321" s="3">
        <v>3881000</v>
      </c>
      <c r="AE321" s="16">
        <f t="shared" si="155"/>
        <v>268000</v>
      </c>
      <c r="AF321" s="16">
        <v>0</v>
      </c>
      <c r="AG321" s="17">
        <v>0</v>
      </c>
      <c r="AI321" s="16">
        <v>0</v>
      </c>
      <c r="AK321" s="16">
        <v>0</v>
      </c>
      <c r="AL321" s="11">
        <f t="shared" si="125"/>
        <v>4149000</v>
      </c>
      <c r="AM321" s="16">
        <f t="shared" si="126"/>
        <v>424857.59999999998</v>
      </c>
      <c r="AN321" s="16">
        <f t="shared" si="127"/>
        <v>165960</v>
      </c>
      <c r="AO321" s="16">
        <f t="shared" si="148"/>
        <v>258897.59999999998</v>
      </c>
      <c r="AP321" s="16">
        <f t="shared" si="128"/>
        <v>153513</v>
      </c>
      <c r="AQ321" s="16">
        <f t="shared" si="129"/>
        <v>4573857.5999999996</v>
      </c>
      <c r="AR321" s="16">
        <f t="shared" si="151"/>
        <v>274431.45599999995</v>
      </c>
      <c r="AS321" s="16">
        <f t="shared" si="130"/>
        <v>30187.460159999995</v>
      </c>
      <c r="AT321" s="16">
        <f t="shared" si="131"/>
        <v>-5488.6291199999987</v>
      </c>
      <c r="AU321" s="16">
        <f t="shared" si="132"/>
        <v>4842800.4268800002</v>
      </c>
      <c r="AV321" s="16">
        <f t="shared" si="133"/>
        <v>4848289.0559999999</v>
      </c>
      <c r="AW321" s="16">
        <f t="shared" si="134"/>
        <v>165960</v>
      </c>
      <c r="AX321" s="16" t="s">
        <v>286</v>
      </c>
      <c r="AZ321" s="17">
        <f t="shared" si="150"/>
        <v>2900</v>
      </c>
      <c r="BA321" s="16">
        <f t="shared" si="136"/>
        <v>3983040</v>
      </c>
      <c r="BB321" s="16">
        <f t="shared" si="137"/>
        <v>3980140</v>
      </c>
      <c r="BC321">
        <v>0.03</v>
      </c>
      <c r="BD321">
        <v>0.01</v>
      </c>
      <c r="BE321" s="37">
        <f t="shared" si="138"/>
        <v>383367.6</v>
      </c>
      <c r="BF321" s="38">
        <f t="shared" si="139"/>
        <v>236493</v>
      </c>
      <c r="BG321" s="37">
        <f t="shared" si="149"/>
        <v>194050</v>
      </c>
      <c r="BH321" s="37">
        <f t="shared" si="140"/>
        <v>207450</v>
      </c>
      <c r="BI321">
        <v>194050</v>
      </c>
      <c r="BJ321" s="2">
        <v>194050</v>
      </c>
      <c r="BL321" s="8">
        <f t="shared" si="141"/>
        <v>0</v>
      </c>
      <c r="BM321" s="7" t="str">
        <f t="shared" si="152"/>
        <v>Terdaftar BPJS Kes &amp; Naker</v>
      </c>
      <c r="BN321" s="11">
        <f t="shared" si="153"/>
        <v>236493</v>
      </c>
      <c r="BO321" s="11">
        <f t="shared" si="154"/>
        <v>188364.6</v>
      </c>
      <c r="BP321" s="9">
        <f t="shared" si="142"/>
        <v>0</v>
      </c>
      <c r="BQ321" t="str">
        <f>_xlfn.XLOOKUP(X321,'[2]NON TETAP'!$H:$H,'[2]NON TETAP'!$I:$I)</f>
        <v>GRAMEDIA ASRI MEDIA</v>
      </c>
    </row>
    <row r="322" spans="1:69" x14ac:dyDescent="0.3">
      <c r="A322" s="2">
        <v>321</v>
      </c>
      <c r="B322" s="4" t="s">
        <v>2256</v>
      </c>
      <c r="C322" s="6" t="s">
        <v>241</v>
      </c>
      <c r="D322" s="6"/>
      <c r="E322" s="6" t="s">
        <v>73</v>
      </c>
      <c r="F322" s="6" t="s">
        <v>73</v>
      </c>
      <c r="G322" s="6" t="s">
        <v>73</v>
      </c>
      <c r="H322" s="6"/>
      <c r="I322" s="6"/>
      <c r="J322" s="6"/>
      <c r="K322" s="6">
        <v>800407</v>
      </c>
      <c r="L322" s="6"/>
      <c r="M322" s="6" t="s">
        <v>2255</v>
      </c>
      <c r="N322" s="46" t="s">
        <v>2254</v>
      </c>
      <c r="O322" s="6">
        <v>1888727848</v>
      </c>
      <c r="P322" s="78" t="s">
        <v>2253</v>
      </c>
      <c r="Q322" s="6">
        <v>10169</v>
      </c>
      <c r="R322" s="6">
        <v>27169</v>
      </c>
      <c r="S322" s="5" t="str">
        <f>VLOOKUP(T322,'[1]Kode Posisi'!$A$3:$B$45,2,)</f>
        <v>Outsourcing Cleaning Service</v>
      </c>
      <c r="T322" s="36" t="s">
        <v>47</v>
      </c>
      <c r="U322" s="44" t="s">
        <v>2252</v>
      </c>
      <c r="V322" s="44" t="s">
        <v>2251</v>
      </c>
      <c r="W322" s="49" t="s">
        <v>2250</v>
      </c>
      <c r="X322" s="49" t="s">
        <v>2249</v>
      </c>
      <c r="Y322" s="36" t="s">
        <v>52</v>
      </c>
      <c r="Z322" s="79">
        <v>6800387327</v>
      </c>
      <c r="AA322" s="36" t="s">
        <v>2248</v>
      </c>
      <c r="AB322" s="47">
        <v>5730000</v>
      </c>
      <c r="AC322" s="41">
        <v>5730000</v>
      </c>
      <c r="AD322" s="3">
        <v>5397000</v>
      </c>
      <c r="AE322" s="16">
        <f t="shared" si="155"/>
        <v>333000</v>
      </c>
      <c r="AF322" s="16">
        <v>0</v>
      </c>
      <c r="AG322" s="17">
        <v>0</v>
      </c>
      <c r="AI322" s="16">
        <v>0</v>
      </c>
      <c r="AK322" s="16">
        <v>0</v>
      </c>
      <c r="AL322" s="11">
        <f t="shared" ref="AL322:AL385" si="156">SUM(AB322,AF322,AG322:AJ322)-AK322</f>
        <v>5730000</v>
      </c>
      <c r="AM322" s="16">
        <f t="shared" ref="AM322:AM385" si="157">SUM(AN322:AO322)</f>
        <v>586752</v>
      </c>
      <c r="AN322" s="16">
        <f t="shared" ref="AN322:AN385" si="158">IF(BD322=0.01,AC322*0.04,0)</f>
        <v>229200</v>
      </c>
      <c r="AO322" s="16">
        <f t="shared" si="148"/>
        <v>357552</v>
      </c>
      <c r="AP322" s="16">
        <f t="shared" ref="AP322:AP385" si="159">IF(BC322=0.03,0.037*(AB322+AF322),0)</f>
        <v>212010</v>
      </c>
      <c r="AQ322" s="16">
        <f t="shared" ref="AQ322:AQ385" si="160">SUM(AL322:AM322)</f>
        <v>6316752</v>
      </c>
      <c r="AR322" s="16">
        <f t="shared" si="151"/>
        <v>379005.12</v>
      </c>
      <c r="AS322" s="16">
        <f t="shared" ref="AS322:AS385" si="161">SUM(AR322*0.11)</f>
        <v>41690.563199999997</v>
      </c>
      <c r="AT322" s="16">
        <f t="shared" ref="AT322:AT385" si="162">SUM(AR322*-0.02)</f>
        <v>-7580.1023999999998</v>
      </c>
      <c r="AU322" s="16">
        <f t="shared" ref="AU322:AU385" si="163">(AQ322+AR322)+AT322</f>
        <v>6688177.0175999999</v>
      </c>
      <c r="AV322" s="16">
        <f t="shared" ref="AV322:AV385" si="164">SUM(AQ322+AR322)</f>
        <v>6695757.1200000001</v>
      </c>
      <c r="AW322" s="16">
        <f t="shared" ref="AW322:AW385" si="165">SUM(AC322)*SUM(BC322,BD322)</f>
        <v>229200</v>
      </c>
      <c r="AX322" s="16" t="s">
        <v>286</v>
      </c>
      <c r="AZ322" s="17">
        <f t="shared" si="150"/>
        <v>0</v>
      </c>
      <c r="BA322" s="16">
        <f t="shared" ref="BA322:BA385" si="166">SUM(AL322-AW322,AY322)</f>
        <v>5500800</v>
      </c>
      <c r="BB322" s="16">
        <f t="shared" ref="BB322:BB385" si="167">SUM(AL322-AW322,AY322)-AZ322</f>
        <v>5500800</v>
      </c>
      <c r="BC322">
        <v>0.03</v>
      </c>
      <c r="BD322">
        <v>0.01</v>
      </c>
      <c r="BE322" s="37">
        <f t="shared" ref="BE322:BE385" si="168">IF(BC322=0.03,AC322*9.24%,0)</f>
        <v>529452</v>
      </c>
      <c r="BF322" s="38">
        <f t="shared" ref="BF322:BF385" si="169">IF(BC322=0.03,0.057/0.0924*BE322,0)</f>
        <v>326610</v>
      </c>
      <c r="BG322" s="37">
        <f t="shared" si="149"/>
        <v>269850</v>
      </c>
      <c r="BH322" s="37">
        <f t="shared" ref="BH322:BH385" si="170">IF(BD322=0.01,AC322*5%,0)</f>
        <v>286500</v>
      </c>
      <c r="BI322">
        <v>269850</v>
      </c>
      <c r="BL322" s="8">
        <f t="shared" ref="BL322:BL385" si="171">SUM(AF322:AJ322)-AK322</f>
        <v>0</v>
      </c>
      <c r="BM322" s="7" t="str">
        <f t="shared" si="152"/>
        <v>Terdaftar BPJS Kes &amp; Naker</v>
      </c>
      <c r="BN322" s="11">
        <f t="shared" si="153"/>
        <v>326610</v>
      </c>
      <c r="BO322" s="11">
        <f t="shared" si="154"/>
        <v>260142.00000000003</v>
      </c>
      <c r="BP322" s="9">
        <f t="shared" ref="BP322:BP385" si="172">AM322-BN322-BO322</f>
        <v>0</v>
      </c>
      <c r="BQ322" t="str">
        <f>_xlfn.XLOOKUP(X322,'[2]NON TETAP'!$H:$H,'[2]NON TETAP'!$I:$I)</f>
        <v>GRAMEDIA ASRI MEDIA</v>
      </c>
    </row>
    <row r="323" spans="1:69" x14ac:dyDescent="0.3">
      <c r="A323" s="2">
        <v>322</v>
      </c>
      <c r="B323" s="4" t="s">
        <v>2247</v>
      </c>
      <c r="C323" s="6" t="s">
        <v>241</v>
      </c>
      <c r="D323" s="6"/>
      <c r="E323" s="6" t="s">
        <v>73</v>
      </c>
      <c r="F323" s="6" t="s">
        <v>73</v>
      </c>
      <c r="G323" s="6" t="s">
        <v>73</v>
      </c>
      <c r="H323" s="6"/>
      <c r="I323" s="6"/>
      <c r="J323" s="6"/>
      <c r="K323" s="6">
        <v>800408</v>
      </c>
      <c r="L323" s="6"/>
      <c r="M323" s="6" t="str">
        <f>_xlfn.XLOOKUP(P323,[3]update_data_tk!$C$2:$C$545,[3]update_data_tk!$D$2:$D$545)</f>
        <v>25077450812</v>
      </c>
      <c r="N323" s="46" t="s">
        <v>2246</v>
      </c>
      <c r="O323" s="6">
        <v>1606255885</v>
      </c>
      <c r="P323" s="78" t="s">
        <v>2245</v>
      </c>
      <c r="Q323" s="6">
        <v>10108</v>
      </c>
      <c r="R323" s="6">
        <v>27108</v>
      </c>
      <c r="S323" s="5" t="str">
        <f>VLOOKUP(T323,'[1]Kode Posisi'!$A$3:$B$45,2,)</f>
        <v>Outsourcing Cleaning Service</v>
      </c>
      <c r="T323" s="36" t="s">
        <v>1530</v>
      </c>
      <c r="U323" s="44" t="s">
        <v>46</v>
      </c>
      <c r="V323" s="44" t="s">
        <v>2244</v>
      </c>
      <c r="W323" s="36" t="s">
        <v>45</v>
      </c>
      <c r="X323" s="36" t="s">
        <v>44</v>
      </c>
      <c r="Y323" s="36" t="s">
        <v>473</v>
      </c>
      <c r="Z323" s="79" t="s">
        <v>2243</v>
      </c>
      <c r="AA323" s="36" t="s">
        <v>2242</v>
      </c>
      <c r="AB323" s="47">
        <v>5730000</v>
      </c>
      <c r="AC323" s="41">
        <v>5730000</v>
      </c>
      <c r="AD323" s="3">
        <v>5397000</v>
      </c>
      <c r="AE323" s="16">
        <f t="shared" si="155"/>
        <v>333000</v>
      </c>
      <c r="AF323" s="16">
        <v>0</v>
      </c>
      <c r="AG323">
        <v>200000</v>
      </c>
      <c r="AI323" s="16">
        <v>0</v>
      </c>
      <c r="AK323" s="16">
        <v>0</v>
      </c>
      <c r="AL323" s="11">
        <f t="shared" si="156"/>
        <v>5930000</v>
      </c>
      <c r="AM323" s="16">
        <f t="shared" si="157"/>
        <v>586752</v>
      </c>
      <c r="AN323" s="16">
        <f t="shared" si="158"/>
        <v>229200</v>
      </c>
      <c r="AO323" s="16">
        <f t="shared" si="148"/>
        <v>357552</v>
      </c>
      <c r="AP323" s="16">
        <f t="shared" si="159"/>
        <v>212010</v>
      </c>
      <c r="AQ323" s="16">
        <f t="shared" si="160"/>
        <v>6516752</v>
      </c>
      <c r="AR323" s="16">
        <f t="shared" si="151"/>
        <v>391005.12</v>
      </c>
      <c r="AS323" s="16">
        <f t="shared" si="161"/>
        <v>43010.563199999997</v>
      </c>
      <c r="AT323" s="16">
        <f t="shared" si="162"/>
        <v>-7820.1023999999998</v>
      </c>
      <c r="AU323" s="16">
        <f t="shared" si="163"/>
        <v>6899937.0175999999</v>
      </c>
      <c r="AV323" s="16">
        <f t="shared" si="164"/>
        <v>6907757.1200000001</v>
      </c>
      <c r="AW323" s="16">
        <f t="shared" si="165"/>
        <v>229200</v>
      </c>
      <c r="AX323" s="16" t="s">
        <v>319</v>
      </c>
      <c r="AZ323" s="17">
        <f t="shared" si="150"/>
        <v>2900</v>
      </c>
      <c r="BA323" s="16">
        <f t="shared" si="166"/>
        <v>5700800</v>
      </c>
      <c r="BB323" s="16">
        <f t="shared" si="167"/>
        <v>5697900</v>
      </c>
      <c r="BC323" s="15">
        <v>0.03</v>
      </c>
      <c r="BD323">
        <v>0.01</v>
      </c>
      <c r="BE323" s="37">
        <f t="shared" si="168"/>
        <v>529452</v>
      </c>
      <c r="BF323" s="38">
        <f t="shared" si="169"/>
        <v>326610</v>
      </c>
      <c r="BG323" s="37">
        <f t="shared" si="149"/>
        <v>269850</v>
      </c>
      <c r="BH323" s="37">
        <f t="shared" si="170"/>
        <v>286500</v>
      </c>
      <c r="BI323">
        <v>269850</v>
      </c>
      <c r="BL323" s="8">
        <f t="shared" si="171"/>
        <v>200000</v>
      </c>
      <c r="BM323" s="7" t="str">
        <f t="shared" si="152"/>
        <v>Terdaftar BPJS Kes &amp; Naker</v>
      </c>
      <c r="BN323" s="11">
        <f t="shared" si="153"/>
        <v>326610</v>
      </c>
      <c r="BO323" s="11">
        <f t="shared" si="154"/>
        <v>260142.00000000003</v>
      </c>
      <c r="BP323" s="9">
        <f t="shared" si="172"/>
        <v>0</v>
      </c>
      <c r="BQ323" t="str">
        <f>_xlfn.XLOOKUP(X323,'[2]NON TETAP'!$H:$H,'[2]NON TETAP'!$I:$I)</f>
        <v>GRAMEDIA ASRI MEDIA</v>
      </c>
    </row>
    <row r="324" spans="1:69" x14ac:dyDescent="0.3">
      <c r="A324" s="2">
        <v>323</v>
      </c>
      <c r="B324" s="4" t="s">
        <v>2241</v>
      </c>
      <c r="C324" s="6" t="s">
        <v>241</v>
      </c>
      <c r="D324" s="6"/>
      <c r="E324" s="6" t="s">
        <v>73</v>
      </c>
      <c r="F324" s="6" t="s">
        <v>73</v>
      </c>
      <c r="G324" s="6" t="s">
        <v>73</v>
      </c>
      <c r="H324" s="6"/>
      <c r="I324" s="6"/>
      <c r="J324" s="6"/>
      <c r="K324" s="6">
        <v>800409</v>
      </c>
      <c r="L324" s="6"/>
      <c r="M324" s="6" t="str">
        <f>_xlfn.XLOOKUP(P324,[3]update_data_tk!$C$2:$C$545,[3]update_data_tk!$D$2:$D$545)</f>
        <v>25077451067</v>
      </c>
      <c r="N324" s="46" t="s">
        <v>2240</v>
      </c>
      <c r="O324" s="6">
        <v>2510086509</v>
      </c>
      <c r="P324" s="78" t="s">
        <v>2239</v>
      </c>
      <c r="Q324" s="6">
        <v>10108</v>
      </c>
      <c r="R324" s="6">
        <v>27108</v>
      </c>
      <c r="S324" s="5" t="str">
        <f>VLOOKUP(T324,'[1]Kode Posisi'!$A$3:$B$45,2,)</f>
        <v>Outsourcing Cleaning Service</v>
      </c>
      <c r="T324" s="36" t="s">
        <v>47</v>
      </c>
      <c r="U324" s="44" t="s">
        <v>46</v>
      </c>
      <c r="V324" s="44" t="s">
        <v>2238</v>
      </c>
      <c r="W324" s="36" t="s">
        <v>45</v>
      </c>
      <c r="X324" s="36" t="s">
        <v>44</v>
      </c>
      <c r="Y324" s="36" t="s">
        <v>52</v>
      </c>
      <c r="Z324" s="79" t="s">
        <v>2237</v>
      </c>
      <c r="AA324" s="36" t="s">
        <v>2236</v>
      </c>
      <c r="AB324" s="47">
        <v>5730000</v>
      </c>
      <c r="AC324" s="41">
        <v>5730000</v>
      </c>
      <c r="AD324" s="3">
        <v>5397000</v>
      </c>
      <c r="AE324" s="16">
        <f t="shared" si="155"/>
        <v>333000</v>
      </c>
      <c r="AF324" s="16">
        <v>0</v>
      </c>
      <c r="AG324" s="17">
        <v>0</v>
      </c>
      <c r="AI324" s="16">
        <v>0</v>
      </c>
      <c r="AK324" s="16">
        <v>0</v>
      </c>
      <c r="AL324" s="11">
        <f t="shared" si="156"/>
        <v>5730000</v>
      </c>
      <c r="AM324" s="16">
        <f t="shared" si="157"/>
        <v>586752</v>
      </c>
      <c r="AN324" s="16">
        <f t="shared" si="158"/>
        <v>229200</v>
      </c>
      <c r="AO324" s="16">
        <f t="shared" si="148"/>
        <v>357552</v>
      </c>
      <c r="AP324" s="16">
        <f t="shared" si="159"/>
        <v>212010</v>
      </c>
      <c r="AQ324" s="16">
        <f t="shared" si="160"/>
        <v>6316752</v>
      </c>
      <c r="AR324" s="16">
        <f t="shared" si="151"/>
        <v>379005.12</v>
      </c>
      <c r="AS324" s="16">
        <f t="shared" si="161"/>
        <v>41690.563199999997</v>
      </c>
      <c r="AT324" s="16">
        <f t="shared" si="162"/>
        <v>-7580.1023999999998</v>
      </c>
      <c r="AU324" s="16">
        <f t="shared" si="163"/>
        <v>6688177.0175999999</v>
      </c>
      <c r="AV324" s="16">
        <f t="shared" si="164"/>
        <v>6695757.1200000001</v>
      </c>
      <c r="AW324" s="16">
        <f t="shared" si="165"/>
        <v>229200</v>
      </c>
      <c r="AX324" s="16" t="s">
        <v>319</v>
      </c>
      <c r="AZ324" s="17">
        <f t="shared" si="150"/>
        <v>0</v>
      </c>
      <c r="BA324" s="16">
        <f t="shared" si="166"/>
        <v>5500800</v>
      </c>
      <c r="BB324" s="16">
        <f t="shared" si="167"/>
        <v>5500800</v>
      </c>
      <c r="BC324" s="15">
        <v>0.03</v>
      </c>
      <c r="BD324">
        <v>0.01</v>
      </c>
      <c r="BE324" s="37">
        <f t="shared" si="168"/>
        <v>529452</v>
      </c>
      <c r="BF324" s="38">
        <f t="shared" si="169"/>
        <v>326610</v>
      </c>
      <c r="BG324" s="37">
        <f t="shared" si="149"/>
        <v>269850</v>
      </c>
      <c r="BH324" s="37">
        <f t="shared" si="170"/>
        <v>286500</v>
      </c>
      <c r="BI324">
        <v>269850</v>
      </c>
      <c r="BL324" s="8">
        <f t="shared" si="171"/>
        <v>0</v>
      </c>
      <c r="BM324" s="7" t="str">
        <f t="shared" si="152"/>
        <v>Terdaftar BPJS Kes &amp; Naker</v>
      </c>
      <c r="BN324" s="11">
        <f t="shared" si="153"/>
        <v>326610</v>
      </c>
      <c r="BO324" s="11">
        <f t="shared" si="154"/>
        <v>260142.00000000003</v>
      </c>
      <c r="BP324" s="9">
        <f t="shared" si="172"/>
        <v>0</v>
      </c>
      <c r="BQ324" t="str">
        <f>_xlfn.XLOOKUP(X324,'[2]NON TETAP'!$H:$H,'[2]NON TETAP'!$I:$I)</f>
        <v>GRAMEDIA ASRI MEDIA</v>
      </c>
    </row>
    <row r="325" spans="1:69" x14ac:dyDescent="0.3">
      <c r="A325" s="2">
        <v>324</v>
      </c>
      <c r="B325" s="4" t="s">
        <v>2235</v>
      </c>
      <c r="C325" s="6" t="s">
        <v>241</v>
      </c>
      <c r="D325" s="6"/>
      <c r="E325" s="6" t="s">
        <v>73</v>
      </c>
      <c r="F325" s="6" t="s">
        <v>73</v>
      </c>
      <c r="G325" s="6" t="s">
        <v>73</v>
      </c>
      <c r="H325" s="6"/>
      <c r="I325" s="6"/>
      <c r="J325" s="6"/>
      <c r="K325" s="6">
        <v>800411</v>
      </c>
      <c r="L325" s="6"/>
      <c r="M325" s="6" t="str">
        <f>_xlfn.XLOOKUP(P325,[3]update_data_tk!$C$2:$C$545,[3]update_data_tk!$D$2:$D$545)</f>
        <v>25077451075</v>
      </c>
      <c r="N325" s="46" t="s">
        <v>2234</v>
      </c>
      <c r="O325" s="6">
        <v>1609549953</v>
      </c>
      <c r="P325" s="78" t="s">
        <v>2233</v>
      </c>
      <c r="Q325" s="6">
        <v>10108</v>
      </c>
      <c r="R325" s="6">
        <v>27108</v>
      </c>
      <c r="S325" s="5" t="str">
        <f>VLOOKUP(T325,'[1]Kode Posisi'!$A$3:$B$45,2,)</f>
        <v>Outsourcing Cleaning Service</v>
      </c>
      <c r="T325" s="36" t="s">
        <v>47</v>
      </c>
      <c r="U325" s="44" t="s">
        <v>46</v>
      </c>
      <c r="V325" s="44" t="s">
        <v>2232</v>
      </c>
      <c r="W325" s="36" t="s">
        <v>45</v>
      </c>
      <c r="X325" s="36" t="s">
        <v>44</v>
      </c>
      <c r="Y325" s="36" t="s">
        <v>52</v>
      </c>
      <c r="Z325" s="79">
        <v>6040989593</v>
      </c>
      <c r="AA325" s="36" t="s">
        <v>2231</v>
      </c>
      <c r="AB325" s="47">
        <v>5730000</v>
      </c>
      <c r="AC325" s="41">
        <v>5730000</v>
      </c>
      <c r="AD325" s="3">
        <v>5397000</v>
      </c>
      <c r="AE325" s="16">
        <f t="shared" si="155"/>
        <v>333000</v>
      </c>
      <c r="AF325" s="16">
        <v>0</v>
      </c>
      <c r="AG325" s="17">
        <v>0</v>
      </c>
      <c r="AI325" s="16">
        <v>0</v>
      </c>
      <c r="AJ325" s="16"/>
      <c r="AK325" s="16">
        <v>0</v>
      </c>
      <c r="AL325" s="11">
        <f t="shared" si="156"/>
        <v>5730000</v>
      </c>
      <c r="AM325" s="16">
        <f t="shared" si="157"/>
        <v>586752</v>
      </c>
      <c r="AN325" s="16">
        <f t="shared" si="158"/>
        <v>229200</v>
      </c>
      <c r="AO325" s="16">
        <f t="shared" si="148"/>
        <v>357552</v>
      </c>
      <c r="AP325" s="16">
        <f t="shared" si="159"/>
        <v>212010</v>
      </c>
      <c r="AQ325" s="16">
        <f t="shared" si="160"/>
        <v>6316752</v>
      </c>
      <c r="AR325" s="16">
        <f t="shared" si="151"/>
        <v>379005.12</v>
      </c>
      <c r="AS325" s="16">
        <f t="shared" si="161"/>
        <v>41690.563199999997</v>
      </c>
      <c r="AT325" s="16">
        <f t="shared" si="162"/>
        <v>-7580.1023999999998</v>
      </c>
      <c r="AU325" s="16">
        <f t="shared" si="163"/>
        <v>6688177.0175999999</v>
      </c>
      <c r="AV325" s="16">
        <f t="shared" si="164"/>
        <v>6695757.1200000001</v>
      </c>
      <c r="AW325" s="16">
        <f t="shared" si="165"/>
        <v>229200</v>
      </c>
      <c r="AX325" s="16" t="s">
        <v>235</v>
      </c>
      <c r="AZ325" s="17">
        <f t="shared" si="150"/>
        <v>0</v>
      </c>
      <c r="BA325" s="16">
        <f t="shared" si="166"/>
        <v>5500800</v>
      </c>
      <c r="BB325" s="16">
        <f t="shared" si="167"/>
        <v>5500800</v>
      </c>
      <c r="BC325" s="15">
        <v>0.03</v>
      </c>
      <c r="BD325">
        <v>0.01</v>
      </c>
      <c r="BE325" s="37">
        <f t="shared" si="168"/>
        <v>529452</v>
      </c>
      <c r="BF325" s="38">
        <f t="shared" si="169"/>
        <v>326610</v>
      </c>
      <c r="BG325" s="37">
        <f t="shared" si="149"/>
        <v>269850</v>
      </c>
      <c r="BH325" s="37">
        <f t="shared" si="170"/>
        <v>286500</v>
      </c>
      <c r="BI325">
        <v>269850</v>
      </c>
      <c r="BL325" s="8">
        <f t="shared" si="171"/>
        <v>0</v>
      </c>
      <c r="BM325" s="7" t="str">
        <f t="shared" si="152"/>
        <v>Terdaftar BPJS Kes &amp; Naker</v>
      </c>
      <c r="BN325" s="11">
        <f t="shared" si="153"/>
        <v>326610</v>
      </c>
      <c r="BO325" s="11">
        <f t="shared" si="154"/>
        <v>260142.00000000003</v>
      </c>
      <c r="BP325" s="9">
        <f t="shared" si="172"/>
        <v>0</v>
      </c>
      <c r="BQ325" t="str">
        <f>_xlfn.XLOOKUP(X325,'[2]NON TETAP'!$H:$H,'[2]NON TETAP'!$I:$I)</f>
        <v>GRAMEDIA ASRI MEDIA</v>
      </c>
    </row>
    <row r="326" spans="1:69" x14ac:dyDescent="0.3">
      <c r="A326" s="2">
        <v>325</v>
      </c>
      <c r="B326" s="4" t="s">
        <v>2230</v>
      </c>
      <c r="C326" s="6" t="s">
        <v>241</v>
      </c>
      <c r="D326" s="6"/>
      <c r="E326" s="6" t="s">
        <v>73</v>
      </c>
      <c r="F326" s="6" t="s">
        <v>73</v>
      </c>
      <c r="G326" s="6" t="s">
        <v>73</v>
      </c>
      <c r="H326" s="6"/>
      <c r="I326" s="6"/>
      <c r="J326" s="6"/>
      <c r="K326" s="6">
        <v>800413</v>
      </c>
      <c r="M326" s="6" t="str">
        <f>_xlfn.XLOOKUP(P326,[3]update_data_tk!$C$2:$C$545,[3]update_data_tk!$D$2:$D$545)</f>
        <v>25051199674</v>
      </c>
      <c r="N326" s="46" t="s">
        <v>2229</v>
      </c>
      <c r="O326" s="6">
        <v>1444704107</v>
      </c>
      <c r="P326" s="78" t="s">
        <v>2228</v>
      </c>
      <c r="Q326" s="6">
        <v>10108</v>
      </c>
      <c r="R326" s="6">
        <v>27108</v>
      </c>
      <c r="S326" s="5" t="str">
        <f>VLOOKUP(T326,'[1]Kode Posisi'!$A$3:$B$45,2,)</f>
        <v>Outsourcing Cleaning Service</v>
      </c>
      <c r="T326" s="36" t="s">
        <v>47</v>
      </c>
      <c r="U326" s="44" t="s">
        <v>46</v>
      </c>
      <c r="V326" s="44" t="s">
        <v>2227</v>
      </c>
      <c r="W326" s="36" t="s">
        <v>45</v>
      </c>
      <c r="X326" s="36" t="s">
        <v>44</v>
      </c>
      <c r="Y326" s="36" t="s">
        <v>473</v>
      </c>
      <c r="Z326" s="79" t="s">
        <v>2226</v>
      </c>
      <c r="AA326" s="36" t="s">
        <v>2225</v>
      </c>
      <c r="AB326" s="47">
        <v>5730000</v>
      </c>
      <c r="AC326" s="41">
        <v>5730000</v>
      </c>
      <c r="AD326" s="3">
        <v>5397000</v>
      </c>
      <c r="AE326" s="16">
        <f t="shared" si="155"/>
        <v>333000</v>
      </c>
      <c r="AF326" s="16">
        <v>0</v>
      </c>
      <c r="AG326" s="17">
        <v>0</v>
      </c>
      <c r="AI326" s="16">
        <v>187179.19075144507</v>
      </c>
      <c r="AK326" s="16">
        <v>0</v>
      </c>
      <c r="AL326" s="11">
        <f t="shared" si="156"/>
        <v>5917179.1907514455</v>
      </c>
      <c r="AM326" s="16">
        <f t="shared" si="157"/>
        <v>586752</v>
      </c>
      <c r="AN326" s="16">
        <f t="shared" si="158"/>
        <v>229200</v>
      </c>
      <c r="AO326" s="16">
        <f t="shared" si="148"/>
        <v>357552</v>
      </c>
      <c r="AP326" s="16">
        <f t="shared" si="159"/>
        <v>212010</v>
      </c>
      <c r="AQ326" s="16">
        <f t="shared" si="160"/>
        <v>6503931.1907514455</v>
      </c>
      <c r="AR326" s="16">
        <f t="shared" si="151"/>
        <v>390235.87144508673</v>
      </c>
      <c r="AS326" s="16">
        <f t="shared" si="161"/>
        <v>42925.945858959538</v>
      </c>
      <c r="AT326" s="16">
        <f t="shared" si="162"/>
        <v>-7804.7174289017348</v>
      </c>
      <c r="AU326" s="16">
        <f t="shared" si="163"/>
        <v>6886362.3447676301</v>
      </c>
      <c r="AV326" s="16">
        <f t="shared" si="164"/>
        <v>6894167.0621965323</v>
      </c>
      <c r="AW326" s="16">
        <f t="shared" si="165"/>
        <v>229200</v>
      </c>
      <c r="AX326" s="16" t="s">
        <v>477</v>
      </c>
      <c r="AZ326" s="17">
        <f t="shared" si="150"/>
        <v>2900</v>
      </c>
      <c r="BA326" s="16">
        <f t="shared" si="166"/>
        <v>5687979.1907514455</v>
      </c>
      <c r="BB326" s="16">
        <f t="shared" si="167"/>
        <v>5685079.1907514455</v>
      </c>
      <c r="BC326">
        <v>0.03</v>
      </c>
      <c r="BD326">
        <v>0.01</v>
      </c>
      <c r="BE326" s="37">
        <f t="shared" si="168"/>
        <v>529452</v>
      </c>
      <c r="BF326" s="38">
        <f t="shared" si="169"/>
        <v>326610</v>
      </c>
      <c r="BG326" s="37">
        <f t="shared" si="149"/>
        <v>269850</v>
      </c>
      <c r="BH326" s="37">
        <f t="shared" si="170"/>
        <v>286500</v>
      </c>
      <c r="BI326">
        <v>269850</v>
      </c>
      <c r="BL326" s="8">
        <f t="shared" si="171"/>
        <v>187179.19075144507</v>
      </c>
      <c r="BM326" s="7" t="str">
        <f t="shared" si="152"/>
        <v>Terdaftar BPJS Kes &amp; Naker</v>
      </c>
      <c r="BN326" s="11">
        <f t="shared" si="153"/>
        <v>326610</v>
      </c>
      <c r="BO326" s="11">
        <f t="shared" si="154"/>
        <v>260142.00000000003</v>
      </c>
      <c r="BP326" s="9">
        <f t="shared" si="172"/>
        <v>0</v>
      </c>
      <c r="BQ326" t="str">
        <f>_xlfn.XLOOKUP(X326,'[2]NON TETAP'!$H:$H,'[2]NON TETAP'!$I:$I)</f>
        <v>GRAMEDIA ASRI MEDIA</v>
      </c>
    </row>
    <row r="327" spans="1:69" x14ac:dyDescent="0.3">
      <c r="A327" s="2">
        <v>326</v>
      </c>
      <c r="B327" s="4" t="s">
        <v>2224</v>
      </c>
      <c r="C327" s="6" t="s">
        <v>241</v>
      </c>
      <c r="D327" s="6"/>
      <c r="E327" s="6" t="s">
        <v>73</v>
      </c>
      <c r="F327" s="6" t="s">
        <v>73</v>
      </c>
      <c r="G327" s="6" t="s">
        <v>73</v>
      </c>
      <c r="H327" s="6"/>
      <c r="I327" s="6"/>
      <c r="J327" s="6"/>
      <c r="K327" s="6">
        <v>800416</v>
      </c>
      <c r="L327" s="6"/>
      <c r="M327" s="6" t="str">
        <f>_xlfn.XLOOKUP(P327,[3]update_data_tk!$C$2:$C$545,[3]update_data_tk!$D$2:$D$545)</f>
        <v>25051199682</v>
      </c>
      <c r="N327" s="46" t="s">
        <v>2223</v>
      </c>
      <c r="O327" s="6">
        <v>2259325541</v>
      </c>
      <c r="P327" s="78" t="s">
        <v>2222</v>
      </c>
      <c r="Q327" s="6">
        <v>10108</v>
      </c>
      <c r="R327" s="6">
        <v>27108</v>
      </c>
      <c r="S327" s="5" t="str">
        <f>VLOOKUP(T327,'[1]Kode Posisi'!$A$3:$B$45,2,)</f>
        <v>Outsourcing Cleaning Service</v>
      </c>
      <c r="T327" s="36" t="s">
        <v>47</v>
      </c>
      <c r="U327" s="44" t="s">
        <v>46</v>
      </c>
      <c r="V327" s="44" t="s">
        <v>2221</v>
      </c>
      <c r="W327" s="36" t="s">
        <v>45</v>
      </c>
      <c r="X327" s="36" t="s">
        <v>44</v>
      </c>
      <c r="Y327" s="36" t="s">
        <v>52</v>
      </c>
      <c r="Z327" s="57" t="s">
        <v>2220</v>
      </c>
      <c r="AA327" s="36" t="s">
        <v>2219</v>
      </c>
      <c r="AB327" s="47">
        <v>5730000</v>
      </c>
      <c r="AC327" s="41">
        <v>5730000</v>
      </c>
      <c r="AD327" s="3">
        <v>5397000</v>
      </c>
      <c r="AE327" s="16">
        <f t="shared" si="155"/>
        <v>333000</v>
      </c>
      <c r="AF327" s="16">
        <v>0</v>
      </c>
      <c r="AG327" s="17">
        <v>0</v>
      </c>
      <c r="AI327" s="16">
        <v>0</v>
      </c>
      <c r="AK327" s="16">
        <v>0</v>
      </c>
      <c r="AL327" s="11">
        <f t="shared" si="156"/>
        <v>5730000</v>
      </c>
      <c r="AM327" s="16">
        <f t="shared" si="157"/>
        <v>586752</v>
      </c>
      <c r="AN327" s="16">
        <f t="shared" si="158"/>
        <v>229200</v>
      </c>
      <c r="AO327" s="16">
        <f t="shared" si="148"/>
        <v>357552</v>
      </c>
      <c r="AP327" s="16">
        <f t="shared" si="159"/>
        <v>212010</v>
      </c>
      <c r="AQ327" s="16">
        <f t="shared" si="160"/>
        <v>6316752</v>
      </c>
      <c r="AR327" s="16">
        <f t="shared" si="151"/>
        <v>379005.12</v>
      </c>
      <c r="AS327" s="16">
        <f t="shared" si="161"/>
        <v>41690.563199999997</v>
      </c>
      <c r="AT327" s="16">
        <f t="shared" si="162"/>
        <v>-7580.1023999999998</v>
      </c>
      <c r="AU327" s="16">
        <f t="shared" si="163"/>
        <v>6688177.0175999999</v>
      </c>
      <c r="AV327" s="16">
        <f t="shared" si="164"/>
        <v>6695757.1200000001</v>
      </c>
      <c r="AW327" s="16">
        <f t="shared" si="165"/>
        <v>229200</v>
      </c>
      <c r="AX327" s="16" t="s">
        <v>235</v>
      </c>
      <c r="AZ327" s="17">
        <f t="shared" si="150"/>
        <v>0</v>
      </c>
      <c r="BA327" s="16">
        <f t="shared" si="166"/>
        <v>5500800</v>
      </c>
      <c r="BB327" s="16">
        <f t="shared" si="167"/>
        <v>5500800</v>
      </c>
      <c r="BC327">
        <v>0.03</v>
      </c>
      <c r="BD327">
        <v>0.01</v>
      </c>
      <c r="BE327" s="37">
        <f t="shared" si="168"/>
        <v>529452</v>
      </c>
      <c r="BF327" s="38">
        <f t="shared" si="169"/>
        <v>326610</v>
      </c>
      <c r="BG327" s="37">
        <f t="shared" si="149"/>
        <v>269850</v>
      </c>
      <c r="BH327" s="37">
        <f t="shared" si="170"/>
        <v>286500</v>
      </c>
      <c r="BI327">
        <v>269850</v>
      </c>
      <c r="BL327" s="8">
        <f t="shared" si="171"/>
        <v>0</v>
      </c>
      <c r="BM327" s="7" t="str">
        <f t="shared" si="152"/>
        <v>Terdaftar BPJS Kes &amp; Naker</v>
      </c>
      <c r="BN327" s="11">
        <f t="shared" si="153"/>
        <v>326610</v>
      </c>
      <c r="BO327" s="11">
        <f t="shared" si="154"/>
        <v>260142.00000000003</v>
      </c>
      <c r="BP327" s="9">
        <f t="shared" si="172"/>
        <v>0</v>
      </c>
      <c r="BQ327" t="str">
        <f>_xlfn.XLOOKUP(X327,'[2]NON TETAP'!$H:$H,'[2]NON TETAP'!$I:$I)</f>
        <v>GRAMEDIA ASRI MEDIA</v>
      </c>
    </row>
    <row r="328" spans="1:69" x14ac:dyDescent="0.3">
      <c r="A328" s="2">
        <v>327</v>
      </c>
      <c r="B328" s="4" t="s">
        <v>2218</v>
      </c>
      <c r="C328" s="6" t="s">
        <v>241</v>
      </c>
      <c r="D328" s="6"/>
      <c r="E328" s="6" t="s">
        <v>73</v>
      </c>
      <c r="F328" s="6" t="s">
        <v>73</v>
      </c>
      <c r="G328" s="6" t="s">
        <v>73</v>
      </c>
      <c r="H328" s="6"/>
      <c r="I328" s="6"/>
      <c r="J328" s="6"/>
      <c r="K328" s="6">
        <v>800417</v>
      </c>
      <c r="L328" s="6"/>
      <c r="M328" s="6" t="str">
        <f>_xlfn.XLOOKUP(P328,[3]update_data_tk!$C$2:$C$545,[3]update_data_tk!$D$2:$D$545)</f>
        <v>25051199690</v>
      </c>
      <c r="N328" s="46" t="s">
        <v>2217</v>
      </c>
      <c r="O328" s="6">
        <v>2896344606</v>
      </c>
      <c r="P328" s="78" t="s">
        <v>2216</v>
      </c>
      <c r="Q328" s="6">
        <v>10108</v>
      </c>
      <c r="R328" s="6">
        <v>27108</v>
      </c>
      <c r="S328" s="5" t="str">
        <f>VLOOKUP(T328,'[1]Kode Posisi'!$A$3:$B$45,2,)</f>
        <v>Outsourcing Cleaning Service</v>
      </c>
      <c r="T328" s="36" t="s">
        <v>47</v>
      </c>
      <c r="U328" s="44" t="s">
        <v>46</v>
      </c>
      <c r="V328" s="44" t="s">
        <v>2215</v>
      </c>
      <c r="W328" s="36" t="s">
        <v>45</v>
      </c>
      <c r="X328" s="36" t="s">
        <v>44</v>
      </c>
      <c r="Y328" s="36" t="s">
        <v>473</v>
      </c>
      <c r="Z328" s="79" t="s">
        <v>2214</v>
      </c>
      <c r="AA328" s="36" t="s">
        <v>2213</v>
      </c>
      <c r="AB328" s="47">
        <v>5730000</v>
      </c>
      <c r="AC328" s="41">
        <v>5730000</v>
      </c>
      <c r="AD328" s="3">
        <v>5397000</v>
      </c>
      <c r="AE328" s="16">
        <f t="shared" si="155"/>
        <v>333000</v>
      </c>
      <c r="AF328" s="16">
        <v>0</v>
      </c>
      <c r="AG328" s="17">
        <v>0</v>
      </c>
      <c r="AI328" s="16">
        <v>0</v>
      </c>
      <c r="AK328" s="16">
        <v>0</v>
      </c>
      <c r="AL328" s="11">
        <f t="shared" si="156"/>
        <v>5730000</v>
      </c>
      <c r="AM328" s="16">
        <f t="shared" si="157"/>
        <v>586752</v>
      </c>
      <c r="AN328" s="16">
        <f t="shared" si="158"/>
        <v>229200</v>
      </c>
      <c r="AO328" s="16">
        <f t="shared" si="148"/>
        <v>357552</v>
      </c>
      <c r="AP328" s="16">
        <f t="shared" si="159"/>
        <v>212010</v>
      </c>
      <c r="AQ328" s="16">
        <f t="shared" si="160"/>
        <v>6316752</v>
      </c>
      <c r="AR328" s="16">
        <f t="shared" si="151"/>
        <v>379005.12</v>
      </c>
      <c r="AS328" s="16">
        <f t="shared" si="161"/>
        <v>41690.563199999997</v>
      </c>
      <c r="AT328" s="16">
        <f t="shared" si="162"/>
        <v>-7580.1023999999998</v>
      </c>
      <c r="AU328" s="16">
        <f t="shared" si="163"/>
        <v>6688177.0175999999</v>
      </c>
      <c r="AV328" s="16">
        <f t="shared" si="164"/>
        <v>6695757.1200000001</v>
      </c>
      <c r="AW328" s="16">
        <f t="shared" si="165"/>
        <v>229200</v>
      </c>
      <c r="AX328" s="16" t="s">
        <v>286</v>
      </c>
      <c r="AZ328" s="17">
        <f t="shared" si="150"/>
        <v>2900</v>
      </c>
      <c r="BA328" s="16">
        <f t="shared" si="166"/>
        <v>5500800</v>
      </c>
      <c r="BB328" s="16">
        <f t="shared" si="167"/>
        <v>5497900</v>
      </c>
      <c r="BC328">
        <v>0.03</v>
      </c>
      <c r="BD328">
        <v>0.01</v>
      </c>
      <c r="BE328" s="37">
        <f t="shared" si="168"/>
        <v>529452</v>
      </c>
      <c r="BF328" s="38">
        <f t="shared" si="169"/>
        <v>326610</v>
      </c>
      <c r="BG328" s="37">
        <f t="shared" si="149"/>
        <v>269850</v>
      </c>
      <c r="BH328" s="37">
        <f t="shared" si="170"/>
        <v>286500</v>
      </c>
      <c r="BI328">
        <v>269850</v>
      </c>
      <c r="BL328" s="8">
        <f t="shared" si="171"/>
        <v>0</v>
      </c>
      <c r="BM328" s="7" t="str">
        <f t="shared" si="152"/>
        <v>Terdaftar BPJS Kes &amp; Naker</v>
      </c>
      <c r="BN328" s="11">
        <f t="shared" si="153"/>
        <v>326610</v>
      </c>
      <c r="BO328" s="11">
        <f t="shared" si="154"/>
        <v>260142.00000000003</v>
      </c>
      <c r="BP328" s="9">
        <f t="shared" si="172"/>
        <v>0</v>
      </c>
      <c r="BQ328" t="str">
        <f>_xlfn.XLOOKUP(X328,'[2]NON TETAP'!$H:$H,'[2]NON TETAP'!$I:$I)</f>
        <v>GRAMEDIA ASRI MEDIA</v>
      </c>
    </row>
    <row r="329" spans="1:69" x14ac:dyDescent="0.3">
      <c r="A329" s="2">
        <v>328</v>
      </c>
      <c r="B329" s="4" t="s">
        <v>2212</v>
      </c>
      <c r="C329" s="6" t="s">
        <v>241</v>
      </c>
      <c r="D329" s="6"/>
      <c r="E329" s="6" t="s">
        <v>73</v>
      </c>
      <c r="F329" s="6" t="s">
        <v>73</v>
      </c>
      <c r="G329" s="6" t="s">
        <v>73</v>
      </c>
      <c r="H329" s="6"/>
      <c r="I329" s="6"/>
      <c r="J329" s="6"/>
      <c r="K329" s="6">
        <v>800418</v>
      </c>
      <c r="L329" s="6"/>
      <c r="M329" s="6" t="str">
        <f>_xlfn.XLOOKUP(P329,[3]update_data_tk!$C$2:$C$545,[3]update_data_tk!$D$2:$D$545)</f>
        <v>25077451117</v>
      </c>
      <c r="N329" s="46" t="s">
        <v>2211</v>
      </c>
      <c r="O329" s="6">
        <v>1788533831</v>
      </c>
      <c r="P329" s="78" t="s">
        <v>2210</v>
      </c>
      <c r="Q329" s="6">
        <v>10108</v>
      </c>
      <c r="R329" s="6">
        <v>27108</v>
      </c>
      <c r="S329" s="5" t="str">
        <f>VLOOKUP(T329,'[1]Kode Posisi'!$A$3:$B$45,2,)</f>
        <v>Outsourcing Cleaning Service</v>
      </c>
      <c r="T329" s="36" t="s">
        <v>47</v>
      </c>
      <c r="U329" s="44" t="s">
        <v>46</v>
      </c>
      <c r="V329" s="44" t="s">
        <v>2209</v>
      </c>
      <c r="W329" s="36" t="s">
        <v>45</v>
      </c>
      <c r="X329" s="36" t="s">
        <v>44</v>
      </c>
      <c r="Y329" s="36" t="s">
        <v>473</v>
      </c>
      <c r="Z329" s="79" t="s">
        <v>2208</v>
      </c>
      <c r="AA329" s="36" t="s">
        <v>2207</v>
      </c>
      <c r="AB329" s="47">
        <v>5730000</v>
      </c>
      <c r="AC329" s="41">
        <v>5730000</v>
      </c>
      <c r="AD329" s="3">
        <v>5397000</v>
      </c>
      <c r="AE329" s="16">
        <f t="shared" si="155"/>
        <v>333000</v>
      </c>
      <c r="AF329" s="16">
        <v>0</v>
      </c>
      <c r="AG329" s="17">
        <v>0</v>
      </c>
      <c r="AI329" s="16">
        <v>0</v>
      </c>
      <c r="AK329" s="16">
        <v>0</v>
      </c>
      <c r="AL329" s="11">
        <f t="shared" si="156"/>
        <v>5730000</v>
      </c>
      <c r="AM329" s="16">
        <f t="shared" si="157"/>
        <v>586752</v>
      </c>
      <c r="AN329" s="16">
        <f t="shared" si="158"/>
        <v>229200</v>
      </c>
      <c r="AO329" s="16">
        <f t="shared" si="148"/>
        <v>357552</v>
      </c>
      <c r="AP329" s="16">
        <f t="shared" si="159"/>
        <v>212010</v>
      </c>
      <c r="AQ329" s="16">
        <f t="shared" si="160"/>
        <v>6316752</v>
      </c>
      <c r="AR329" s="16">
        <f t="shared" si="151"/>
        <v>379005.12</v>
      </c>
      <c r="AS329" s="16">
        <f t="shared" si="161"/>
        <v>41690.563199999997</v>
      </c>
      <c r="AT329" s="16">
        <f t="shared" si="162"/>
        <v>-7580.1023999999998</v>
      </c>
      <c r="AU329" s="16">
        <f t="shared" si="163"/>
        <v>6688177.0175999999</v>
      </c>
      <c r="AV329" s="16">
        <f t="shared" si="164"/>
        <v>6695757.1200000001</v>
      </c>
      <c r="AW329" s="16">
        <f t="shared" si="165"/>
        <v>229200</v>
      </c>
      <c r="AX329" s="16" t="s">
        <v>286</v>
      </c>
      <c r="AZ329" s="17">
        <f t="shared" si="150"/>
        <v>2900</v>
      </c>
      <c r="BA329" s="16">
        <f t="shared" si="166"/>
        <v>5500800</v>
      </c>
      <c r="BB329" s="16">
        <f t="shared" si="167"/>
        <v>5497900</v>
      </c>
      <c r="BC329" s="15">
        <v>0.03</v>
      </c>
      <c r="BD329">
        <v>0.01</v>
      </c>
      <c r="BE329" s="37">
        <f t="shared" si="168"/>
        <v>529452</v>
      </c>
      <c r="BF329" s="38">
        <f t="shared" si="169"/>
        <v>326610</v>
      </c>
      <c r="BG329" s="37">
        <f t="shared" si="149"/>
        <v>269850</v>
      </c>
      <c r="BH329" s="37">
        <f t="shared" si="170"/>
        <v>286500</v>
      </c>
      <c r="BI329">
        <v>269850</v>
      </c>
      <c r="BL329" s="8">
        <f t="shared" si="171"/>
        <v>0</v>
      </c>
      <c r="BM329" s="7" t="str">
        <f t="shared" si="152"/>
        <v>Terdaftar BPJS Kes &amp; Naker</v>
      </c>
      <c r="BN329" s="11">
        <f t="shared" si="153"/>
        <v>326610</v>
      </c>
      <c r="BO329" s="11">
        <f t="shared" si="154"/>
        <v>260142.00000000003</v>
      </c>
      <c r="BP329" s="9">
        <f t="shared" si="172"/>
        <v>0</v>
      </c>
      <c r="BQ329" t="str">
        <f>_xlfn.XLOOKUP(X329,'[2]NON TETAP'!$H:$H,'[2]NON TETAP'!$I:$I)</f>
        <v>GRAMEDIA ASRI MEDIA</v>
      </c>
    </row>
    <row r="330" spans="1:69" x14ac:dyDescent="0.3">
      <c r="A330" s="2">
        <v>329</v>
      </c>
      <c r="B330" s="4" t="s">
        <v>2206</v>
      </c>
      <c r="C330" s="6" t="s">
        <v>241</v>
      </c>
      <c r="D330" s="6"/>
      <c r="E330" s="6" t="s">
        <v>73</v>
      </c>
      <c r="F330" s="6" t="s">
        <v>73</v>
      </c>
      <c r="G330" s="6" t="s">
        <v>73</v>
      </c>
      <c r="H330" s="6"/>
      <c r="I330" s="6"/>
      <c r="J330" s="6"/>
      <c r="K330" s="6">
        <v>800419</v>
      </c>
      <c r="L330" s="6"/>
      <c r="M330" s="6" t="str">
        <f>_xlfn.XLOOKUP(P330,[3]update_data_tk!$C$2:$C$545,[3]update_data_tk!$D$2:$D$545)</f>
        <v>25051199708</v>
      </c>
      <c r="N330" s="46" t="s">
        <v>2205</v>
      </c>
      <c r="O330" s="6">
        <v>1152216786</v>
      </c>
      <c r="P330" s="78" t="s">
        <v>2204</v>
      </c>
      <c r="Q330" s="6">
        <v>10108</v>
      </c>
      <c r="R330" s="6">
        <v>27108</v>
      </c>
      <c r="S330" s="5" t="str">
        <f>VLOOKUP(T330,'[1]Kode Posisi'!$A$3:$B$45,2,)</f>
        <v>Outsourcing Cleaning Service</v>
      </c>
      <c r="T330" s="36" t="s">
        <v>47</v>
      </c>
      <c r="U330" s="44" t="s">
        <v>46</v>
      </c>
      <c r="V330" s="44" t="s">
        <v>2203</v>
      </c>
      <c r="W330" s="36" t="s">
        <v>45</v>
      </c>
      <c r="X330" s="36" t="s">
        <v>44</v>
      </c>
      <c r="Y330" s="36" t="s">
        <v>198</v>
      </c>
      <c r="Z330" s="57" t="s">
        <v>2202</v>
      </c>
      <c r="AA330" s="36" t="s">
        <v>2201</v>
      </c>
      <c r="AB330" s="47">
        <v>5730000</v>
      </c>
      <c r="AC330" s="41">
        <v>5730000</v>
      </c>
      <c r="AD330" s="3">
        <v>5397000</v>
      </c>
      <c r="AE330" s="16">
        <f t="shared" si="155"/>
        <v>333000</v>
      </c>
      <c r="AF330" s="16">
        <v>0</v>
      </c>
      <c r="AG330" s="17">
        <v>0</v>
      </c>
      <c r="AI330" s="16">
        <v>0</v>
      </c>
      <c r="AK330" s="16">
        <v>0</v>
      </c>
      <c r="AL330" s="11">
        <f t="shared" si="156"/>
        <v>5730000</v>
      </c>
      <c r="AM330" s="16">
        <f t="shared" si="157"/>
        <v>586752</v>
      </c>
      <c r="AN330" s="16">
        <f t="shared" si="158"/>
        <v>229200</v>
      </c>
      <c r="AO330" s="16">
        <f t="shared" si="148"/>
        <v>357552</v>
      </c>
      <c r="AP330" s="16">
        <f t="shared" si="159"/>
        <v>212010</v>
      </c>
      <c r="AQ330" s="16">
        <f t="shared" si="160"/>
        <v>6316752</v>
      </c>
      <c r="AR330" s="16">
        <f t="shared" si="151"/>
        <v>379005.12</v>
      </c>
      <c r="AS330" s="16">
        <f t="shared" si="161"/>
        <v>41690.563199999997</v>
      </c>
      <c r="AT330" s="16">
        <f t="shared" si="162"/>
        <v>-7580.1023999999998</v>
      </c>
      <c r="AU330" s="16">
        <f t="shared" si="163"/>
        <v>6688177.0175999999</v>
      </c>
      <c r="AV330" s="16">
        <f t="shared" si="164"/>
        <v>6695757.1200000001</v>
      </c>
      <c r="AW330" s="16">
        <f t="shared" si="165"/>
        <v>229200</v>
      </c>
      <c r="AX330" s="16" t="s">
        <v>319</v>
      </c>
      <c r="AZ330" s="17">
        <f t="shared" si="150"/>
        <v>2900</v>
      </c>
      <c r="BA330" s="16">
        <f t="shared" si="166"/>
        <v>5500800</v>
      </c>
      <c r="BB330" s="16">
        <f t="shared" si="167"/>
        <v>5497900</v>
      </c>
      <c r="BC330">
        <v>0.03</v>
      </c>
      <c r="BD330">
        <v>0.01</v>
      </c>
      <c r="BE330" s="37">
        <f t="shared" si="168"/>
        <v>529452</v>
      </c>
      <c r="BF330" s="38">
        <f t="shared" si="169"/>
        <v>326610</v>
      </c>
      <c r="BG330" s="37">
        <f t="shared" si="149"/>
        <v>269850</v>
      </c>
      <c r="BH330" s="37">
        <f t="shared" si="170"/>
        <v>286500</v>
      </c>
      <c r="BI330">
        <v>269850</v>
      </c>
      <c r="BL330" s="8">
        <f t="shared" si="171"/>
        <v>0</v>
      </c>
      <c r="BM330" s="7" t="str">
        <f t="shared" si="152"/>
        <v>Terdaftar BPJS Kes &amp; Naker</v>
      </c>
      <c r="BN330" s="11">
        <f t="shared" si="153"/>
        <v>326610</v>
      </c>
      <c r="BO330" s="11">
        <f t="shared" si="154"/>
        <v>260142.00000000003</v>
      </c>
      <c r="BP330" s="9">
        <f t="shared" si="172"/>
        <v>0</v>
      </c>
      <c r="BQ330" t="str">
        <f>_xlfn.XLOOKUP(X330,'[2]NON TETAP'!$H:$H,'[2]NON TETAP'!$I:$I)</f>
        <v>GRAMEDIA ASRI MEDIA</v>
      </c>
    </row>
    <row r="331" spans="1:69" x14ac:dyDescent="0.3">
      <c r="A331" s="2">
        <v>330</v>
      </c>
      <c r="B331" s="4" t="s">
        <v>2200</v>
      </c>
      <c r="C331" s="6" t="s">
        <v>241</v>
      </c>
      <c r="D331" s="6"/>
      <c r="E331" s="6" t="s">
        <v>73</v>
      </c>
      <c r="F331" s="6" t="s">
        <v>73</v>
      </c>
      <c r="G331" s="6" t="s">
        <v>73</v>
      </c>
      <c r="H331" s="6"/>
      <c r="I331" s="6"/>
      <c r="J331" s="6"/>
      <c r="K331" s="6">
        <v>800420</v>
      </c>
      <c r="L331" s="6"/>
      <c r="M331" s="6" t="str">
        <f>_xlfn.XLOOKUP(P331,[3]update_data_tk!$C$2:$C$545,[3]update_data_tk!$D$2:$D$545)</f>
        <v>25051199716</v>
      </c>
      <c r="N331" s="46" t="s">
        <v>2199</v>
      </c>
      <c r="O331" s="6">
        <v>2103665837</v>
      </c>
      <c r="P331" s="78" t="s">
        <v>2198</v>
      </c>
      <c r="Q331" s="6">
        <v>10108</v>
      </c>
      <c r="R331" s="6">
        <v>27108</v>
      </c>
      <c r="S331" s="5" t="str">
        <f>VLOOKUP(T331,'[1]Kode Posisi'!$A$3:$B$45,2,)</f>
        <v>Outsourcing Cleaning Service</v>
      </c>
      <c r="T331" s="36" t="s">
        <v>47</v>
      </c>
      <c r="U331" s="44" t="s">
        <v>46</v>
      </c>
      <c r="V331" s="44" t="s">
        <v>2197</v>
      </c>
      <c r="W331" s="36" t="s">
        <v>45</v>
      </c>
      <c r="X331" s="36" t="s">
        <v>44</v>
      </c>
      <c r="Y331" s="36" t="s">
        <v>63</v>
      </c>
      <c r="Z331" s="79" t="s">
        <v>2196</v>
      </c>
      <c r="AA331" s="36" t="s">
        <v>2195</v>
      </c>
      <c r="AB331" s="47">
        <v>5730000</v>
      </c>
      <c r="AC331" s="41">
        <v>5730000</v>
      </c>
      <c r="AD331" s="3">
        <v>5397000</v>
      </c>
      <c r="AE331" s="16">
        <f t="shared" si="155"/>
        <v>333000</v>
      </c>
      <c r="AF331" s="16">
        <v>0</v>
      </c>
      <c r="AG331">
        <v>75000</v>
      </c>
      <c r="AI331" s="16">
        <v>0</v>
      </c>
      <c r="AK331" s="16">
        <v>0</v>
      </c>
      <c r="AL331" s="11">
        <f t="shared" si="156"/>
        <v>5805000</v>
      </c>
      <c r="AM331" s="16">
        <f t="shared" si="157"/>
        <v>586752</v>
      </c>
      <c r="AN331" s="16">
        <f t="shared" si="158"/>
        <v>229200</v>
      </c>
      <c r="AO331" s="16">
        <f t="shared" si="148"/>
        <v>357552</v>
      </c>
      <c r="AP331" s="16">
        <f t="shared" si="159"/>
        <v>212010</v>
      </c>
      <c r="AQ331" s="16">
        <f t="shared" si="160"/>
        <v>6391752</v>
      </c>
      <c r="AR331" s="16">
        <f t="shared" si="151"/>
        <v>383505.12</v>
      </c>
      <c r="AS331" s="16">
        <f t="shared" si="161"/>
        <v>42185.563199999997</v>
      </c>
      <c r="AT331" s="16">
        <f t="shared" si="162"/>
        <v>-7670.1023999999998</v>
      </c>
      <c r="AU331" s="16">
        <f t="shared" si="163"/>
        <v>6767587.0175999999</v>
      </c>
      <c r="AV331" s="16">
        <f t="shared" si="164"/>
        <v>6775257.1200000001</v>
      </c>
      <c r="AW331" s="16">
        <f t="shared" si="165"/>
        <v>229200</v>
      </c>
      <c r="AX331" s="16" t="s">
        <v>235</v>
      </c>
      <c r="AZ331" s="17">
        <f t="shared" si="150"/>
        <v>2900</v>
      </c>
      <c r="BA331" s="16">
        <f t="shared" si="166"/>
        <v>5575800</v>
      </c>
      <c r="BB331" s="16">
        <f t="shared" si="167"/>
        <v>5572900</v>
      </c>
      <c r="BC331">
        <v>0.03</v>
      </c>
      <c r="BD331">
        <v>0.01</v>
      </c>
      <c r="BE331" s="37">
        <f t="shared" si="168"/>
        <v>529452</v>
      </c>
      <c r="BF331" s="38">
        <f t="shared" si="169"/>
        <v>326610</v>
      </c>
      <c r="BG331" s="37">
        <f t="shared" si="149"/>
        <v>269850</v>
      </c>
      <c r="BH331" s="37">
        <f t="shared" si="170"/>
        <v>286500</v>
      </c>
      <c r="BI331">
        <v>269850</v>
      </c>
      <c r="BL331" s="8">
        <f t="shared" si="171"/>
        <v>75000</v>
      </c>
      <c r="BM331" s="7" t="str">
        <f t="shared" si="152"/>
        <v>Terdaftar BPJS Kes &amp; Naker</v>
      </c>
      <c r="BN331" s="11">
        <f t="shared" si="153"/>
        <v>326610</v>
      </c>
      <c r="BO331" s="11">
        <f t="shared" si="154"/>
        <v>260142.00000000003</v>
      </c>
      <c r="BP331" s="9">
        <f t="shared" si="172"/>
        <v>0</v>
      </c>
      <c r="BQ331" t="str">
        <f>_xlfn.XLOOKUP(X331,'[2]NON TETAP'!$H:$H,'[2]NON TETAP'!$I:$I)</f>
        <v>GRAMEDIA ASRI MEDIA</v>
      </c>
    </row>
    <row r="332" spans="1:69" x14ac:dyDescent="0.3">
      <c r="A332" s="2">
        <v>331</v>
      </c>
      <c r="B332" s="4" t="s">
        <v>2194</v>
      </c>
      <c r="C332" s="6" t="s">
        <v>241</v>
      </c>
      <c r="D332" s="6"/>
      <c r="E332" s="6" t="s">
        <v>73</v>
      </c>
      <c r="F332" s="6" t="s">
        <v>73</v>
      </c>
      <c r="G332" s="6"/>
      <c r="H332" s="6"/>
      <c r="I332" s="6"/>
      <c r="J332" s="6"/>
      <c r="K332" s="6">
        <v>800421</v>
      </c>
      <c r="L332" s="6">
        <f>2500*7</f>
        <v>17500</v>
      </c>
      <c r="M332" s="6" t="str">
        <f>_xlfn.XLOOKUP(P332,[3]update_data_tk!$C$2:$C$545,[3]update_data_tk!$D$2:$D$545)</f>
        <v>25077451125</v>
      </c>
      <c r="N332" s="46" t="s">
        <v>2193</v>
      </c>
      <c r="O332" s="6">
        <v>1215171922</v>
      </c>
      <c r="P332" s="78" t="s">
        <v>2192</v>
      </c>
      <c r="Q332" s="6">
        <v>10088</v>
      </c>
      <c r="R332" s="6">
        <v>27552</v>
      </c>
      <c r="S332" s="5" t="str">
        <f>VLOOKUP(T332,'[1]Kode Posisi'!$A$3:$B$45,2,)</f>
        <v>Outsourcing Petugas Pemeliharaan Gedung</v>
      </c>
      <c r="T332" s="36" t="s">
        <v>1250</v>
      </c>
      <c r="U332" s="44" t="s">
        <v>1106</v>
      </c>
      <c r="V332" s="44" t="s">
        <v>2191</v>
      </c>
      <c r="W332" s="36" t="s">
        <v>1300</v>
      </c>
      <c r="X332" s="36" t="s">
        <v>1300</v>
      </c>
      <c r="Y332" s="36" t="s">
        <v>52</v>
      </c>
      <c r="Z332" s="79" t="s">
        <v>2190</v>
      </c>
      <c r="AA332" s="36" t="s">
        <v>2189</v>
      </c>
      <c r="AB332" s="47">
        <v>5730000</v>
      </c>
      <c r="AC332" s="41">
        <v>5730000</v>
      </c>
      <c r="AD332" s="3">
        <v>5397000</v>
      </c>
      <c r="AE332" s="16">
        <f t="shared" si="155"/>
        <v>333000</v>
      </c>
      <c r="AF332" s="16">
        <v>0</v>
      </c>
      <c r="AG332" s="17">
        <v>0</v>
      </c>
      <c r="AI332" s="16">
        <v>1185468.2080924856</v>
      </c>
      <c r="AK332" s="16">
        <v>0</v>
      </c>
      <c r="AL332" s="11">
        <f t="shared" si="156"/>
        <v>6915468.2080924856</v>
      </c>
      <c r="AM332" s="16">
        <f t="shared" si="157"/>
        <v>586752</v>
      </c>
      <c r="AN332" s="16">
        <f t="shared" si="158"/>
        <v>229200</v>
      </c>
      <c r="AO332" s="16">
        <f t="shared" si="148"/>
        <v>357552</v>
      </c>
      <c r="AP332" s="16">
        <f t="shared" si="159"/>
        <v>212010</v>
      </c>
      <c r="AQ332" s="16">
        <f t="shared" si="160"/>
        <v>7502220.2080924856</v>
      </c>
      <c r="AR332" s="16">
        <f t="shared" si="151"/>
        <v>450133.2124855491</v>
      </c>
      <c r="AS332" s="16">
        <f t="shared" si="161"/>
        <v>49514.653373410401</v>
      </c>
      <c r="AT332" s="16">
        <f t="shared" si="162"/>
        <v>-9002.6642497109824</v>
      </c>
      <c r="AU332" s="16">
        <f t="shared" si="163"/>
        <v>7943350.7563283239</v>
      </c>
      <c r="AV332" s="16">
        <f t="shared" si="164"/>
        <v>7952353.4205780346</v>
      </c>
      <c r="AW332" s="16">
        <f t="shared" si="165"/>
        <v>229200</v>
      </c>
      <c r="AX332" s="16" t="s">
        <v>235</v>
      </c>
      <c r="AZ332" s="17">
        <f t="shared" si="150"/>
        <v>0</v>
      </c>
      <c r="BA332" s="16">
        <f t="shared" si="166"/>
        <v>6686268.2080924856</v>
      </c>
      <c r="BB332" s="16">
        <f t="shared" si="167"/>
        <v>6686268.2080924856</v>
      </c>
      <c r="BC332" s="15">
        <v>0.03</v>
      </c>
      <c r="BD332">
        <v>0.01</v>
      </c>
      <c r="BE332" s="37">
        <f t="shared" si="168"/>
        <v>529452</v>
      </c>
      <c r="BF332" s="38">
        <f t="shared" si="169"/>
        <v>326610</v>
      </c>
      <c r="BG332" s="37">
        <f t="shared" si="149"/>
        <v>269850</v>
      </c>
      <c r="BH332" s="37">
        <f t="shared" si="170"/>
        <v>286500</v>
      </c>
      <c r="BI332">
        <v>269850</v>
      </c>
      <c r="BL332" s="8">
        <f t="shared" si="171"/>
        <v>1185468.2080924856</v>
      </c>
      <c r="BM332" s="7" t="str">
        <f t="shared" si="152"/>
        <v>Terdaftar BPJS Kes &amp; Naker</v>
      </c>
      <c r="BN332" s="11">
        <f t="shared" si="153"/>
        <v>326610</v>
      </c>
      <c r="BO332" s="11">
        <f t="shared" si="154"/>
        <v>260142.00000000003</v>
      </c>
      <c r="BP332" s="9">
        <f t="shared" si="172"/>
        <v>0</v>
      </c>
      <c r="BQ332" t="str">
        <f>_xlfn.XLOOKUP(X332,'[2]NON TETAP'!$H:$H,'[2]NON TETAP'!$I:$I)</f>
        <v>GRAMEDIA ASRI MEDIA</v>
      </c>
    </row>
    <row r="333" spans="1:69" x14ac:dyDescent="0.3">
      <c r="A333" s="2">
        <v>332</v>
      </c>
      <c r="B333" s="4" t="s">
        <v>2184</v>
      </c>
      <c r="C333" s="6" t="s">
        <v>241</v>
      </c>
      <c r="D333" s="6"/>
      <c r="E333" s="6" t="s">
        <v>73</v>
      </c>
      <c r="F333" s="6" t="s">
        <v>73</v>
      </c>
      <c r="G333" s="6"/>
      <c r="H333" s="6"/>
      <c r="I333" s="6"/>
      <c r="J333" s="6"/>
      <c r="K333" s="6">
        <v>800422</v>
      </c>
      <c r="L333" s="6"/>
      <c r="M333" s="6" t="str">
        <f>_xlfn.XLOOKUP(P333,[3]update_data_tk!$C$2:$C$545,[3]update_data_tk!$D$2:$D$545)</f>
        <v>25077451133</v>
      </c>
      <c r="N333" s="46" t="s">
        <v>2188</v>
      </c>
      <c r="O333" s="6">
        <v>1925460606</v>
      </c>
      <c r="P333" s="78" t="s">
        <v>2187</v>
      </c>
      <c r="Q333" s="6">
        <v>18104</v>
      </c>
      <c r="R333" s="6">
        <v>27190</v>
      </c>
      <c r="S333" s="5" t="str">
        <f>VLOOKUP(T333,'[1]Kode Posisi'!$A$3:$B$45,2,)</f>
        <v>Outsourcing Petugas Pemeliharaan Gedung</v>
      </c>
      <c r="T333" s="36" t="s">
        <v>247</v>
      </c>
      <c r="U333" s="44" t="s">
        <v>2176</v>
      </c>
      <c r="V333" s="44" t="s">
        <v>2186</v>
      </c>
      <c r="W333" s="36" t="s">
        <v>2174</v>
      </c>
      <c r="X333" s="36" t="s">
        <v>245</v>
      </c>
      <c r="Y333" s="36" t="s">
        <v>52</v>
      </c>
      <c r="Z333" s="79" t="s">
        <v>2185</v>
      </c>
      <c r="AA333" s="36" t="s">
        <v>2184</v>
      </c>
      <c r="AB333" s="47">
        <v>3856000</v>
      </c>
      <c r="AC333" s="41">
        <v>3856000</v>
      </c>
      <c r="AD333" s="3">
        <v>3600000</v>
      </c>
      <c r="AE333" s="16">
        <f t="shared" si="155"/>
        <v>256000</v>
      </c>
      <c r="AF333" s="16">
        <v>0</v>
      </c>
      <c r="AG333" s="17">
        <v>0</v>
      </c>
      <c r="AI333" s="16">
        <v>0</v>
      </c>
      <c r="AK333" s="16">
        <v>0</v>
      </c>
      <c r="AL333" s="11">
        <f t="shared" si="156"/>
        <v>3856000</v>
      </c>
      <c r="AM333" s="16">
        <f t="shared" si="157"/>
        <v>394854.40000000002</v>
      </c>
      <c r="AN333" s="16">
        <f t="shared" si="158"/>
        <v>154240</v>
      </c>
      <c r="AO333" s="16">
        <f t="shared" si="148"/>
        <v>240614.39999999999</v>
      </c>
      <c r="AP333" s="16">
        <f t="shared" si="159"/>
        <v>142672</v>
      </c>
      <c r="AQ333" s="16">
        <f t="shared" si="160"/>
        <v>4250854.4000000004</v>
      </c>
      <c r="AR333" s="16">
        <f t="shared" si="151"/>
        <v>255051.26400000002</v>
      </c>
      <c r="AS333" s="16">
        <f t="shared" si="161"/>
        <v>28055.639040000002</v>
      </c>
      <c r="AT333" s="16">
        <f t="shared" si="162"/>
        <v>-5101.0252800000007</v>
      </c>
      <c r="AU333" s="16">
        <f t="shared" si="163"/>
        <v>4500804.6387200011</v>
      </c>
      <c r="AV333" s="16">
        <f t="shared" si="164"/>
        <v>4505905.6640000008</v>
      </c>
      <c r="AW333" s="16">
        <f t="shared" si="165"/>
        <v>154240</v>
      </c>
      <c r="AX333" s="16" t="s">
        <v>235</v>
      </c>
      <c r="AZ333" s="17">
        <f t="shared" si="150"/>
        <v>0</v>
      </c>
      <c r="BA333" s="16">
        <f t="shared" si="166"/>
        <v>3701760</v>
      </c>
      <c r="BB333" s="16">
        <f t="shared" si="167"/>
        <v>3701760</v>
      </c>
      <c r="BC333" s="15">
        <v>0.03</v>
      </c>
      <c r="BD333">
        <v>0.01</v>
      </c>
      <c r="BE333" s="37">
        <f t="shared" si="168"/>
        <v>356294.39999999997</v>
      </c>
      <c r="BF333" s="38">
        <f t="shared" si="169"/>
        <v>219792</v>
      </c>
      <c r="BG333" s="37">
        <f t="shared" si="149"/>
        <v>180000</v>
      </c>
      <c r="BH333" s="37">
        <f t="shared" si="170"/>
        <v>192800</v>
      </c>
      <c r="BI333">
        <v>180000</v>
      </c>
      <c r="BJ333" s="2">
        <v>180000</v>
      </c>
      <c r="BL333" s="8">
        <f t="shared" si="171"/>
        <v>0</v>
      </c>
      <c r="BM333" s="7" t="str">
        <f t="shared" si="152"/>
        <v>Terdaftar BPJS Kes &amp; Naker</v>
      </c>
      <c r="BN333" s="11">
        <f t="shared" si="153"/>
        <v>219792</v>
      </c>
      <c r="BO333" s="11">
        <f t="shared" si="154"/>
        <v>175062.40000000002</v>
      </c>
      <c r="BP333" s="9">
        <f t="shared" si="172"/>
        <v>0</v>
      </c>
      <c r="BQ333" t="s">
        <v>8</v>
      </c>
    </row>
    <row r="334" spans="1:69" x14ac:dyDescent="0.3">
      <c r="A334" s="2">
        <v>333</v>
      </c>
      <c r="B334" s="4" t="s">
        <v>2179</v>
      </c>
      <c r="C334" s="6" t="s">
        <v>241</v>
      </c>
      <c r="D334" s="6"/>
      <c r="E334" s="6" t="s">
        <v>73</v>
      </c>
      <c r="F334" s="6" t="s">
        <v>73</v>
      </c>
      <c r="G334" s="6" t="s">
        <v>73</v>
      </c>
      <c r="H334" s="6"/>
      <c r="I334" s="6"/>
      <c r="J334" s="6"/>
      <c r="K334" s="6">
        <v>800423</v>
      </c>
      <c r="L334" s="6"/>
      <c r="M334" s="6" t="str">
        <f>_xlfn.XLOOKUP(P334,[3]update_data_tk!$C$2:$C$545,[3]update_data_tk!$D$2:$D$545)</f>
        <v>25077451141</v>
      </c>
      <c r="N334" s="46" t="s">
        <v>2183</v>
      </c>
      <c r="O334" s="6">
        <v>1706616606</v>
      </c>
      <c r="P334" s="78" t="s">
        <v>2182</v>
      </c>
      <c r="Q334" s="6">
        <v>10137</v>
      </c>
      <c r="R334" s="6">
        <v>27137</v>
      </c>
      <c r="S334" s="5" t="str">
        <f>VLOOKUP(T334,'[1]Kode Posisi'!$A$3:$B$45,2,)</f>
        <v>Outsourcing Cleaning Service</v>
      </c>
      <c r="T334" s="36" t="s">
        <v>47</v>
      </c>
      <c r="U334" s="44" t="s">
        <v>2176</v>
      </c>
      <c r="V334" s="44" t="s">
        <v>2181</v>
      </c>
      <c r="W334" s="36" t="s">
        <v>2174</v>
      </c>
      <c r="X334" s="36" t="s">
        <v>135</v>
      </c>
      <c r="Y334" s="36" t="s">
        <v>52</v>
      </c>
      <c r="Z334" s="79" t="s">
        <v>2180</v>
      </c>
      <c r="AA334" s="36" t="s">
        <v>2179</v>
      </c>
      <c r="AB334" s="47">
        <v>3856000</v>
      </c>
      <c r="AC334" s="41">
        <v>3856000</v>
      </c>
      <c r="AD334" s="3">
        <v>3600000</v>
      </c>
      <c r="AE334" s="16">
        <f t="shared" si="155"/>
        <v>256000</v>
      </c>
      <c r="AF334" s="16">
        <v>0</v>
      </c>
      <c r="AG334" s="17">
        <v>0</v>
      </c>
      <c r="AI334" s="16">
        <v>0</v>
      </c>
      <c r="AK334" s="16">
        <v>0</v>
      </c>
      <c r="AL334" s="11">
        <f t="shared" si="156"/>
        <v>3856000</v>
      </c>
      <c r="AM334" s="16">
        <f t="shared" si="157"/>
        <v>394854.40000000002</v>
      </c>
      <c r="AN334" s="16">
        <f t="shared" si="158"/>
        <v>154240</v>
      </c>
      <c r="AO334" s="16">
        <f t="shared" si="148"/>
        <v>240614.39999999999</v>
      </c>
      <c r="AP334" s="16">
        <f t="shared" si="159"/>
        <v>142672</v>
      </c>
      <c r="AQ334" s="16">
        <f t="shared" si="160"/>
        <v>4250854.4000000004</v>
      </c>
      <c r="AR334" s="16">
        <f t="shared" si="151"/>
        <v>255051.26400000002</v>
      </c>
      <c r="AS334" s="16">
        <f t="shared" si="161"/>
        <v>28055.639040000002</v>
      </c>
      <c r="AT334" s="16">
        <f t="shared" si="162"/>
        <v>-5101.0252800000007</v>
      </c>
      <c r="AU334" s="16">
        <f t="shared" si="163"/>
        <v>4500804.6387200011</v>
      </c>
      <c r="AV334" s="16">
        <f t="shared" si="164"/>
        <v>4505905.6640000008</v>
      </c>
      <c r="AW334" s="16">
        <f t="shared" si="165"/>
        <v>154240</v>
      </c>
      <c r="AX334" s="16" t="s">
        <v>286</v>
      </c>
      <c r="AZ334" s="17">
        <f t="shared" si="150"/>
        <v>0</v>
      </c>
      <c r="BA334" s="16">
        <f t="shared" si="166"/>
        <v>3701760</v>
      </c>
      <c r="BB334" s="16">
        <f t="shared" si="167"/>
        <v>3701760</v>
      </c>
      <c r="BC334" s="15">
        <v>0.03</v>
      </c>
      <c r="BD334">
        <v>0.01</v>
      </c>
      <c r="BE334" s="37">
        <f t="shared" si="168"/>
        <v>356294.39999999997</v>
      </c>
      <c r="BF334" s="38">
        <f t="shared" si="169"/>
        <v>219792</v>
      </c>
      <c r="BG334" s="37">
        <f t="shared" si="149"/>
        <v>180000</v>
      </c>
      <c r="BH334" s="37">
        <f t="shared" si="170"/>
        <v>192800</v>
      </c>
      <c r="BI334">
        <v>180000</v>
      </c>
      <c r="BL334" s="8">
        <f t="shared" si="171"/>
        <v>0</v>
      </c>
      <c r="BM334" s="7" t="str">
        <f t="shared" si="152"/>
        <v>Terdaftar BPJS Kes &amp; Naker</v>
      </c>
      <c r="BN334" s="11">
        <f t="shared" si="153"/>
        <v>219792</v>
      </c>
      <c r="BO334" s="11">
        <f t="shared" si="154"/>
        <v>175062.40000000002</v>
      </c>
      <c r="BP334" s="9">
        <f t="shared" si="172"/>
        <v>0</v>
      </c>
      <c r="BQ334" t="str">
        <f>_xlfn.XLOOKUP(X334,'[2]NON TETAP'!$H:$H,'[2]NON TETAP'!$I:$I)</f>
        <v>GRAMEDIA ASRI MEDIA</v>
      </c>
    </row>
    <row r="335" spans="1:69" x14ac:dyDescent="0.3">
      <c r="A335" s="2">
        <v>334</v>
      </c>
      <c r="B335" s="4" t="s">
        <v>2173</v>
      </c>
      <c r="C335" s="6" t="s">
        <v>241</v>
      </c>
      <c r="D335" s="6"/>
      <c r="E335" s="6" t="s">
        <v>73</v>
      </c>
      <c r="F335" s="6" t="s">
        <v>73</v>
      </c>
      <c r="G335" s="6" t="s">
        <v>73</v>
      </c>
      <c r="H335" s="6"/>
      <c r="I335" s="6"/>
      <c r="J335" s="6"/>
      <c r="K335" s="6">
        <v>800424</v>
      </c>
      <c r="L335" s="6"/>
      <c r="M335" s="6" t="str">
        <f>_xlfn.XLOOKUP(P335,[3]update_data_tk!$C$2:$C$545,[3]update_data_tk!$D$2:$D$545)</f>
        <v>25077451158</v>
      </c>
      <c r="N335" s="46" t="s">
        <v>2178</v>
      </c>
      <c r="O335" s="6">
        <v>2218572731</v>
      </c>
      <c r="P335" s="78" t="s">
        <v>2177</v>
      </c>
      <c r="Q335" s="6">
        <v>10137</v>
      </c>
      <c r="R335" s="6">
        <v>27137</v>
      </c>
      <c r="S335" s="5" t="str">
        <f>VLOOKUP(T335,'[1]Kode Posisi'!$A$3:$B$45,2,)</f>
        <v>Outsourcing Cleaning Service</v>
      </c>
      <c r="T335" s="36" t="s">
        <v>47</v>
      </c>
      <c r="U335" s="44" t="s">
        <v>2176</v>
      </c>
      <c r="V335" s="44" t="s">
        <v>2175</v>
      </c>
      <c r="W335" s="36" t="s">
        <v>2174</v>
      </c>
      <c r="X335" s="36" t="s">
        <v>135</v>
      </c>
      <c r="Y335" s="36" t="s">
        <v>52</v>
      </c>
      <c r="Z335" s="79">
        <v>7218048959</v>
      </c>
      <c r="AA335" s="36" t="s">
        <v>2173</v>
      </c>
      <c r="AB335" s="47">
        <v>3856000</v>
      </c>
      <c r="AC335" s="41">
        <v>3856000</v>
      </c>
      <c r="AD335" s="3">
        <v>3600000</v>
      </c>
      <c r="AE335" s="16">
        <f t="shared" si="155"/>
        <v>256000</v>
      </c>
      <c r="AF335" s="16">
        <v>0</v>
      </c>
      <c r="AG335" s="17">
        <v>0</v>
      </c>
      <c r="AI335" s="16">
        <v>0</v>
      </c>
      <c r="AK335" s="16">
        <v>0</v>
      </c>
      <c r="AL335" s="11">
        <f t="shared" si="156"/>
        <v>3856000</v>
      </c>
      <c r="AM335" s="16">
        <f t="shared" si="157"/>
        <v>394854.40000000002</v>
      </c>
      <c r="AN335" s="16">
        <f t="shared" si="158"/>
        <v>154240</v>
      </c>
      <c r="AO335" s="16">
        <f t="shared" si="148"/>
        <v>240614.39999999999</v>
      </c>
      <c r="AP335" s="16">
        <f t="shared" si="159"/>
        <v>142672</v>
      </c>
      <c r="AQ335" s="16">
        <f t="shared" si="160"/>
        <v>4250854.4000000004</v>
      </c>
      <c r="AR335" s="16">
        <f t="shared" si="151"/>
        <v>255051.26400000002</v>
      </c>
      <c r="AS335" s="16">
        <f t="shared" si="161"/>
        <v>28055.639040000002</v>
      </c>
      <c r="AT335" s="16">
        <f t="shared" si="162"/>
        <v>-5101.0252800000007</v>
      </c>
      <c r="AU335" s="16">
        <f t="shared" si="163"/>
        <v>4500804.6387200011</v>
      </c>
      <c r="AV335" s="16">
        <f t="shared" si="164"/>
        <v>4505905.6640000008</v>
      </c>
      <c r="AW335" s="16">
        <f t="shared" si="165"/>
        <v>154240</v>
      </c>
      <c r="AX335" s="16" t="s">
        <v>235</v>
      </c>
      <c r="AZ335" s="17">
        <f t="shared" si="150"/>
        <v>0</v>
      </c>
      <c r="BA335" s="16">
        <f t="shared" si="166"/>
        <v>3701760</v>
      </c>
      <c r="BB335" s="16">
        <f t="shared" si="167"/>
        <v>3701760</v>
      </c>
      <c r="BC335" s="15">
        <v>0.03</v>
      </c>
      <c r="BD335">
        <v>0.01</v>
      </c>
      <c r="BE335" s="37">
        <f t="shared" si="168"/>
        <v>356294.39999999997</v>
      </c>
      <c r="BF335" s="38">
        <f t="shared" si="169"/>
        <v>219792</v>
      </c>
      <c r="BG335" s="37">
        <f t="shared" si="149"/>
        <v>180000</v>
      </c>
      <c r="BH335" s="37">
        <f t="shared" si="170"/>
        <v>192800</v>
      </c>
      <c r="BI335">
        <v>180000</v>
      </c>
      <c r="BL335" s="8">
        <f t="shared" si="171"/>
        <v>0</v>
      </c>
      <c r="BM335" s="7" t="str">
        <f t="shared" si="152"/>
        <v>Terdaftar BPJS Kes &amp; Naker</v>
      </c>
      <c r="BN335" s="11">
        <f t="shared" si="153"/>
        <v>219792</v>
      </c>
      <c r="BO335" s="11">
        <f t="shared" si="154"/>
        <v>175062.40000000002</v>
      </c>
      <c r="BP335" s="9">
        <f t="shared" si="172"/>
        <v>0</v>
      </c>
      <c r="BQ335" t="str">
        <f>_xlfn.XLOOKUP(X335,'[2]NON TETAP'!$H:$H,'[2]NON TETAP'!$I:$I)</f>
        <v>GRAMEDIA ASRI MEDIA</v>
      </c>
    </row>
    <row r="336" spans="1:69" x14ac:dyDescent="0.3">
      <c r="A336" s="2">
        <v>335</v>
      </c>
      <c r="B336" s="4" t="s">
        <v>2168</v>
      </c>
      <c r="C336" s="6" t="s">
        <v>241</v>
      </c>
      <c r="D336" s="6"/>
      <c r="E336" s="6" t="s">
        <v>73</v>
      </c>
      <c r="F336" s="6" t="s">
        <v>73</v>
      </c>
      <c r="G336" s="6" t="s">
        <v>73</v>
      </c>
      <c r="H336" s="6"/>
      <c r="I336" s="6"/>
      <c r="J336" s="6"/>
      <c r="K336" s="6">
        <v>800425</v>
      </c>
      <c r="L336" s="6"/>
      <c r="M336" s="6" t="str">
        <f>_xlfn.XLOOKUP(P336,[3]update_data_tk!$C$2:$C$545,[3]update_data_tk!$D$2:$D$545)</f>
        <v>25077451174</v>
      </c>
      <c r="N336" s="46" t="s">
        <v>2172</v>
      </c>
      <c r="O336" s="6">
        <v>1605420977</v>
      </c>
      <c r="P336" s="78" t="s">
        <v>2171</v>
      </c>
      <c r="Q336" s="6">
        <v>10475</v>
      </c>
      <c r="R336" s="6">
        <v>27475</v>
      </c>
      <c r="S336" s="5" t="str">
        <f>VLOOKUP(T336,'[1]Kode Posisi'!$A$3:$B$45,2,)</f>
        <v>Outsourcing Cleaning Service</v>
      </c>
      <c r="T336" s="36" t="s">
        <v>47</v>
      </c>
      <c r="U336" s="44" t="s">
        <v>1273</v>
      </c>
      <c r="V336" s="44" t="s">
        <v>2170</v>
      </c>
      <c r="W336" s="36" t="s">
        <v>1271</v>
      </c>
      <c r="X336" s="36" t="s">
        <v>84</v>
      </c>
      <c r="Y336" s="36" t="s">
        <v>63</v>
      </c>
      <c r="Z336" s="76" t="s">
        <v>2169</v>
      </c>
      <c r="AA336" s="36" t="s">
        <v>2168</v>
      </c>
      <c r="AB336" s="47">
        <v>2879000</v>
      </c>
      <c r="AC336" s="41">
        <v>2879000</v>
      </c>
      <c r="AD336" s="3">
        <v>2698000</v>
      </c>
      <c r="AE336" s="16">
        <f t="shared" si="155"/>
        <v>181000</v>
      </c>
      <c r="AF336" s="16">
        <v>0</v>
      </c>
      <c r="AG336" s="17">
        <v>0</v>
      </c>
      <c r="AI336" s="16">
        <v>0</v>
      </c>
      <c r="AK336" s="16">
        <v>0</v>
      </c>
      <c r="AL336" s="11">
        <f t="shared" si="156"/>
        <v>2879000</v>
      </c>
      <c r="AM336" s="16">
        <f t="shared" si="157"/>
        <v>294809.59999999998</v>
      </c>
      <c r="AN336" s="16">
        <f t="shared" si="158"/>
        <v>115160</v>
      </c>
      <c r="AO336" s="16">
        <f t="shared" si="148"/>
        <v>179649.6</v>
      </c>
      <c r="AP336" s="16">
        <f t="shared" si="159"/>
        <v>106523</v>
      </c>
      <c r="AQ336" s="16">
        <f t="shared" si="160"/>
        <v>3173809.6</v>
      </c>
      <c r="AR336" s="16">
        <f t="shared" si="151"/>
        <v>190428.576</v>
      </c>
      <c r="AS336" s="16">
        <f t="shared" si="161"/>
        <v>20947.143360000002</v>
      </c>
      <c r="AT336" s="16">
        <f t="shared" si="162"/>
        <v>-3808.57152</v>
      </c>
      <c r="AU336" s="16">
        <f t="shared" si="163"/>
        <v>3360429.6044799997</v>
      </c>
      <c r="AV336" s="16">
        <f t="shared" si="164"/>
        <v>3364238.176</v>
      </c>
      <c r="AW336" s="16">
        <f t="shared" si="165"/>
        <v>115160</v>
      </c>
      <c r="AX336" s="16" t="s">
        <v>319</v>
      </c>
      <c r="AZ336" s="17">
        <f t="shared" ref="AZ336:AZ367" si="173">IF(Y336="BCA",0,2900)</f>
        <v>2900</v>
      </c>
      <c r="BA336" s="16">
        <f t="shared" si="166"/>
        <v>2763840</v>
      </c>
      <c r="BB336" s="16">
        <f t="shared" si="167"/>
        <v>2760940</v>
      </c>
      <c r="BC336" s="15">
        <v>0.03</v>
      </c>
      <c r="BD336">
        <v>0.01</v>
      </c>
      <c r="BE336" s="37">
        <f t="shared" si="168"/>
        <v>266019.59999999998</v>
      </c>
      <c r="BF336" s="38">
        <f t="shared" si="169"/>
        <v>164103</v>
      </c>
      <c r="BG336" s="37">
        <f t="shared" si="149"/>
        <v>134900</v>
      </c>
      <c r="BH336" s="37">
        <f t="shared" si="170"/>
        <v>143950</v>
      </c>
      <c r="BI336">
        <v>134900</v>
      </c>
      <c r="BL336" s="8">
        <f t="shared" si="171"/>
        <v>0</v>
      </c>
      <c r="BM336" s="7" t="str">
        <f t="shared" si="152"/>
        <v>Terdaftar BPJS Kes &amp; Naker</v>
      </c>
      <c r="BN336" s="11">
        <f t="shared" si="153"/>
        <v>164103</v>
      </c>
      <c r="BO336" s="11">
        <f t="shared" si="154"/>
        <v>130706.6</v>
      </c>
      <c r="BP336" s="9">
        <f t="shared" si="172"/>
        <v>0</v>
      </c>
      <c r="BQ336" t="str">
        <f>_xlfn.XLOOKUP(X336,'[2]NON TETAP'!$H:$H,'[2]NON TETAP'!$I:$I)</f>
        <v>GRAMEDIA ASRI MEDIA</v>
      </c>
    </row>
    <row r="337" spans="1:69" x14ac:dyDescent="0.3">
      <c r="A337" s="2">
        <v>336</v>
      </c>
      <c r="B337" s="4" t="s">
        <v>2167</v>
      </c>
      <c r="C337" s="6" t="s">
        <v>241</v>
      </c>
      <c r="D337" s="6"/>
      <c r="E337" s="6" t="s">
        <v>73</v>
      </c>
      <c r="F337" s="6" t="s">
        <v>73</v>
      </c>
      <c r="G337" s="6" t="s">
        <v>73</v>
      </c>
      <c r="H337" s="6"/>
      <c r="I337" s="6"/>
      <c r="J337" s="6"/>
      <c r="K337" s="6">
        <v>800426</v>
      </c>
      <c r="L337" s="6"/>
      <c r="M337" s="6" t="str">
        <f>_xlfn.XLOOKUP(P337,[3]update_data_tk!$C$2:$C$545,[3]update_data_tk!$D$2:$D$545)</f>
        <v>25077451190</v>
      </c>
      <c r="N337" s="46" t="s">
        <v>2166</v>
      </c>
      <c r="O337" s="6">
        <v>454981959</v>
      </c>
      <c r="P337" s="78" t="s">
        <v>2165</v>
      </c>
      <c r="Q337" s="6">
        <v>10475</v>
      </c>
      <c r="R337" s="6">
        <v>27475</v>
      </c>
      <c r="S337" s="5" t="str">
        <f>VLOOKUP(T337,'[1]Kode Posisi'!$A$3:$B$45,2,)</f>
        <v>Outsourcing Cleaning Service</v>
      </c>
      <c r="T337" s="36" t="s">
        <v>47</v>
      </c>
      <c r="U337" s="44" t="s">
        <v>1273</v>
      </c>
      <c r="V337" s="44" t="s">
        <v>2164</v>
      </c>
      <c r="W337" s="36" t="s">
        <v>1271</v>
      </c>
      <c r="X337" s="36" t="s">
        <v>84</v>
      </c>
      <c r="Y337" s="36" t="s">
        <v>473</v>
      </c>
      <c r="Z337" s="79" t="s">
        <v>2163</v>
      </c>
      <c r="AA337" s="36" t="s">
        <v>2162</v>
      </c>
      <c r="AB337" s="47">
        <v>2879000</v>
      </c>
      <c r="AC337" s="41">
        <v>2879000</v>
      </c>
      <c r="AD337" s="3">
        <v>2698000</v>
      </c>
      <c r="AE337" s="16">
        <f t="shared" si="155"/>
        <v>181000</v>
      </c>
      <c r="AF337" s="16">
        <v>0</v>
      </c>
      <c r="AG337" s="17">
        <v>0</v>
      </c>
      <c r="AI337" s="16">
        <v>0</v>
      </c>
      <c r="AK337" s="16">
        <v>0</v>
      </c>
      <c r="AL337" s="11">
        <f t="shared" si="156"/>
        <v>2879000</v>
      </c>
      <c r="AM337" s="16">
        <f t="shared" si="157"/>
        <v>294809.59999999998</v>
      </c>
      <c r="AN337" s="16">
        <f t="shared" si="158"/>
        <v>115160</v>
      </c>
      <c r="AO337" s="16">
        <f t="shared" si="148"/>
        <v>179649.6</v>
      </c>
      <c r="AP337" s="16">
        <f t="shared" si="159"/>
        <v>106523</v>
      </c>
      <c r="AQ337" s="16">
        <f t="shared" si="160"/>
        <v>3173809.6</v>
      </c>
      <c r="AR337" s="16">
        <f t="shared" si="151"/>
        <v>190428.576</v>
      </c>
      <c r="AS337" s="16">
        <f t="shared" si="161"/>
        <v>20947.143360000002</v>
      </c>
      <c r="AT337" s="16">
        <f t="shared" si="162"/>
        <v>-3808.57152</v>
      </c>
      <c r="AU337" s="16">
        <f t="shared" si="163"/>
        <v>3360429.6044799997</v>
      </c>
      <c r="AV337" s="16">
        <f t="shared" si="164"/>
        <v>3364238.176</v>
      </c>
      <c r="AW337" s="16">
        <f t="shared" si="165"/>
        <v>115160</v>
      </c>
      <c r="AX337" s="16" t="s">
        <v>286</v>
      </c>
      <c r="AZ337" s="17">
        <f t="shared" si="173"/>
        <v>2900</v>
      </c>
      <c r="BA337" s="16">
        <f t="shared" si="166"/>
        <v>2763840</v>
      </c>
      <c r="BB337" s="16">
        <f t="shared" si="167"/>
        <v>2760940</v>
      </c>
      <c r="BC337" s="15">
        <v>0.03</v>
      </c>
      <c r="BD337">
        <v>0.01</v>
      </c>
      <c r="BE337" s="37">
        <f t="shared" si="168"/>
        <v>266019.59999999998</v>
      </c>
      <c r="BF337" s="38">
        <f t="shared" si="169"/>
        <v>164103</v>
      </c>
      <c r="BG337" s="37">
        <f t="shared" si="149"/>
        <v>134900</v>
      </c>
      <c r="BH337" s="37">
        <f t="shared" si="170"/>
        <v>143950</v>
      </c>
      <c r="BI337">
        <v>134900</v>
      </c>
      <c r="BL337" s="8">
        <f t="shared" si="171"/>
        <v>0</v>
      </c>
      <c r="BM337" s="7" t="str">
        <f t="shared" si="152"/>
        <v>Terdaftar BPJS Kes &amp; Naker</v>
      </c>
      <c r="BN337" s="11">
        <f t="shared" si="153"/>
        <v>164103</v>
      </c>
      <c r="BO337" s="11">
        <f t="shared" si="154"/>
        <v>130706.6</v>
      </c>
      <c r="BP337" s="9">
        <f t="shared" si="172"/>
        <v>0</v>
      </c>
      <c r="BQ337" t="str">
        <f>_xlfn.XLOOKUP(X337,'[2]NON TETAP'!$H:$H,'[2]NON TETAP'!$I:$I)</f>
        <v>GRAMEDIA ASRI MEDIA</v>
      </c>
    </row>
    <row r="338" spans="1:69" x14ac:dyDescent="0.3">
      <c r="A338" s="2">
        <v>337</v>
      </c>
      <c r="B338" s="4" t="s">
        <v>2161</v>
      </c>
      <c r="C338" s="6" t="s">
        <v>241</v>
      </c>
      <c r="D338" s="6"/>
      <c r="E338" s="6" t="s">
        <v>73</v>
      </c>
      <c r="F338" s="6" t="s">
        <v>73</v>
      </c>
      <c r="G338" s="6" t="s">
        <v>73</v>
      </c>
      <c r="H338" s="6"/>
      <c r="I338" s="6"/>
      <c r="J338" s="6"/>
      <c r="K338" s="6">
        <v>800427</v>
      </c>
      <c r="L338" s="6"/>
      <c r="M338" s="6" t="s">
        <v>2160</v>
      </c>
      <c r="N338" s="46" t="s">
        <v>2159</v>
      </c>
      <c r="O338" s="6">
        <v>450588666</v>
      </c>
      <c r="P338" s="78" t="s">
        <v>2158</v>
      </c>
      <c r="Q338" s="6">
        <v>10475</v>
      </c>
      <c r="R338" s="6">
        <v>27475</v>
      </c>
      <c r="S338" s="5" t="str">
        <f>VLOOKUP(T338,'[1]Kode Posisi'!$A$3:$B$45,2,)</f>
        <v>Outsourcing Cleaning Service</v>
      </c>
      <c r="T338" s="36" t="s">
        <v>47</v>
      </c>
      <c r="U338" s="44" t="s">
        <v>1273</v>
      </c>
      <c r="V338" s="44" t="s">
        <v>2157</v>
      </c>
      <c r="W338" s="36" t="s">
        <v>1271</v>
      </c>
      <c r="X338" s="36" t="s">
        <v>84</v>
      </c>
      <c r="Y338" s="36" t="s">
        <v>63</v>
      </c>
      <c r="Z338" s="79" t="s">
        <v>2156</v>
      </c>
      <c r="AA338" s="36" t="s">
        <v>2155</v>
      </c>
      <c r="AB338" s="47">
        <v>2879000</v>
      </c>
      <c r="AC338" s="41">
        <v>2879000</v>
      </c>
      <c r="AD338" s="3">
        <v>2698000</v>
      </c>
      <c r="AE338" s="16">
        <f t="shared" si="155"/>
        <v>181000</v>
      </c>
      <c r="AF338" s="16">
        <v>0</v>
      </c>
      <c r="AG338" s="17">
        <v>0</v>
      </c>
      <c r="AI338" s="16">
        <v>0</v>
      </c>
      <c r="AK338" s="16">
        <v>0</v>
      </c>
      <c r="AL338" s="11">
        <f t="shared" si="156"/>
        <v>2879000</v>
      </c>
      <c r="AM338" s="16">
        <f t="shared" si="157"/>
        <v>294809.59999999998</v>
      </c>
      <c r="AN338" s="16">
        <f t="shared" si="158"/>
        <v>115160</v>
      </c>
      <c r="AO338" s="16">
        <f t="shared" si="148"/>
        <v>179649.6</v>
      </c>
      <c r="AP338" s="16">
        <f t="shared" si="159"/>
        <v>106523</v>
      </c>
      <c r="AQ338" s="16">
        <f t="shared" si="160"/>
        <v>3173809.6</v>
      </c>
      <c r="AR338" s="16">
        <f t="shared" si="151"/>
        <v>190428.576</v>
      </c>
      <c r="AS338" s="16">
        <f t="shared" si="161"/>
        <v>20947.143360000002</v>
      </c>
      <c r="AT338" s="16">
        <f t="shared" si="162"/>
        <v>-3808.57152</v>
      </c>
      <c r="AU338" s="16">
        <f t="shared" si="163"/>
        <v>3360429.6044799997</v>
      </c>
      <c r="AV338" s="16">
        <f t="shared" si="164"/>
        <v>3364238.176</v>
      </c>
      <c r="AW338" s="16">
        <f t="shared" si="165"/>
        <v>115160</v>
      </c>
      <c r="AX338" s="16" t="s">
        <v>235</v>
      </c>
      <c r="AZ338" s="17">
        <f t="shared" si="173"/>
        <v>2900</v>
      </c>
      <c r="BA338" s="16">
        <f t="shared" si="166"/>
        <v>2763840</v>
      </c>
      <c r="BB338" s="16">
        <f t="shared" si="167"/>
        <v>2760940</v>
      </c>
      <c r="BC338">
        <v>0.03</v>
      </c>
      <c r="BD338">
        <v>0.01</v>
      </c>
      <c r="BE338" s="37">
        <f t="shared" si="168"/>
        <v>266019.59999999998</v>
      </c>
      <c r="BF338" s="38">
        <f t="shared" si="169"/>
        <v>164103</v>
      </c>
      <c r="BG338" s="37">
        <f t="shared" si="149"/>
        <v>134900</v>
      </c>
      <c r="BH338" s="37">
        <f t="shared" si="170"/>
        <v>143950</v>
      </c>
      <c r="BI338">
        <v>134900</v>
      </c>
      <c r="BL338" s="8">
        <f t="shared" si="171"/>
        <v>0</v>
      </c>
      <c r="BM338" s="7" t="str">
        <f t="shared" si="152"/>
        <v>Terdaftar BPJS Kes &amp; Naker</v>
      </c>
      <c r="BN338" s="11">
        <f t="shared" si="153"/>
        <v>164103</v>
      </c>
      <c r="BO338" s="11">
        <f t="shared" si="154"/>
        <v>130706.6</v>
      </c>
      <c r="BP338" s="9">
        <f t="shared" si="172"/>
        <v>0</v>
      </c>
      <c r="BQ338" t="str">
        <f>_xlfn.XLOOKUP(X338,'[2]NON TETAP'!$H:$H,'[2]NON TETAP'!$I:$I)</f>
        <v>GRAMEDIA ASRI MEDIA</v>
      </c>
    </row>
    <row r="339" spans="1:69" x14ac:dyDescent="0.3">
      <c r="A339" s="2">
        <v>338</v>
      </c>
      <c r="B339" s="4" t="s">
        <v>2154</v>
      </c>
      <c r="C339" s="6" t="s">
        <v>241</v>
      </c>
      <c r="D339" s="6"/>
      <c r="E339" s="6" t="s">
        <v>73</v>
      </c>
      <c r="F339" s="6" t="s">
        <v>73</v>
      </c>
      <c r="G339" s="6" t="s">
        <v>73</v>
      </c>
      <c r="H339" s="6"/>
      <c r="I339" s="6"/>
      <c r="J339" s="6"/>
      <c r="K339" s="6">
        <v>800428</v>
      </c>
      <c r="L339" s="6"/>
      <c r="M339" s="6" t="s">
        <v>2153</v>
      </c>
      <c r="N339" s="46" t="s">
        <v>2152</v>
      </c>
      <c r="O339" s="6">
        <v>2160683572</v>
      </c>
      <c r="P339" s="78" t="s">
        <v>2151</v>
      </c>
      <c r="Q339" s="6">
        <v>10475</v>
      </c>
      <c r="R339" s="6">
        <v>27475</v>
      </c>
      <c r="S339" s="5" t="str">
        <f>VLOOKUP(T339,'[1]Kode Posisi'!$A$3:$B$45,2,)</f>
        <v>Outsourcing Cleaning Service</v>
      </c>
      <c r="T339" s="36" t="s">
        <v>47</v>
      </c>
      <c r="U339" s="44" t="s">
        <v>1273</v>
      </c>
      <c r="V339" s="44" t="s">
        <v>2150</v>
      </c>
      <c r="W339" s="36" t="s">
        <v>1271</v>
      </c>
      <c r="X339" s="36" t="s">
        <v>84</v>
      </c>
      <c r="Y339" s="36" t="s">
        <v>473</v>
      </c>
      <c r="Z339" s="79" t="s">
        <v>2149</v>
      </c>
      <c r="AA339" s="36" t="s">
        <v>2148</v>
      </c>
      <c r="AB339" s="47">
        <v>2879000</v>
      </c>
      <c r="AC339" s="41">
        <v>2879000</v>
      </c>
      <c r="AD339" s="3">
        <v>2698000</v>
      </c>
      <c r="AE339" s="16">
        <f t="shared" si="155"/>
        <v>181000</v>
      </c>
      <c r="AF339" s="16">
        <v>0</v>
      </c>
      <c r="AG339" s="17">
        <v>0</v>
      </c>
      <c r="AI339" s="16">
        <v>0</v>
      </c>
      <c r="AK339" s="16">
        <v>0</v>
      </c>
      <c r="AL339" s="11">
        <f t="shared" si="156"/>
        <v>2879000</v>
      </c>
      <c r="AM339" s="16">
        <f t="shared" si="157"/>
        <v>294809.59999999998</v>
      </c>
      <c r="AN339" s="16">
        <f t="shared" si="158"/>
        <v>115160</v>
      </c>
      <c r="AO339" s="16">
        <f t="shared" si="148"/>
        <v>179649.6</v>
      </c>
      <c r="AP339" s="16">
        <f t="shared" si="159"/>
        <v>106523</v>
      </c>
      <c r="AQ339" s="16">
        <f t="shared" si="160"/>
        <v>3173809.6</v>
      </c>
      <c r="AR339" s="16">
        <f t="shared" si="151"/>
        <v>190428.576</v>
      </c>
      <c r="AS339" s="16">
        <f t="shared" si="161"/>
        <v>20947.143360000002</v>
      </c>
      <c r="AT339" s="16">
        <f t="shared" si="162"/>
        <v>-3808.57152</v>
      </c>
      <c r="AU339" s="16">
        <f t="shared" si="163"/>
        <v>3360429.6044799997</v>
      </c>
      <c r="AV339" s="16">
        <f t="shared" si="164"/>
        <v>3364238.176</v>
      </c>
      <c r="AW339" s="16">
        <f t="shared" si="165"/>
        <v>115160</v>
      </c>
      <c r="AX339" s="16" t="s">
        <v>319</v>
      </c>
      <c r="AZ339" s="17">
        <f t="shared" si="173"/>
        <v>2900</v>
      </c>
      <c r="BA339" s="16">
        <f t="shared" si="166"/>
        <v>2763840</v>
      </c>
      <c r="BB339" s="16">
        <f t="shared" si="167"/>
        <v>2760940</v>
      </c>
      <c r="BC339">
        <v>0.03</v>
      </c>
      <c r="BD339">
        <v>0.01</v>
      </c>
      <c r="BE339" s="37">
        <f t="shared" si="168"/>
        <v>266019.59999999998</v>
      </c>
      <c r="BF339" s="38">
        <f t="shared" si="169"/>
        <v>164103</v>
      </c>
      <c r="BG339" s="37">
        <f t="shared" si="149"/>
        <v>134900</v>
      </c>
      <c r="BH339" s="37">
        <f t="shared" si="170"/>
        <v>143950</v>
      </c>
      <c r="BI339">
        <v>134900</v>
      </c>
      <c r="BL339" s="8">
        <f t="shared" si="171"/>
        <v>0</v>
      </c>
      <c r="BM339" s="7" t="str">
        <f t="shared" si="152"/>
        <v>Terdaftar BPJS Kes &amp; Naker</v>
      </c>
      <c r="BN339" s="11">
        <f t="shared" si="153"/>
        <v>164103</v>
      </c>
      <c r="BO339" s="11">
        <f t="shared" si="154"/>
        <v>130706.6</v>
      </c>
      <c r="BP339" s="9">
        <f t="shared" si="172"/>
        <v>0</v>
      </c>
      <c r="BQ339" t="str">
        <f>_xlfn.XLOOKUP(X339,'[2]NON TETAP'!$H:$H,'[2]NON TETAP'!$I:$I)</f>
        <v>GRAMEDIA ASRI MEDIA</v>
      </c>
    </row>
    <row r="340" spans="1:69" x14ac:dyDescent="0.3">
      <c r="A340" s="2">
        <v>339</v>
      </c>
      <c r="B340" s="4" t="s">
        <v>2147</v>
      </c>
      <c r="C340" s="6" t="s">
        <v>241</v>
      </c>
      <c r="D340" s="6"/>
      <c r="E340" s="6" t="s">
        <v>73</v>
      </c>
      <c r="F340" s="6" t="s">
        <v>73</v>
      </c>
      <c r="G340" s="6"/>
      <c r="H340" s="6"/>
      <c r="I340" s="6"/>
      <c r="J340" s="6"/>
      <c r="K340" s="6">
        <v>800429</v>
      </c>
      <c r="L340" s="6"/>
      <c r="M340" s="6" t="s">
        <v>2146</v>
      </c>
      <c r="N340" s="46" t="s">
        <v>2145</v>
      </c>
      <c r="O340" s="6">
        <v>2485735391</v>
      </c>
      <c r="P340" s="78" t="s">
        <v>2144</v>
      </c>
      <c r="Q340" s="6">
        <v>18104</v>
      </c>
      <c r="R340" s="6">
        <v>27190</v>
      </c>
      <c r="S340" s="5" t="str">
        <f>VLOOKUP(T340,'[1]Kode Posisi'!$A$3:$B$45,2,)</f>
        <v>Outsourcing Petugas Pemeliharaan Gedung</v>
      </c>
      <c r="T340" s="36" t="s">
        <v>247</v>
      </c>
      <c r="U340" s="44" t="s">
        <v>1273</v>
      </c>
      <c r="V340" s="44" t="s">
        <v>2143</v>
      </c>
      <c r="W340" s="36" t="s">
        <v>1271</v>
      </c>
      <c r="X340" s="36" t="s">
        <v>2128</v>
      </c>
      <c r="Y340" s="36" t="s">
        <v>52</v>
      </c>
      <c r="Z340" s="79" t="s">
        <v>2142</v>
      </c>
      <c r="AA340" s="36" t="s">
        <v>2141</v>
      </c>
      <c r="AB340" s="47">
        <v>2879000</v>
      </c>
      <c r="AC340" s="41">
        <v>2879000</v>
      </c>
      <c r="AD340" s="3">
        <v>2698000</v>
      </c>
      <c r="AE340" s="16">
        <f t="shared" si="155"/>
        <v>181000</v>
      </c>
      <c r="AF340" s="16">
        <v>0</v>
      </c>
      <c r="AG340" s="17">
        <v>0</v>
      </c>
      <c r="AI340" s="16">
        <v>0</v>
      </c>
      <c r="AK340" s="16">
        <v>0</v>
      </c>
      <c r="AL340" s="11">
        <f t="shared" si="156"/>
        <v>2879000</v>
      </c>
      <c r="AM340" s="16">
        <f t="shared" si="157"/>
        <v>294809.59999999998</v>
      </c>
      <c r="AN340" s="16">
        <f t="shared" si="158"/>
        <v>115160</v>
      </c>
      <c r="AO340" s="16">
        <f t="shared" si="148"/>
        <v>179649.6</v>
      </c>
      <c r="AP340" s="16">
        <f t="shared" si="159"/>
        <v>106523</v>
      </c>
      <c r="AQ340" s="16">
        <f t="shared" si="160"/>
        <v>3173809.6</v>
      </c>
      <c r="AR340" s="16">
        <f t="shared" si="151"/>
        <v>190428.576</v>
      </c>
      <c r="AS340" s="16">
        <f t="shared" si="161"/>
        <v>20947.143360000002</v>
      </c>
      <c r="AT340" s="16">
        <f t="shared" si="162"/>
        <v>-3808.57152</v>
      </c>
      <c r="AU340" s="16">
        <f t="shared" si="163"/>
        <v>3360429.6044799997</v>
      </c>
      <c r="AV340" s="16">
        <f t="shared" si="164"/>
        <v>3364238.176</v>
      </c>
      <c r="AW340" s="16">
        <f t="shared" si="165"/>
        <v>115160</v>
      </c>
      <c r="AX340" s="16" t="s">
        <v>91</v>
      </c>
      <c r="AZ340" s="17">
        <f t="shared" si="173"/>
        <v>0</v>
      </c>
      <c r="BA340" s="16">
        <f t="shared" si="166"/>
        <v>2763840</v>
      </c>
      <c r="BB340" s="16">
        <f t="shared" si="167"/>
        <v>2763840</v>
      </c>
      <c r="BC340">
        <v>0.03</v>
      </c>
      <c r="BD340">
        <v>0.01</v>
      </c>
      <c r="BE340" s="37">
        <f t="shared" si="168"/>
        <v>266019.59999999998</v>
      </c>
      <c r="BF340" s="38">
        <f t="shared" si="169"/>
        <v>164103</v>
      </c>
      <c r="BG340" s="37">
        <f t="shared" si="149"/>
        <v>134900</v>
      </c>
      <c r="BH340" s="37">
        <f t="shared" si="170"/>
        <v>143950</v>
      </c>
      <c r="BI340">
        <v>195850</v>
      </c>
      <c r="BL340" s="8">
        <f t="shared" si="171"/>
        <v>0</v>
      </c>
      <c r="BM340" s="7" t="str">
        <f t="shared" si="152"/>
        <v>Terdaftar BPJS Kes &amp; Naker</v>
      </c>
      <c r="BN340" s="11">
        <f t="shared" si="153"/>
        <v>164103</v>
      </c>
      <c r="BO340" s="11">
        <f t="shared" si="154"/>
        <v>130706.6</v>
      </c>
      <c r="BP340" s="9">
        <f t="shared" si="172"/>
        <v>0</v>
      </c>
      <c r="BQ340" t="s">
        <v>8</v>
      </c>
    </row>
    <row r="341" spans="1:69" x14ac:dyDescent="0.3">
      <c r="A341" s="2">
        <v>340</v>
      </c>
      <c r="B341" s="4" t="s">
        <v>2140</v>
      </c>
      <c r="C341" s="6" t="s">
        <v>241</v>
      </c>
      <c r="D341" s="6"/>
      <c r="E341" s="6" t="s">
        <v>73</v>
      </c>
      <c r="F341" s="6" t="s">
        <v>73</v>
      </c>
      <c r="G341" s="6"/>
      <c r="H341" s="6"/>
      <c r="I341" s="6"/>
      <c r="J341" s="6"/>
      <c r="K341" s="6">
        <v>800430</v>
      </c>
      <c r="L341" s="6"/>
      <c r="M341" s="6" t="s">
        <v>2139</v>
      </c>
      <c r="N341" s="46" t="s">
        <v>2138</v>
      </c>
      <c r="O341" s="6">
        <v>1007564905</v>
      </c>
      <c r="P341" s="78" t="s">
        <v>2137</v>
      </c>
      <c r="Q341" s="6">
        <v>18104</v>
      </c>
      <c r="R341" s="6">
        <v>27190</v>
      </c>
      <c r="S341" s="5" t="str">
        <f>VLOOKUP(T341,'[1]Kode Posisi'!$A$3:$B$45,2,)</f>
        <v>Outsourcing Petugas Pemeliharaan Gedung</v>
      </c>
      <c r="T341" s="36" t="s">
        <v>247</v>
      </c>
      <c r="U341" s="44" t="s">
        <v>1273</v>
      </c>
      <c r="V341" s="44" t="s">
        <v>2136</v>
      </c>
      <c r="W341" s="36" t="s">
        <v>1271</v>
      </c>
      <c r="X341" s="36" t="s">
        <v>2128</v>
      </c>
      <c r="Y341" s="36" t="s">
        <v>473</v>
      </c>
      <c r="Z341" s="79" t="s">
        <v>2135</v>
      </c>
      <c r="AA341" s="36" t="s">
        <v>2134</v>
      </c>
      <c r="AB341" s="47">
        <v>2879000</v>
      </c>
      <c r="AC341" s="41">
        <v>2879000</v>
      </c>
      <c r="AD341" s="3">
        <v>2698000</v>
      </c>
      <c r="AE341" s="16">
        <f t="shared" si="155"/>
        <v>181000</v>
      </c>
      <c r="AF341" s="16">
        <v>0</v>
      </c>
      <c r="AG341" s="17">
        <v>0</v>
      </c>
      <c r="AI341" s="16">
        <v>0</v>
      </c>
      <c r="AK341" s="16">
        <v>0</v>
      </c>
      <c r="AL341" s="11">
        <f t="shared" si="156"/>
        <v>2879000</v>
      </c>
      <c r="AM341" s="16">
        <f t="shared" si="157"/>
        <v>294809.59999999998</v>
      </c>
      <c r="AN341" s="16">
        <f t="shared" si="158"/>
        <v>115160</v>
      </c>
      <c r="AO341" s="16">
        <f t="shared" si="148"/>
        <v>179649.6</v>
      </c>
      <c r="AP341" s="16">
        <f t="shared" si="159"/>
        <v>106523</v>
      </c>
      <c r="AQ341" s="16">
        <f t="shared" si="160"/>
        <v>3173809.6</v>
      </c>
      <c r="AR341" s="16">
        <f t="shared" si="151"/>
        <v>190428.576</v>
      </c>
      <c r="AS341" s="16">
        <f t="shared" si="161"/>
        <v>20947.143360000002</v>
      </c>
      <c r="AT341" s="16">
        <f t="shared" si="162"/>
        <v>-3808.57152</v>
      </c>
      <c r="AU341" s="16">
        <f t="shared" si="163"/>
        <v>3360429.6044799997</v>
      </c>
      <c r="AV341" s="16">
        <f t="shared" si="164"/>
        <v>3364238.176</v>
      </c>
      <c r="AW341" s="16">
        <f t="shared" si="165"/>
        <v>115160</v>
      </c>
      <c r="AX341" s="16" t="s">
        <v>235</v>
      </c>
      <c r="AZ341" s="17">
        <f t="shared" si="173"/>
        <v>2900</v>
      </c>
      <c r="BA341" s="16">
        <f t="shared" si="166"/>
        <v>2763840</v>
      </c>
      <c r="BB341" s="16">
        <f t="shared" si="167"/>
        <v>2760940</v>
      </c>
      <c r="BC341">
        <v>0.03</v>
      </c>
      <c r="BD341">
        <v>0.01</v>
      </c>
      <c r="BE341" s="37">
        <f t="shared" si="168"/>
        <v>266019.59999999998</v>
      </c>
      <c r="BF341" s="38">
        <f t="shared" si="169"/>
        <v>164103</v>
      </c>
      <c r="BG341" s="37">
        <f t="shared" si="149"/>
        <v>134900</v>
      </c>
      <c r="BH341" s="37">
        <f t="shared" si="170"/>
        <v>143950</v>
      </c>
      <c r="BI341">
        <v>134900</v>
      </c>
      <c r="BL341" s="8">
        <f t="shared" si="171"/>
        <v>0</v>
      </c>
      <c r="BM341" s="7" t="str">
        <f t="shared" si="152"/>
        <v>Terdaftar BPJS Kes &amp; Naker</v>
      </c>
      <c r="BN341" s="11">
        <f t="shared" si="153"/>
        <v>164103</v>
      </c>
      <c r="BO341" s="11">
        <f t="shared" si="154"/>
        <v>130706.6</v>
      </c>
      <c r="BP341" s="9">
        <f t="shared" si="172"/>
        <v>0</v>
      </c>
      <c r="BQ341" t="s">
        <v>8</v>
      </c>
    </row>
    <row r="342" spans="1:69" x14ac:dyDescent="0.3">
      <c r="A342" s="2">
        <v>341</v>
      </c>
      <c r="B342" s="4" t="s">
        <v>2133</v>
      </c>
      <c r="C342" s="6" t="s">
        <v>241</v>
      </c>
      <c r="D342" s="6"/>
      <c r="E342" s="6" t="s">
        <v>73</v>
      </c>
      <c r="F342" s="6" t="s">
        <v>73</v>
      </c>
      <c r="G342" s="6"/>
      <c r="H342" s="6"/>
      <c r="I342" s="6"/>
      <c r="J342" s="6"/>
      <c r="K342" s="6">
        <v>800431</v>
      </c>
      <c r="L342" s="6"/>
      <c r="M342" s="6" t="s">
        <v>2132</v>
      </c>
      <c r="N342" s="46" t="s">
        <v>2131</v>
      </c>
      <c r="O342" s="6">
        <v>3256606506</v>
      </c>
      <c r="P342" s="78" t="s">
        <v>2130</v>
      </c>
      <c r="Q342" s="6">
        <v>18104</v>
      </c>
      <c r="R342" s="6">
        <v>27190</v>
      </c>
      <c r="S342" s="5" t="str">
        <f>VLOOKUP(T342,'[1]Kode Posisi'!$A$3:$B$45,2,)</f>
        <v>Outsourcing Petugas Pemeliharaan Gedung</v>
      </c>
      <c r="T342" s="36" t="s">
        <v>247</v>
      </c>
      <c r="U342" s="44" t="s">
        <v>1273</v>
      </c>
      <c r="V342" s="44" t="s">
        <v>2129</v>
      </c>
      <c r="W342" s="36" t="s">
        <v>1271</v>
      </c>
      <c r="X342" s="36" t="s">
        <v>2128</v>
      </c>
      <c r="Y342" s="36" t="s">
        <v>52</v>
      </c>
      <c r="Z342" s="79" t="s">
        <v>2127</v>
      </c>
      <c r="AA342" s="36" t="s">
        <v>2126</v>
      </c>
      <c r="AB342" s="47">
        <v>2879000</v>
      </c>
      <c r="AC342" s="41">
        <v>2879000</v>
      </c>
      <c r="AD342" s="3">
        <v>2698000</v>
      </c>
      <c r="AE342" s="16">
        <f t="shared" si="155"/>
        <v>181000</v>
      </c>
      <c r="AF342" s="16">
        <v>0</v>
      </c>
      <c r="AG342" s="17">
        <v>0</v>
      </c>
      <c r="AI342" s="16">
        <v>124763.00578034682</v>
      </c>
      <c r="AK342" s="16">
        <v>0</v>
      </c>
      <c r="AL342" s="11">
        <f t="shared" si="156"/>
        <v>3003763.0057803467</v>
      </c>
      <c r="AM342" s="16">
        <f t="shared" si="157"/>
        <v>294809.59999999998</v>
      </c>
      <c r="AN342" s="16">
        <f t="shared" si="158"/>
        <v>115160</v>
      </c>
      <c r="AO342" s="16">
        <f t="shared" si="148"/>
        <v>179649.6</v>
      </c>
      <c r="AP342" s="16">
        <f t="shared" si="159"/>
        <v>106523</v>
      </c>
      <c r="AQ342" s="16">
        <f t="shared" si="160"/>
        <v>3298572.6057803468</v>
      </c>
      <c r="AR342" s="16">
        <f t="shared" si="151"/>
        <v>197914.3563468208</v>
      </c>
      <c r="AS342" s="16">
        <f t="shared" si="161"/>
        <v>21770.579198150288</v>
      </c>
      <c r="AT342" s="16">
        <f t="shared" si="162"/>
        <v>-3958.2871269364159</v>
      </c>
      <c r="AU342" s="16">
        <f t="shared" si="163"/>
        <v>3492528.6750002312</v>
      </c>
      <c r="AV342" s="16">
        <f t="shared" si="164"/>
        <v>3496486.9621271677</v>
      </c>
      <c r="AW342" s="16">
        <f t="shared" si="165"/>
        <v>115160</v>
      </c>
      <c r="AX342" s="16" t="s">
        <v>91</v>
      </c>
      <c r="AZ342" s="17">
        <f t="shared" si="173"/>
        <v>0</v>
      </c>
      <c r="BA342" s="16">
        <f t="shared" si="166"/>
        <v>2888603.0057803467</v>
      </c>
      <c r="BB342" s="16">
        <f t="shared" si="167"/>
        <v>2888603.0057803467</v>
      </c>
      <c r="BC342">
        <v>0.03</v>
      </c>
      <c r="BD342">
        <v>0.01</v>
      </c>
      <c r="BE342" s="37">
        <f t="shared" si="168"/>
        <v>266019.59999999998</v>
      </c>
      <c r="BF342" s="38">
        <f t="shared" si="169"/>
        <v>164103</v>
      </c>
      <c r="BG342" s="37">
        <f t="shared" si="149"/>
        <v>134900</v>
      </c>
      <c r="BH342" s="37">
        <f t="shared" si="170"/>
        <v>143950</v>
      </c>
      <c r="BI342">
        <v>134900</v>
      </c>
      <c r="BL342" s="8">
        <f t="shared" si="171"/>
        <v>124763.00578034682</v>
      </c>
      <c r="BM342" s="7" t="str">
        <f t="shared" si="152"/>
        <v>Terdaftar BPJS Kes &amp; Naker</v>
      </c>
      <c r="BN342" s="11">
        <f t="shared" si="153"/>
        <v>164103</v>
      </c>
      <c r="BO342" s="11">
        <f t="shared" si="154"/>
        <v>130706.6</v>
      </c>
      <c r="BP342" s="9">
        <f t="shared" si="172"/>
        <v>0</v>
      </c>
      <c r="BQ342" t="s">
        <v>8</v>
      </c>
    </row>
    <row r="343" spans="1:69" x14ac:dyDescent="0.3">
      <c r="A343" s="2">
        <v>342</v>
      </c>
      <c r="B343" s="4" t="s">
        <v>2117</v>
      </c>
      <c r="C343" s="6" t="s">
        <v>241</v>
      </c>
      <c r="D343" s="6"/>
      <c r="E343" s="6" t="s">
        <v>73</v>
      </c>
      <c r="F343" s="6"/>
      <c r="G343" s="6"/>
      <c r="H343" s="6"/>
      <c r="I343" s="6"/>
      <c r="J343" s="6"/>
      <c r="K343" s="6">
        <v>800432</v>
      </c>
      <c r="L343" s="6"/>
      <c r="M343" s="6" t="s">
        <v>2125</v>
      </c>
      <c r="N343" s="46" t="s">
        <v>2124</v>
      </c>
      <c r="O343" s="6">
        <v>1438127278</v>
      </c>
      <c r="P343" s="78" t="s">
        <v>2123</v>
      </c>
      <c r="Q343" s="6">
        <v>10167</v>
      </c>
      <c r="R343" s="6">
        <v>27167</v>
      </c>
      <c r="S343" s="5" t="str">
        <f>VLOOKUP(T343,'[1]Kode Posisi'!$A$3:$B$45,2,)</f>
        <v>Outsourcing Cleaning Service</v>
      </c>
      <c r="T343" s="36" t="s">
        <v>47</v>
      </c>
      <c r="U343" s="44" t="s">
        <v>2122</v>
      </c>
      <c r="V343" s="44" t="s">
        <v>2121</v>
      </c>
      <c r="W343" s="36" t="s">
        <v>2120</v>
      </c>
      <c r="X343" s="36" t="s">
        <v>2119</v>
      </c>
      <c r="Y343" s="36" t="s">
        <v>473</v>
      </c>
      <c r="Z343" s="79" t="s">
        <v>2118</v>
      </c>
      <c r="AA343" s="36" t="s">
        <v>2117</v>
      </c>
      <c r="AB343" s="47">
        <v>2475000</v>
      </c>
      <c r="AC343" s="41">
        <v>2475000</v>
      </c>
      <c r="AD343" s="3">
        <v>2339000</v>
      </c>
      <c r="AE343" s="16">
        <f t="shared" si="155"/>
        <v>136000</v>
      </c>
      <c r="AF343" s="16">
        <v>0</v>
      </c>
      <c r="AG343" s="17">
        <v>0</v>
      </c>
      <c r="AI343" s="16">
        <v>0</v>
      </c>
      <c r="AK343" s="16">
        <v>0</v>
      </c>
      <c r="AL343" s="11">
        <f t="shared" si="156"/>
        <v>2475000</v>
      </c>
      <c r="AM343" s="16">
        <f t="shared" si="157"/>
        <v>253440</v>
      </c>
      <c r="AN343" s="16">
        <f t="shared" si="158"/>
        <v>99000</v>
      </c>
      <c r="AO343" s="16">
        <f t="shared" si="148"/>
        <v>154440</v>
      </c>
      <c r="AP343" s="16">
        <f t="shared" si="159"/>
        <v>91575</v>
      </c>
      <c r="AQ343" s="16">
        <f t="shared" si="160"/>
        <v>2728440</v>
      </c>
      <c r="AR343" s="16">
        <f t="shared" si="151"/>
        <v>163706.4</v>
      </c>
      <c r="AS343" s="16">
        <f t="shared" si="161"/>
        <v>18007.703999999998</v>
      </c>
      <c r="AT343" s="16">
        <f t="shared" si="162"/>
        <v>-3274.1280000000002</v>
      </c>
      <c r="AU343" s="16">
        <f t="shared" si="163"/>
        <v>2888872.2719999999</v>
      </c>
      <c r="AV343" s="16">
        <f t="shared" si="164"/>
        <v>2892146.4</v>
      </c>
      <c r="AW343" s="16">
        <f t="shared" si="165"/>
        <v>99000</v>
      </c>
      <c r="AX343" s="16" t="s">
        <v>235</v>
      </c>
      <c r="AZ343" s="17">
        <f t="shared" si="173"/>
        <v>2900</v>
      </c>
      <c r="BA343" s="16">
        <f t="shared" si="166"/>
        <v>2376000</v>
      </c>
      <c r="BB343" s="16">
        <f t="shared" si="167"/>
        <v>2373100</v>
      </c>
      <c r="BC343">
        <v>0.03</v>
      </c>
      <c r="BD343">
        <v>0.01</v>
      </c>
      <c r="BE343" s="37">
        <f t="shared" si="168"/>
        <v>228690</v>
      </c>
      <c r="BF343" s="38">
        <f t="shared" si="169"/>
        <v>141075</v>
      </c>
      <c r="BG343" s="37">
        <f t="shared" si="149"/>
        <v>116950</v>
      </c>
      <c r="BH343" s="37">
        <f t="shared" si="170"/>
        <v>123750</v>
      </c>
      <c r="BI343">
        <v>116950</v>
      </c>
      <c r="BL343" s="8">
        <f t="shared" si="171"/>
        <v>0</v>
      </c>
      <c r="BM343" s="7" t="str">
        <f t="shared" si="152"/>
        <v>Terdaftar BPJS Kes &amp; Naker</v>
      </c>
      <c r="BN343" s="11">
        <f t="shared" si="153"/>
        <v>141075</v>
      </c>
      <c r="BO343" s="11">
        <f t="shared" si="154"/>
        <v>112365</v>
      </c>
      <c r="BP343" s="9">
        <f t="shared" si="172"/>
        <v>0</v>
      </c>
      <c r="BQ343" t="str">
        <f>_xlfn.XLOOKUP(X343,'[2]NON TETAP'!$H:$H,'[2]NON TETAP'!$I:$I)</f>
        <v>GRAMEDIA ASRI MEDIA</v>
      </c>
    </row>
    <row r="344" spans="1:69" x14ac:dyDescent="0.3">
      <c r="A344" s="2">
        <v>343</v>
      </c>
      <c r="B344" s="4" t="s">
        <v>2116</v>
      </c>
      <c r="C344" s="6" t="s">
        <v>241</v>
      </c>
      <c r="D344" s="6"/>
      <c r="E344" s="6" t="s">
        <v>73</v>
      </c>
      <c r="F344" s="6" t="s">
        <v>73</v>
      </c>
      <c r="G344" s="6"/>
      <c r="H344" s="6"/>
      <c r="I344" s="6" t="s">
        <v>2115</v>
      </c>
      <c r="J344" s="6" t="s">
        <v>2114</v>
      </c>
      <c r="K344" s="6">
        <v>800433</v>
      </c>
      <c r="L344" s="6"/>
      <c r="M344" s="6" t="s">
        <v>2113</v>
      </c>
      <c r="N344" s="46" t="s">
        <v>2112</v>
      </c>
      <c r="O344" s="6">
        <v>2169796353</v>
      </c>
      <c r="P344" s="78" t="s">
        <v>2111</v>
      </c>
      <c r="Q344" s="6">
        <v>18104</v>
      </c>
      <c r="R344" s="6">
        <v>27190</v>
      </c>
      <c r="S344" s="5" t="s">
        <v>2110</v>
      </c>
      <c r="T344" s="36" t="s">
        <v>2109</v>
      </c>
      <c r="U344" s="44" t="s">
        <v>1167</v>
      </c>
      <c r="V344" s="44" t="s">
        <v>2108</v>
      </c>
      <c r="W344" s="36" t="s">
        <v>1045</v>
      </c>
      <c r="X344" s="36" t="s">
        <v>1165</v>
      </c>
      <c r="Y344" s="36" t="s">
        <v>52</v>
      </c>
      <c r="Z344" s="76" t="s">
        <v>2107</v>
      </c>
      <c r="AA344" s="36" t="s">
        <v>2106</v>
      </c>
      <c r="AB344" s="47">
        <v>3805000</v>
      </c>
      <c r="AC344" s="41">
        <v>3702000</v>
      </c>
      <c r="AD344" s="3">
        <v>3455000</v>
      </c>
      <c r="AE344" s="16"/>
      <c r="AF344" s="16">
        <v>0</v>
      </c>
      <c r="AG344">
        <v>1250000</v>
      </c>
      <c r="AH344" s="11"/>
      <c r="AI344" s="16">
        <v>846777.45664739888</v>
      </c>
      <c r="AK344" s="16">
        <v>0</v>
      </c>
      <c r="AL344" s="11">
        <f t="shared" si="156"/>
        <v>5901777.4566473989</v>
      </c>
      <c r="AM344" s="16">
        <f t="shared" si="157"/>
        <v>379084.79999999999</v>
      </c>
      <c r="AN344" s="16">
        <f t="shared" si="158"/>
        <v>148080</v>
      </c>
      <c r="AO344" s="16">
        <f t="shared" si="148"/>
        <v>231004.79999999999</v>
      </c>
      <c r="AP344" s="16">
        <f t="shared" si="159"/>
        <v>140785</v>
      </c>
      <c r="AQ344" s="16">
        <f t="shared" si="160"/>
        <v>6280862.2566473987</v>
      </c>
      <c r="AR344" s="16">
        <f t="shared" si="151"/>
        <v>376851.73539884388</v>
      </c>
      <c r="AS344" s="16">
        <f t="shared" si="161"/>
        <v>41453.69089387283</v>
      </c>
      <c r="AT344" s="16">
        <f t="shared" si="162"/>
        <v>-7537.0347079768781</v>
      </c>
      <c r="AU344" s="16">
        <f t="shared" si="163"/>
        <v>6650176.9573382661</v>
      </c>
      <c r="AV344" s="16">
        <f t="shared" si="164"/>
        <v>6657713.9920462426</v>
      </c>
      <c r="AW344" s="16">
        <f t="shared" si="165"/>
        <v>148080</v>
      </c>
      <c r="AX344" s="16" t="s">
        <v>91</v>
      </c>
      <c r="AZ344" s="17">
        <f t="shared" si="173"/>
        <v>0</v>
      </c>
      <c r="BA344" s="16">
        <f t="shared" si="166"/>
        <v>5753697.4566473989</v>
      </c>
      <c r="BB344" s="16">
        <f t="shared" si="167"/>
        <v>5753697.4566473989</v>
      </c>
      <c r="BC344">
        <v>0.03</v>
      </c>
      <c r="BD344">
        <v>0.01</v>
      </c>
      <c r="BE344" s="37">
        <f t="shared" si="168"/>
        <v>342064.8</v>
      </c>
      <c r="BF344" s="38">
        <f t="shared" si="169"/>
        <v>211014</v>
      </c>
      <c r="BG344" s="37">
        <f t="shared" si="149"/>
        <v>172750</v>
      </c>
      <c r="BH344" s="37">
        <f t="shared" si="170"/>
        <v>185100</v>
      </c>
      <c r="BI344">
        <v>172750</v>
      </c>
      <c r="BL344" s="8">
        <f t="shared" si="171"/>
        <v>2096777.4566473989</v>
      </c>
      <c r="BM344" s="7" t="str">
        <f t="shared" si="152"/>
        <v>Terdaftar BPJS Kes &amp; Naker</v>
      </c>
      <c r="BN344" s="11">
        <f t="shared" si="153"/>
        <v>211014</v>
      </c>
      <c r="BO344" s="11">
        <f t="shared" si="154"/>
        <v>168070.80000000002</v>
      </c>
      <c r="BP344" s="9">
        <f t="shared" si="172"/>
        <v>0</v>
      </c>
      <c r="BQ344" t="s">
        <v>8</v>
      </c>
    </row>
    <row r="345" spans="1:69" x14ac:dyDescent="0.3">
      <c r="A345" s="2">
        <v>344</v>
      </c>
      <c r="B345" s="4" t="s">
        <v>2105</v>
      </c>
      <c r="C345" s="6" t="s">
        <v>241</v>
      </c>
      <c r="D345" s="6"/>
      <c r="E345" s="6" t="s">
        <v>73</v>
      </c>
      <c r="F345" s="6" t="s">
        <v>73</v>
      </c>
      <c r="G345" s="6" t="s">
        <v>73</v>
      </c>
      <c r="H345" s="6"/>
      <c r="I345" s="6"/>
      <c r="J345" s="6"/>
      <c r="K345" s="6">
        <v>800434</v>
      </c>
      <c r="L345" s="6"/>
      <c r="M345" s="6" t="s">
        <v>2104</v>
      </c>
      <c r="N345" s="46" t="s">
        <v>2103</v>
      </c>
      <c r="O345" s="6">
        <v>1312935164</v>
      </c>
      <c r="P345" s="78" t="s">
        <v>2102</v>
      </c>
      <c r="Q345" s="6">
        <v>10106</v>
      </c>
      <c r="R345" s="6">
        <v>27106</v>
      </c>
      <c r="S345" s="5" t="str">
        <f>VLOOKUP(T345,'[1]Kode Posisi'!$A$3:$B$45,2,)</f>
        <v>Outsourcing Cleaning Service</v>
      </c>
      <c r="T345" s="36" t="s">
        <v>47</v>
      </c>
      <c r="U345" s="44" t="s">
        <v>1167</v>
      </c>
      <c r="V345" s="44" t="s">
        <v>2101</v>
      </c>
      <c r="W345" s="36" t="s">
        <v>1045</v>
      </c>
      <c r="X345" s="36" t="s">
        <v>1044</v>
      </c>
      <c r="Y345" s="36" t="s">
        <v>63</v>
      </c>
      <c r="Z345" s="79" t="s">
        <v>2100</v>
      </c>
      <c r="AA345" s="36" t="s">
        <v>2099</v>
      </c>
      <c r="AB345" s="47">
        <v>3702000</v>
      </c>
      <c r="AC345" s="41">
        <v>3702000</v>
      </c>
      <c r="AD345" s="3">
        <v>3455000</v>
      </c>
      <c r="AE345" s="16">
        <f t="shared" ref="AE345:AE376" si="174">AB345-AD345</f>
        <v>247000</v>
      </c>
      <c r="AF345" s="16">
        <v>0</v>
      </c>
      <c r="AG345" s="17">
        <v>0</v>
      </c>
      <c r="AI345" s="16">
        <v>0</v>
      </c>
      <c r="AK345" s="16">
        <v>0</v>
      </c>
      <c r="AL345" s="11">
        <f t="shared" si="156"/>
        <v>3702000</v>
      </c>
      <c r="AM345" s="16">
        <f t="shared" si="157"/>
        <v>379084.79999999999</v>
      </c>
      <c r="AN345" s="16">
        <f t="shared" si="158"/>
        <v>148080</v>
      </c>
      <c r="AO345" s="16">
        <f t="shared" si="148"/>
        <v>231004.79999999999</v>
      </c>
      <c r="AP345" s="16">
        <f t="shared" si="159"/>
        <v>136974</v>
      </c>
      <c r="AQ345" s="16">
        <f t="shared" si="160"/>
        <v>4081084.8</v>
      </c>
      <c r="AR345" s="16">
        <f t="shared" si="151"/>
        <v>244865.08799999999</v>
      </c>
      <c r="AS345" s="16">
        <f t="shared" si="161"/>
        <v>26935.159680000001</v>
      </c>
      <c r="AT345" s="16">
        <f t="shared" si="162"/>
        <v>-4897.3017600000003</v>
      </c>
      <c r="AU345" s="16">
        <f t="shared" si="163"/>
        <v>4321052.5862400001</v>
      </c>
      <c r="AV345" s="16">
        <f t="shared" si="164"/>
        <v>4325949.8880000003</v>
      </c>
      <c r="AW345" s="16">
        <f t="shared" si="165"/>
        <v>148080</v>
      </c>
      <c r="AX345" s="16" t="s">
        <v>286</v>
      </c>
      <c r="AZ345" s="17">
        <f t="shared" si="173"/>
        <v>2900</v>
      </c>
      <c r="BA345" s="16">
        <f t="shared" si="166"/>
        <v>3553920</v>
      </c>
      <c r="BB345" s="16">
        <f t="shared" si="167"/>
        <v>3551020</v>
      </c>
      <c r="BC345">
        <v>0.03</v>
      </c>
      <c r="BD345">
        <v>0.01</v>
      </c>
      <c r="BE345" s="37">
        <f t="shared" si="168"/>
        <v>342064.8</v>
      </c>
      <c r="BF345" s="38">
        <f t="shared" si="169"/>
        <v>211014</v>
      </c>
      <c r="BG345" s="37">
        <f t="shared" si="149"/>
        <v>172750</v>
      </c>
      <c r="BH345" s="37">
        <f t="shared" si="170"/>
        <v>185100</v>
      </c>
      <c r="BI345">
        <v>172750</v>
      </c>
      <c r="BL345" s="8">
        <f t="shared" si="171"/>
        <v>0</v>
      </c>
      <c r="BM345" s="7" t="str">
        <f t="shared" si="152"/>
        <v>Terdaftar BPJS Kes &amp; Naker</v>
      </c>
      <c r="BN345" s="11">
        <f t="shared" si="153"/>
        <v>211014</v>
      </c>
      <c r="BO345" s="11">
        <f t="shared" si="154"/>
        <v>168070.80000000002</v>
      </c>
      <c r="BP345" s="9">
        <f t="shared" si="172"/>
        <v>0</v>
      </c>
      <c r="BQ345" t="str">
        <f>_xlfn.XLOOKUP(X345,'[2]NON TETAP'!$H:$H,'[2]NON TETAP'!$I:$I)</f>
        <v>GRAMEDIA ASRI MEDIA</v>
      </c>
    </row>
    <row r="346" spans="1:69" x14ac:dyDescent="0.3">
      <c r="A346" s="2">
        <v>345</v>
      </c>
      <c r="B346" s="4" t="s">
        <v>2098</v>
      </c>
      <c r="C346" s="6" t="s">
        <v>241</v>
      </c>
      <c r="D346" s="6"/>
      <c r="E346" s="6" t="s">
        <v>73</v>
      </c>
      <c r="F346" s="6" t="s">
        <v>73</v>
      </c>
      <c r="G346" s="6"/>
      <c r="H346" s="6"/>
      <c r="I346" s="6"/>
      <c r="J346" s="6"/>
      <c r="K346" s="6">
        <v>800435</v>
      </c>
      <c r="L346" s="6"/>
      <c r="M346" s="6" t="s">
        <v>2097</v>
      </c>
      <c r="N346" s="46" t="s">
        <v>2096</v>
      </c>
      <c r="O346" s="6">
        <v>1276756277</v>
      </c>
      <c r="P346" s="78" t="s">
        <v>2095</v>
      </c>
      <c r="Q346" s="6">
        <v>18104</v>
      </c>
      <c r="R346" s="6">
        <v>27190</v>
      </c>
      <c r="S346" s="5" t="str">
        <f>VLOOKUP(T346,'[1]Kode Posisi'!$A$3:$B$45,2,)</f>
        <v>Outsourcing Petugas Pemeliharaan Gedung</v>
      </c>
      <c r="T346" s="36" t="s">
        <v>247</v>
      </c>
      <c r="U346" s="44" t="s">
        <v>1167</v>
      </c>
      <c r="V346" s="44" t="s">
        <v>2094</v>
      </c>
      <c r="W346" s="36" t="s">
        <v>1045</v>
      </c>
      <c r="X346" s="36" t="s">
        <v>1165</v>
      </c>
      <c r="Y346" s="36" t="s">
        <v>52</v>
      </c>
      <c r="Z346" s="79">
        <v>3530657450</v>
      </c>
      <c r="AA346" s="36" t="s">
        <v>2093</v>
      </c>
      <c r="AB346" s="47">
        <v>3702000</v>
      </c>
      <c r="AC346" s="41">
        <v>3702000</v>
      </c>
      <c r="AD346" s="3">
        <v>3455000</v>
      </c>
      <c r="AE346" s="16">
        <f t="shared" si="174"/>
        <v>247000</v>
      </c>
      <c r="AF346" s="16">
        <v>0</v>
      </c>
      <c r="AG346" s="17">
        <v>0</v>
      </c>
      <c r="AH346" s="11"/>
      <c r="AI346" s="16">
        <v>549205.20231213875</v>
      </c>
      <c r="AK346" s="16">
        <v>0</v>
      </c>
      <c r="AL346" s="11">
        <f t="shared" si="156"/>
        <v>4251205.2023121389</v>
      </c>
      <c r="AM346" s="16">
        <f t="shared" si="157"/>
        <v>379084.79999999999</v>
      </c>
      <c r="AN346" s="16">
        <f t="shared" si="158"/>
        <v>148080</v>
      </c>
      <c r="AO346" s="16">
        <f t="shared" si="148"/>
        <v>231004.79999999999</v>
      </c>
      <c r="AP346" s="16">
        <f t="shared" si="159"/>
        <v>136974</v>
      </c>
      <c r="AQ346" s="16">
        <f t="shared" si="160"/>
        <v>4630290.0023121387</v>
      </c>
      <c r="AR346" s="16">
        <f t="shared" si="151"/>
        <v>277817.40013872832</v>
      </c>
      <c r="AS346" s="16">
        <f t="shared" si="161"/>
        <v>30559.914015260114</v>
      </c>
      <c r="AT346" s="16">
        <f t="shared" si="162"/>
        <v>-5556.3480027745663</v>
      </c>
      <c r="AU346" s="16">
        <f t="shared" si="163"/>
        <v>4902551.0544480924</v>
      </c>
      <c r="AV346" s="16">
        <f t="shared" si="164"/>
        <v>4908107.402450867</v>
      </c>
      <c r="AW346" s="16">
        <f t="shared" si="165"/>
        <v>148080</v>
      </c>
      <c r="AX346" s="16" t="s">
        <v>235</v>
      </c>
      <c r="AZ346" s="17">
        <f t="shared" si="173"/>
        <v>0</v>
      </c>
      <c r="BA346" s="16">
        <f t="shared" si="166"/>
        <v>4103125.2023121389</v>
      </c>
      <c r="BB346" s="16">
        <f t="shared" si="167"/>
        <v>4103125.2023121389</v>
      </c>
      <c r="BC346">
        <v>0.03</v>
      </c>
      <c r="BD346">
        <v>0.01</v>
      </c>
      <c r="BE346" s="37">
        <f t="shared" si="168"/>
        <v>342064.8</v>
      </c>
      <c r="BF346" s="38">
        <f t="shared" si="169"/>
        <v>211014</v>
      </c>
      <c r="BG346" s="37">
        <f t="shared" si="149"/>
        <v>172750</v>
      </c>
      <c r="BH346" s="37">
        <f t="shared" si="170"/>
        <v>185100</v>
      </c>
      <c r="BI346">
        <v>172750</v>
      </c>
      <c r="BL346" s="8">
        <f t="shared" si="171"/>
        <v>549205.20231213875</v>
      </c>
      <c r="BM346" s="7" t="str">
        <f t="shared" si="152"/>
        <v>Terdaftar BPJS Kes &amp; Naker</v>
      </c>
      <c r="BN346" s="11">
        <f t="shared" si="153"/>
        <v>211014</v>
      </c>
      <c r="BO346" s="11">
        <f t="shared" si="154"/>
        <v>168070.80000000002</v>
      </c>
      <c r="BP346" s="9">
        <f t="shared" si="172"/>
        <v>0</v>
      </c>
      <c r="BQ346" t="s">
        <v>8</v>
      </c>
    </row>
    <row r="347" spans="1:69" x14ac:dyDescent="0.3">
      <c r="A347" s="2">
        <v>346</v>
      </c>
      <c r="B347" s="4" t="s">
        <v>2092</v>
      </c>
      <c r="C347" s="6" t="s">
        <v>241</v>
      </c>
      <c r="D347" s="6"/>
      <c r="E347" s="6" t="s">
        <v>73</v>
      </c>
      <c r="F347" s="6" t="s">
        <v>73</v>
      </c>
      <c r="G347" s="6"/>
      <c r="H347" s="6"/>
      <c r="I347" s="6"/>
      <c r="J347" s="6"/>
      <c r="K347" s="6">
        <v>800437</v>
      </c>
      <c r="L347" s="6"/>
      <c r="M347" s="6" t="s">
        <v>2091</v>
      </c>
      <c r="N347" s="46" t="s">
        <v>2090</v>
      </c>
      <c r="O347" s="6">
        <v>76015023</v>
      </c>
      <c r="P347" s="78" t="s">
        <v>2089</v>
      </c>
      <c r="Q347" s="6">
        <v>18104</v>
      </c>
      <c r="R347" s="6">
        <v>27190</v>
      </c>
      <c r="S347" s="5" t="str">
        <f>VLOOKUP(T347,'[1]Kode Posisi'!$A$3:$B$45,2,)</f>
        <v>Outsourcing Petugas Pemeliharaan Gedung</v>
      </c>
      <c r="T347" s="36" t="s">
        <v>247</v>
      </c>
      <c r="U347" s="44" t="s">
        <v>1167</v>
      </c>
      <c r="V347" s="44" t="s">
        <v>2088</v>
      </c>
      <c r="W347" s="36" t="s">
        <v>1045</v>
      </c>
      <c r="X347" s="36" t="s">
        <v>1165</v>
      </c>
      <c r="Y347" s="36" t="s">
        <v>52</v>
      </c>
      <c r="Z347" s="79">
        <v>8360439373</v>
      </c>
      <c r="AA347" s="36" t="s">
        <v>2087</v>
      </c>
      <c r="AB347" s="47">
        <v>3702000</v>
      </c>
      <c r="AC347" s="41">
        <v>3702000</v>
      </c>
      <c r="AD347" s="3">
        <v>3455000</v>
      </c>
      <c r="AE347" s="16">
        <f t="shared" si="174"/>
        <v>247000</v>
      </c>
      <c r="AF347" s="16">
        <v>0</v>
      </c>
      <c r="AG347" s="17">
        <v>0</v>
      </c>
      <c r="AH347" s="11"/>
      <c r="AI347" s="16">
        <v>728945.08670520235</v>
      </c>
      <c r="AK347" s="16">
        <v>0</v>
      </c>
      <c r="AL347" s="11">
        <f t="shared" si="156"/>
        <v>4430945.0867052022</v>
      </c>
      <c r="AM347" s="16">
        <f t="shared" si="157"/>
        <v>379084.79999999999</v>
      </c>
      <c r="AN347" s="16">
        <f t="shared" si="158"/>
        <v>148080</v>
      </c>
      <c r="AO347" s="16">
        <f t="shared" si="148"/>
        <v>231004.79999999999</v>
      </c>
      <c r="AP347" s="16">
        <f t="shared" si="159"/>
        <v>136974</v>
      </c>
      <c r="AQ347" s="16">
        <f t="shared" si="160"/>
        <v>4810029.8867052021</v>
      </c>
      <c r="AR347" s="16">
        <f t="shared" si="151"/>
        <v>288601.79320231214</v>
      </c>
      <c r="AS347" s="16">
        <f t="shared" si="161"/>
        <v>31746.197252254336</v>
      </c>
      <c r="AT347" s="16">
        <f t="shared" si="162"/>
        <v>-5772.0358640462428</v>
      </c>
      <c r="AU347" s="16">
        <f t="shared" si="163"/>
        <v>5092859.6440434679</v>
      </c>
      <c r="AV347" s="16">
        <f t="shared" si="164"/>
        <v>5098631.6799075138</v>
      </c>
      <c r="AW347" s="16">
        <f t="shared" si="165"/>
        <v>148080</v>
      </c>
      <c r="AX347" s="16" t="s">
        <v>235</v>
      </c>
      <c r="AZ347" s="17">
        <f t="shared" si="173"/>
        <v>0</v>
      </c>
      <c r="BA347" s="16">
        <f t="shared" si="166"/>
        <v>4282865.0867052022</v>
      </c>
      <c r="BB347" s="16">
        <f t="shared" si="167"/>
        <v>4282865.0867052022</v>
      </c>
      <c r="BC347">
        <v>0.03</v>
      </c>
      <c r="BD347">
        <v>0.01</v>
      </c>
      <c r="BE347" s="37">
        <f t="shared" si="168"/>
        <v>342064.8</v>
      </c>
      <c r="BF347" s="38">
        <f t="shared" si="169"/>
        <v>211014</v>
      </c>
      <c r="BG347" s="37">
        <f t="shared" si="149"/>
        <v>172750</v>
      </c>
      <c r="BH347" s="37">
        <f t="shared" si="170"/>
        <v>185100</v>
      </c>
      <c r="BI347">
        <v>172750</v>
      </c>
      <c r="BL347" s="8">
        <f t="shared" si="171"/>
        <v>728945.08670520235</v>
      </c>
      <c r="BM347" s="7" t="str">
        <f t="shared" si="152"/>
        <v>Terdaftar BPJS Kes &amp; Naker</v>
      </c>
      <c r="BN347" s="11">
        <f t="shared" si="153"/>
        <v>211014</v>
      </c>
      <c r="BO347" s="11">
        <f t="shared" si="154"/>
        <v>168070.80000000002</v>
      </c>
      <c r="BP347" s="9">
        <f t="shared" si="172"/>
        <v>0</v>
      </c>
      <c r="BQ347" t="s">
        <v>8</v>
      </c>
    </row>
    <row r="348" spans="1:69" x14ac:dyDescent="0.3">
      <c r="A348" s="2">
        <v>347</v>
      </c>
      <c r="B348" s="4" t="s">
        <v>2086</v>
      </c>
      <c r="C348" s="6" t="s">
        <v>241</v>
      </c>
      <c r="D348" s="6"/>
      <c r="E348" s="6" t="s">
        <v>73</v>
      </c>
      <c r="F348" s="6" t="s">
        <v>73</v>
      </c>
      <c r="G348" s="6" t="s">
        <v>73</v>
      </c>
      <c r="H348" s="6"/>
      <c r="I348" s="6" t="s">
        <v>2085</v>
      </c>
      <c r="J348" s="6"/>
      <c r="K348" s="6">
        <v>800438</v>
      </c>
      <c r="L348" s="6"/>
      <c r="M348" s="6" t="s">
        <v>2084</v>
      </c>
      <c r="N348" s="46" t="s">
        <v>2083</v>
      </c>
      <c r="O348" s="6">
        <v>1138326895</v>
      </c>
      <c r="P348" s="78" t="s">
        <v>2082</v>
      </c>
      <c r="Q348" s="6">
        <v>10110</v>
      </c>
      <c r="R348" s="6">
        <v>27110</v>
      </c>
      <c r="S348" s="5" t="str">
        <f>VLOOKUP(T348,'[1]Kode Posisi'!$A$3:$B$45,2,)</f>
        <v>Outsourcing Cleaning Service</v>
      </c>
      <c r="T348" s="36" t="s">
        <v>1530</v>
      </c>
      <c r="U348" s="44" t="s">
        <v>1167</v>
      </c>
      <c r="V348" s="44" t="s">
        <v>2081</v>
      </c>
      <c r="W348" s="36" t="s">
        <v>2080</v>
      </c>
      <c r="X348" s="36" t="s">
        <v>2080</v>
      </c>
      <c r="Y348" s="36" t="s">
        <v>63</v>
      </c>
      <c r="Z348" s="79" t="s">
        <v>2079</v>
      </c>
      <c r="AA348" s="36" t="s">
        <v>2078</v>
      </c>
      <c r="AB348" s="47">
        <v>3702000</v>
      </c>
      <c r="AC348" s="41">
        <v>3702000</v>
      </c>
      <c r="AD348" s="3">
        <v>3455000</v>
      </c>
      <c r="AE348" s="16">
        <f t="shared" si="174"/>
        <v>247000</v>
      </c>
      <c r="AF348" s="16">
        <v>0</v>
      </c>
      <c r="AG348">
        <v>200000</v>
      </c>
      <c r="AI348" s="16">
        <v>0</v>
      </c>
      <c r="AK348" s="16">
        <v>0</v>
      </c>
      <c r="AL348" s="11">
        <f t="shared" si="156"/>
        <v>3902000</v>
      </c>
      <c r="AM348" s="16">
        <f t="shared" si="157"/>
        <v>379084.79999999999</v>
      </c>
      <c r="AN348" s="16">
        <f t="shared" si="158"/>
        <v>148080</v>
      </c>
      <c r="AO348" s="16">
        <f t="shared" si="148"/>
        <v>231004.79999999999</v>
      </c>
      <c r="AP348" s="16">
        <f t="shared" si="159"/>
        <v>136974</v>
      </c>
      <c r="AQ348" s="16">
        <f t="shared" si="160"/>
        <v>4281084.8</v>
      </c>
      <c r="AR348" s="16">
        <f t="shared" si="151"/>
        <v>256865.08799999999</v>
      </c>
      <c r="AS348" s="16">
        <f t="shared" si="161"/>
        <v>28255.159680000001</v>
      </c>
      <c r="AT348" s="16">
        <f t="shared" si="162"/>
        <v>-5137.3017600000003</v>
      </c>
      <c r="AU348" s="16">
        <f t="shared" si="163"/>
        <v>4532812.5862400001</v>
      </c>
      <c r="AV348" s="16">
        <f t="shared" si="164"/>
        <v>4537949.8880000003</v>
      </c>
      <c r="AW348" s="16">
        <f t="shared" si="165"/>
        <v>148080</v>
      </c>
      <c r="AX348" s="16" t="s">
        <v>91</v>
      </c>
      <c r="AZ348" s="17">
        <f t="shared" si="173"/>
        <v>2900</v>
      </c>
      <c r="BA348" s="16">
        <f t="shared" si="166"/>
        <v>3753920</v>
      </c>
      <c r="BB348" s="16">
        <f t="shared" si="167"/>
        <v>3751020</v>
      </c>
      <c r="BC348">
        <v>0.03</v>
      </c>
      <c r="BD348">
        <v>0.01</v>
      </c>
      <c r="BE348" s="37">
        <f t="shared" si="168"/>
        <v>342064.8</v>
      </c>
      <c r="BF348" s="38">
        <f t="shared" si="169"/>
        <v>211014</v>
      </c>
      <c r="BG348" s="37">
        <f t="shared" si="149"/>
        <v>172750</v>
      </c>
      <c r="BH348" s="37">
        <f t="shared" si="170"/>
        <v>185100</v>
      </c>
      <c r="BI348">
        <v>172750</v>
      </c>
      <c r="BL348" s="8">
        <f t="shared" si="171"/>
        <v>200000</v>
      </c>
      <c r="BM348" s="7" t="str">
        <f t="shared" si="152"/>
        <v>Terdaftar BPJS Kes &amp; Naker</v>
      </c>
      <c r="BN348" s="11">
        <f t="shared" si="153"/>
        <v>211014</v>
      </c>
      <c r="BO348" s="11">
        <f t="shared" si="154"/>
        <v>168070.80000000002</v>
      </c>
      <c r="BP348" s="9">
        <f t="shared" si="172"/>
        <v>0</v>
      </c>
      <c r="BQ348" t="str">
        <f>_xlfn.XLOOKUP(X348,'[2]NON TETAP'!$H:$H,'[2]NON TETAP'!$I:$I)</f>
        <v>GRAMEDIA ASRI MEDIA</v>
      </c>
    </row>
    <row r="349" spans="1:69" x14ac:dyDescent="0.3">
      <c r="A349" s="2">
        <v>348</v>
      </c>
      <c r="B349" s="4" t="s">
        <v>2077</v>
      </c>
      <c r="C349" s="6" t="s">
        <v>241</v>
      </c>
      <c r="D349" s="6"/>
      <c r="E349" s="6" t="s">
        <v>73</v>
      </c>
      <c r="F349" s="6" t="s">
        <v>73</v>
      </c>
      <c r="G349" s="6" t="s">
        <v>73</v>
      </c>
      <c r="H349" s="6"/>
      <c r="I349" s="6"/>
      <c r="J349" s="6"/>
      <c r="K349" s="6">
        <v>800439</v>
      </c>
      <c r="L349" s="6"/>
      <c r="M349" s="6" t="s">
        <v>2076</v>
      </c>
      <c r="N349" s="46" t="s">
        <v>2075</v>
      </c>
      <c r="O349" s="6">
        <v>642816189</v>
      </c>
      <c r="P349" s="78" t="s">
        <v>2074</v>
      </c>
      <c r="Q349" s="6">
        <v>10106</v>
      </c>
      <c r="R349" s="6">
        <v>27106</v>
      </c>
      <c r="S349" s="5" t="str">
        <f>VLOOKUP(T349,'[1]Kode Posisi'!$A$3:$B$45,2,)</f>
        <v>Outsourcing Cleaning Service</v>
      </c>
      <c r="T349" s="36" t="s">
        <v>47</v>
      </c>
      <c r="U349" s="44" t="s">
        <v>1167</v>
      </c>
      <c r="V349" s="44" t="s">
        <v>2073</v>
      </c>
      <c r="W349" s="36" t="s">
        <v>1045</v>
      </c>
      <c r="X349" s="36" t="s">
        <v>1044</v>
      </c>
      <c r="Y349" s="36" t="s">
        <v>63</v>
      </c>
      <c r="Z349" s="79" t="s">
        <v>2072</v>
      </c>
      <c r="AA349" s="36" t="s">
        <v>2071</v>
      </c>
      <c r="AB349" s="47">
        <v>3702000</v>
      </c>
      <c r="AC349" s="41">
        <v>3702000</v>
      </c>
      <c r="AD349" s="3">
        <v>3455000</v>
      </c>
      <c r="AE349" s="16">
        <f t="shared" si="174"/>
        <v>247000</v>
      </c>
      <c r="AF349" s="16">
        <v>0</v>
      </c>
      <c r="AG349" s="17">
        <v>0</v>
      </c>
      <c r="AI349" s="16">
        <v>0</v>
      </c>
      <c r="AK349" s="16">
        <v>0</v>
      </c>
      <c r="AL349" s="11">
        <f t="shared" si="156"/>
        <v>3702000</v>
      </c>
      <c r="AM349" s="16">
        <f t="shared" si="157"/>
        <v>379084.79999999999</v>
      </c>
      <c r="AN349" s="16">
        <f t="shared" si="158"/>
        <v>148080</v>
      </c>
      <c r="AO349" s="16">
        <f t="shared" si="148"/>
        <v>231004.79999999999</v>
      </c>
      <c r="AP349" s="16">
        <f t="shared" si="159"/>
        <v>136974</v>
      </c>
      <c r="AQ349" s="16">
        <f t="shared" si="160"/>
        <v>4081084.8</v>
      </c>
      <c r="AR349" s="16">
        <f t="shared" si="151"/>
        <v>244865.08799999999</v>
      </c>
      <c r="AS349" s="16">
        <f t="shared" si="161"/>
        <v>26935.159680000001</v>
      </c>
      <c r="AT349" s="16">
        <f t="shared" si="162"/>
        <v>-4897.3017600000003</v>
      </c>
      <c r="AU349" s="16">
        <f t="shared" si="163"/>
        <v>4321052.5862400001</v>
      </c>
      <c r="AV349" s="16">
        <f t="shared" si="164"/>
        <v>4325949.8880000003</v>
      </c>
      <c r="AW349" s="16">
        <f t="shared" si="165"/>
        <v>148080</v>
      </c>
      <c r="AX349" s="16" t="s">
        <v>91</v>
      </c>
      <c r="AZ349" s="17">
        <f t="shared" si="173"/>
        <v>2900</v>
      </c>
      <c r="BA349" s="16">
        <f t="shared" si="166"/>
        <v>3553920</v>
      </c>
      <c r="BB349" s="16">
        <f t="shared" si="167"/>
        <v>3551020</v>
      </c>
      <c r="BC349">
        <v>0.03</v>
      </c>
      <c r="BD349">
        <v>0.01</v>
      </c>
      <c r="BE349" s="37">
        <f t="shared" si="168"/>
        <v>342064.8</v>
      </c>
      <c r="BF349" s="38">
        <f t="shared" si="169"/>
        <v>211014</v>
      </c>
      <c r="BG349" s="37">
        <f t="shared" si="149"/>
        <v>172750</v>
      </c>
      <c r="BH349" s="37">
        <f t="shared" si="170"/>
        <v>185100</v>
      </c>
      <c r="BI349">
        <v>172750</v>
      </c>
      <c r="BL349" s="8">
        <f t="shared" si="171"/>
        <v>0</v>
      </c>
      <c r="BM349" s="7" t="str">
        <f t="shared" si="152"/>
        <v>Terdaftar BPJS Kes &amp; Naker</v>
      </c>
      <c r="BN349" s="11">
        <f t="shared" si="153"/>
        <v>211014</v>
      </c>
      <c r="BO349" s="11">
        <f t="shared" si="154"/>
        <v>168070.80000000002</v>
      </c>
      <c r="BP349" s="9">
        <f t="shared" si="172"/>
        <v>0</v>
      </c>
      <c r="BQ349" t="str">
        <f>_xlfn.XLOOKUP(X349,'[2]NON TETAP'!$H:$H,'[2]NON TETAP'!$I:$I)</f>
        <v>GRAMEDIA ASRI MEDIA</v>
      </c>
    </row>
    <row r="350" spans="1:69" x14ac:dyDescent="0.3">
      <c r="A350" s="2">
        <v>349</v>
      </c>
      <c r="B350" s="4" t="s">
        <v>2070</v>
      </c>
      <c r="C350" s="6" t="s">
        <v>241</v>
      </c>
      <c r="D350" s="6"/>
      <c r="E350" s="6" t="s">
        <v>73</v>
      </c>
      <c r="F350" s="6" t="s">
        <v>73</v>
      </c>
      <c r="G350" s="6" t="s">
        <v>73</v>
      </c>
      <c r="H350" s="6"/>
      <c r="I350" s="6" t="s">
        <v>2069</v>
      </c>
      <c r="J350" s="6"/>
      <c r="K350" s="6">
        <v>800441</v>
      </c>
      <c r="L350" s="6"/>
      <c r="M350" s="6" t="s">
        <v>2068</v>
      </c>
      <c r="N350" s="46" t="s">
        <v>2067</v>
      </c>
      <c r="O350" s="6">
        <v>1137624164</v>
      </c>
      <c r="P350" s="78" t="s">
        <v>2066</v>
      </c>
      <c r="Q350" s="6">
        <v>10151</v>
      </c>
      <c r="R350" s="6">
        <v>27151</v>
      </c>
      <c r="S350" s="5" t="str">
        <f>VLOOKUP(T350,'[1]Kode Posisi'!$A$3:$B$45,2,)</f>
        <v>Outsourcing Cleaning Service</v>
      </c>
      <c r="T350" s="36" t="s">
        <v>47</v>
      </c>
      <c r="U350" s="44" t="s">
        <v>1167</v>
      </c>
      <c r="V350" s="44" t="s">
        <v>2065</v>
      </c>
      <c r="W350" s="36" t="s">
        <v>2064</v>
      </c>
      <c r="X350" s="36" t="s">
        <v>2064</v>
      </c>
      <c r="Y350" s="36" t="s">
        <v>63</v>
      </c>
      <c r="Z350" s="79" t="s">
        <v>2063</v>
      </c>
      <c r="AA350" s="36" t="s">
        <v>2062</v>
      </c>
      <c r="AB350" s="47">
        <v>3702000</v>
      </c>
      <c r="AC350" s="41">
        <v>3702000</v>
      </c>
      <c r="AD350" s="3">
        <v>3455000</v>
      </c>
      <c r="AE350" s="16">
        <f t="shared" si="174"/>
        <v>247000</v>
      </c>
      <c r="AF350" s="16">
        <v>0</v>
      </c>
      <c r="AG350" s="17">
        <v>0</v>
      </c>
      <c r="AI350" s="16">
        <v>0</v>
      </c>
      <c r="AK350" s="16">
        <v>0</v>
      </c>
      <c r="AL350" s="11">
        <f t="shared" si="156"/>
        <v>3702000</v>
      </c>
      <c r="AM350" s="16">
        <f t="shared" si="157"/>
        <v>379084.79999999999</v>
      </c>
      <c r="AN350" s="16">
        <f t="shared" si="158"/>
        <v>148080</v>
      </c>
      <c r="AO350" s="16">
        <f t="shared" si="148"/>
        <v>231004.79999999999</v>
      </c>
      <c r="AP350" s="16">
        <f t="shared" si="159"/>
        <v>136974</v>
      </c>
      <c r="AQ350" s="16">
        <f t="shared" si="160"/>
        <v>4081084.8</v>
      </c>
      <c r="AR350" s="16">
        <f t="shared" si="151"/>
        <v>244865.08799999999</v>
      </c>
      <c r="AS350" s="16">
        <f t="shared" si="161"/>
        <v>26935.159680000001</v>
      </c>
      <c r="AT350" s="16">
        <f t="shared" si="162"/>
        <v>-4897.3017600000003</v>
      </c>
      <c r="AU350" s="16">
        <f t="shared" si="163"/>
        <v>4321052.5862400001</v>
      </c>
      <c r="AV350" s="16">
        <f t="shared" si="164"/>
        <v>4325949.8880000003</v>
      </c>
      <c r="AW350" s="16">
        <f t="shared" si="165"/>
        <v>148080</v>
      </c>
      <c r="AX350" s="16" t="s">
        <v>286</v>
      </c>
      <c r="AZ350" s="17">
        <f t="shared" si="173"/>
        <v>2900</v>
      </c>
      <c r="BA350" s="16">
        <f t="shared" si="166"/>
        <v>3553920</v>
      </c>
      <c r="BB350" s="16">
        <f t="shared" si="167"/>
        <v>3551020</v>
      </c>
      <c r="BC350">
        <v>0.03</v>
      </c>
      <c r="BD350">
        <v>0.01</v>
      </c>
      <c r="BE350" s="37">
        <f t="shared" si="168"/>
        <v>342064.8</v>
      </c>
      <c r="BF350" s="38">
        <f t="shared" si="169"/>
        <v>211014</v>
      </c>
      <c r="BG350" s="37">
        <f t="shared" si="149"/>
        <v>172750</v>
      </c>
      <c r="BH350" s="37">
        <f t="shared" si="170"/>
        <v>185100</v>
      </c>
      <c r="BI350">
        <v>172750</v>
      </c>
      <c r="BL350" s="8">
        <f t="shared" si="171"/>
        <v>0</v>
      </c>
      <c r="BM350" s="7" t="str">
        <f t="shared" si="152"/>
        <v>Terdaftar BPJS Kes &amp; Naker</v>
      </c>
      <c r="BN350" s="11">
        <f t="shared" si="153"/>
        <v>211014</v>
      </c>
      <c r="BO350" s="11">
        <f t="shared" si="154"/>
        <v>168070.80000000002</v>
      </c>
      <c r="BP350" s="9">
        <f t="shared" si="172"/>
        <v>0</v>
      </c>
      <c r="BQ350" t="s">
        <v>8</v>
      </c>
    </row>
    <row r="351" spans="1:69" x14ac:dyDescent="0.3">
      <c r="A351" s="2">
        <v>350</v>
      </c>
      <c r="B351" s="4" t="s">
        <v>2056</v>
      </c>
      <c r="C351" s="6" t="s">
        <v>241</v>
      </c>
      <c r="D351" s="6"/>
      <c r="E351" s="6" t="s">
        <v>73</v>
      </c>
      <c r="F351" s="6" t="s">
        <v>73</v>
      </c>
      <c r="G351" s="6" t="s">
        <v>73</v>
      </c>
      <c r="H351" s="6"/>
      <c r="I351" s="6"/>
      <c r="J351" s="6"/>
      <c r="K351" s="6">
        <v>800442</v>
      </c>
      <c r="L351" s="6"/>
      <c r="M351" s="6" t="s">
        <v>2061</v>
      </c>
      <c r="N351" s="46" t="s">
        <v>2060</v>
      </c>
      <c r="O351" s="6">
        <v>1141193889</v>
      </c>
      <c r="P351" s="78" t="s">
        <v>2059</v>
      </c>
      <c r="Q351" s="6">
        <v>10153</v>
      </c>
      <c r="R351" s="6">
        <v>27153</v>
      </c>
      <c r="S351" s="5" t="str">
        <f>VLOOKUP(T351,'[1]Kode Posisi'!$A$3:$B$45,2,)</f>
        <v>Outsourcing Cleaning Service</v>
      </c>
      <c r="T351" s="36" t="s">
        <v>1530</v>
      </c>
      <c r="U351" s="44" t="s">
        <v>2030</v>
      </c>
      <c r="V351" s="44" t="s">
        <v>2058</v>
      </c>
      <c r="W351" s="49" t="s">
        <v>1037</v>
      </c>
      <c r="X351" s="49" t="s">
        <v>191</v>
      </c>
      <c r="Y351" s="36" t="s">
        <v>52</v>
      </c>
      <c r="Z351" s="79" t="s">
        <v>2057</v>
      </c>
      <c r="AA351" s="36" t="s">
        <v>2056</v>
      </c>
      <c r="AB351" s="47">
        <v>2570000</v>
      </c>
      <c r="AC351" s="41">
        <v>2570000</v>
      </c>
      <c r="AD351" s="3">
        <v>2417000</v>
      </c>
      <c r="AE351" s="16">
        <f t="shared" si="174"/>
        <v>153000</v>
      </c>
      <c r="AF351" s="16">
        <v>0</v>
      </c>
      <c r="AG351">
        <v>175000</v>
      </c>
      <c r="AI351" s="16">
        <v>0</v>
      </c>
      <c r="AK351" s="16">
        <v>0</v>
      </c>
      <c r="AL351" s="11">
        <f t="shared" si="156"/>
        <v>2745000</v>
      </c>
      <c r="AM351" s="16">
        <f t="shared" si="157"/>
        <v>263168</v>
      </c>
      <c r="AN351" s="16">
        <f t="shared" si="158"/>
        <v>102800</v>
      </c>
      <c r="AO351" s="16">
        <f t="shared" si="148"/>
        <v>160368</v>
      </c>
      <c r="AP351" s="16">
        <f t="shared" si="159"/>
        <v>95090</v>
      </c>
      <c r="AQ351" s="16">
        <f t="shared" si="160"/>
        <v>3008168</v>
      </c>
      <c r="AR351" s="16">
        <f t="shared" si="151"/>
        <v>180490.08</v>
      </c>
      <c r="AS351" s="16">
        <f t="shared" si="161"/>
        <v>19853.908799999997</v>
      </c>
      <c r="AT351" s="16">
        <f t="shared" si="162"/>
        <v>-3609.8015999999998</v>
      </c>
      <c r="AU351" s="16">
        <f t="shared" si="163"/>
        <v>3185048.2784000002</v>
      </c>
      <c r="AV351" s="16">
        <f t="shared" si="164"/>
        <v>3188658.08</v>
      </c>
      <c r="AW351" s="16">
        <f t="shared" si="165"/>
        <v>102800</v>
      </c>
      <c r="AX351" s="16" t="s">
        <v>286</v>
      </c>
      <c r="AZ351" s="17">
        <f t="shared" si="173"/>
        <v>0</v>
      </c>
      <c r="BA351" s="16">
        <f t="shared" si="166"/>
        <v>2642200</v>
      </c>
      <c r="BB351" s="16">
        <f t="shared" si="167"/>
        <v>2642200</v>
      </c>
      <c r="BC351">
        <v>0.03</v>
      </c>
      <c r="BD351">
        <v>0.01</v>
      </c>
      <c r="BE351" s="37">
        <f t="shared" si="168"/>
        <v>237468</v>
      </c>
      <c r="BF351" s="38">
        <f t="shared" si="169"/>
        <v>146490</v>
      </c>
      <c r="BG351" s="37">
        <f t="shared" si="149"/>
        <v>120850</v>
      </c>
      <c r="BH351" s="37">
        <f t="shared" si="170"/>
        <v>128500</v>
      </c>
      <c r="BI351">
        <v>120850</v>
      </c>
      <c r="BL351" s="8">
        <f t="shared" si="171"/>
        <v>175000</v>
      </c>
      <c r="BM351" s="7" t="str">
        <f t="shared" si="152"/>
        <v>Terdaftar BPJS Kes &amp; Naker</v>
      </c>
      <c r="BN351" s="11">
        <f t="shared" si="153"/>
        <v>146490</v>
      </c>
      <c r="BO351" s="11">
        <f t="shared" si="154"/>
        <v>116678.00000000001</v>
      </c>
      <c r="BP351" s="9">
        <f t="shared" si="172"/>
        <v>0</v>
      </c>
      <c r="BQ351" t="str">
        <f>_xlfn.XLOOKUP(X351,'[2]NON TETAP'!$H:$H,'[2]NON TETAP'!$I:$I)</f>
        <v>GRAMEDIA ASRI MEDIA</v>
      </c>
    </row>
    <row r="352" spans="1:69" x14ac:dyDescent="0.3">
      <c r="A352" s="2">
        <v>351</v>
      </c>
      <c r="B352" s="4" t="s">
        <v>2055</v>
      </c>
      <c r="C352" s="6" t="s">
        <v>241</v>
      </c>
      <c r="D352" s="6"/>
      <c r="E352" s="6" t="s">
        <v>73</v>
      </c>
      <c r="F352" s="6" t="s">
        <v>73</v>
      </c>
      <c r="G352" s="6" t="s">
        <v>73</v>
      </c>
      <c r="H352" s="6"/>
      <c r="I352" s="6"/>
      <c r="J352" s="6"/>
      <c r="K352" s="6">
        <v>800443</v>
      </c>
      <c r="L352" s="6"/>
      <c r="M352" s="6" t="s">
        <v>2054</v>
      </c>
      <c r="N352" s="46" t="s">
        <v>2053</v>
      </c>
      <c r="O352" s="6">
        <v>2165293596</v>
      </c>
      <c r="P352" s="78" t="s">
        <v>2052</v>
      </c>
      <c r="Q352" s="6">
        <v>10153</v>
      </c>
      <c r="R352" s="6">
        <v>27153</v>
      </c>
      <c r="S352" s="5" t="str">
        <f>VLOOKUP(T352,'[1]Kode Posisi'!$A$3:$B$45,2,)</f>
        <v>Outsourcing Cleaning Service</v>
      </c>
      <c r="T352" s="36" t="s">
        <v>47</v>
      </c>
      <c r="U352" s="44" t="s">
        <v>2030</v>
      </c>
      <c r="V352" s="44" t="s">
        <v>2051</v>
      </c>
      <c r="W352" s="49" t="s">
        <v>1037</v>
      </c>
      <c r="X352" s="49" t="s">
        <v>191</v>
      </c>
      <c r="Y352" s="36" t="s">
        <v>52</v>
      </c>
      <c r="Z352" s="79">
        <v>7735307843</v>
      </c>
      <c r="AA352" s="36" t="s">
        <v>2050</v>
      </c>
      <c r="AB352" s="47">
        <v>2570000</v>
      </c>
      <c r="AC352" s="41">
        <v>2570000</v>
      </c>
      <c r="AD352" s="3">
        <v>2417000</v>
      </c>
      <c r="AE352" s="16">
        <f t="shared" si="174"/>
        <v>153000</v>
      </c>
      <c r="AF352" s="16">
        <v>0</v>
      </c>
      <c r="AG352" s="17">
        <v>0</v>
      </c>
      <c r="AI352" s="16">
        <v>0</v>
      </c>
      <c r="AK352" s="16">
        <v>0</v>
      </c>
      <c r="AL352" s="11">
        <f t="shared" si="156"/>
        <v>2570000</v>
      </c>
      <c r="AM352" s="16">
        <f t="shared" si="157"/>
        <v>263168</v>
      </c>
      <c r="AN352" s="16">
        <f t="shared" si="158"/>
        <v>102800</v>
      </c>
      <c r="AO352" s="16">
        <f t="shared" si="148"/>
        <v>160368</v>
      </c>
      <c r="AP352" s="16">
        <f t="shared" si="159"/>
        <v>95090</v>
      </c>
      <c r="AQ352" s="16">
        <f t="shared" si="160"/>
        <v>2833168</v>
      </c>
      <c r="AR352" s="16">
        <f t="shared" si="151"/>
        <v>169990.08</v>
      </c>
      <c r="AS352" s="16">
        <f t="shared" si="161"/>
        <v>18698.908799999997</v>
      </c>
      <c r="AT352" s="16">
        <f t="shared" si="162"/>
        <v>-3399.8015999999998</v>
      </c>
      <c r="AU352" s="16">
        <f t="shared" si="163"/>
        <v>2999758.2784000002</v>
      </c>
      <c r="AV352" s="16">
        <f t="shared" si="164"/>
        <v>3003158.08</v>
      </c>
      <c r="AW352" s="16">
        <f t="shared" si="165"/>
        <v>102800</v>
      </c>
      <c r="AX352" s="16" t="s">
        <v>286</v>
      </c>
      <c r="AZ352" s="17">
        <f t="shared" si="173"/>
        <v>0</v>
      </c>
      <c r="BA352" s="16">
        <f t="shared" si="166"/>
        <v>2467200</v>
      </c>
      <c r="BB352" s="16">
        <f t="shared" si="167"/>
        <v>2467200</v>
      </c>
      <c r="BC352">
        <v>0.03</v>
      </c>
      <c r="BD352">
        <v>0.01</v>
      </c>
      <c r="BE352" s="37">
        <f t="shared" si="168"/>
        <v>237468</v>
      </c>
      <c r="BF352" s="38">
        <f t="shared" si="169"/>
        <v>146490</v>
      </c>
      <c r="BG352" s="37">
        <f t="shared" si="149"/>
        <v>120850</v>
      </c>
      <c r="BH352" s="37">
        <f t="shared" si="170"/>
        <v>128500</v>
      </c>
      <c r="BI352">
        <v>120850</v>
      </c>
      <c r="BL352" s="8">
        <f t="shared" si="171"/>
        <v>0</v>
      </c>
      <c r="BM352" s="7" t="str">
        <f t="shared" si="152"/>
        <v>Terdaftar BPJS Kes &amp; Naker</v>
      </c>
      <c r="BN352" s="11">
        <f t="shared" si="153"/>
        <v>146490</v>
      </c>
      <c r="BO352" s="11">
        <f t="shared" si="154"/>
        <v>116678.00000000001</v>
      </c>
      <c r="BP352" s="9">
        <f t="shared" si="172"/>
        <v>0</v>
      </c>
      <c r="BQ352" t="str">
        <f>_xlfn.XLOOKUP(X352,'[2]NON TETAP'!$H:$H,'[2]NON TETAP'!$I:$I)</f>
        <v>GRAMEDIA ASRI MEDIA</v>
      </c>
    </row>
    <row r="353" spans="1:69" x14ac:dyDescent="0.3">
      <c r="A353" s="2">
        <v>352</v>
      </c>
      <c r="B353" s="4" t="s">
        <v>2044</v>
      </c>
      <c r="C353" s="6" t="s">
        <v>241</v>
      </c>
      <c r="D353" s="6"/>
      <c r="E353" s="6" t="s">
        <v>73</v>
      </c>
      <c r="F353" s="6" t="s">
        <v>73</v>
      </c>
      <c r="G353" s="6" t="s">
        <v>73</v>
      </c>
      <c r="H353" s="6"/>
      <c r="I353" s="6"/>
      <c r="J353" s="6"/>
      <c r="K353" s="6">
        <v>800444</v>
      </c>
      <c r="L353" s="6"/>
      <c r="M353" s="6" t="s">
        <v>2049</v>
      </c>
      <c r="N353" s="46" t="s">
        <v>2048</v>
      </c>
      <c r="O353" s="6">
        <v>2505118588</v>
      </c>
      <c r="P353" s="78" t="s">
        <v>2047</v>
      </c>
      <c r="Q353" s="6">
        <v>10153</v>
      </c>
      <c r="R353" s="6">
        <v>27153</v>
      </c>
      <c r="S353" s="5" t="str">
        <f>VLOOKUP(T353,'[1]Kode Posisi'!$A$3:$B$45,2,)</f>
        <v>Outsourcing Cleaning Service</v>
      </c>
      <c r="T353" s="36" t="s">
        <v>47</v>
      </c>
      <c r="U353" s="44" t="s">
        <v>2030</v>
      </c>
      <c r="V353" s="44" t="s">
        <v>2046</v>
      </c>
      <c r="W353" s="49" t="s">
        <v>1037</v>
      </c>
      <c r="X353" s="49" t="s">
        <v>191</v>
      </c>
      <c r="Y353" s="36" t="s">
        <v>52</v>
      </c>
      <c r="Z353" s="79" t="s">
        <v>2045</v>
      </c>
      <c r="AA353" s="36" t="s">
        <v>2044</v>
      </c>
      <c r="AB353" s="47">
        <v>2570000</v>
      </c>
      <c r="AC353" s="41">
        <v>2570000</v>
      </c>
      <c r="AD353" s="3">
        <v>2417000</v>
      </c>
      <c r="AE353" s="16">
        <f t="shared" si="174"/>
        <v>153000</v>
      </c>
      <c r="AF353" s="16">
        <v>0</v>
      </c>
      <c r="AG353" s="17">
        <v>0</v>
      </c>
      <c r="AI353" s="16">
        <v>181624.2774566474</v>
      </c>
      <c r="AK353" s="16">
        <v>0</v>
      </c>
      <c r="AL353" s="11">
        <f t="shared" si="156"/>
        <v>2751624.2774566473</v>
      </c>
      <c r="AM353" s="16">
        <f t="shared" si="157"/>
        <v>263168</v>
      </c>
      <c r="AN353" s="16">
        <f t="shared" si="158"/>
        <v>102800</v>
      </c>
      <c r="AO353" s="16">
        <f t="shared" si="148"/>
        <v>160368</v>
      </c>
      <c r="AP353" s="16">
        <f t="shared" si="159"/>
        <v>95090</v>
      </c>
      <c r="AQ353" s="16">
        <f t="shared" si="160"/>
        <v>3014792.2774566473</v>
      </c>
      <c r="AR353" s="16">
        <f t="shared" si="151"/>
        <v>180887.53664739884</v>
      </c>
      <c r="AS353" s="16">
        <f t="shared" si="161"/>
        <v>19897.629031213874</v>
      </c>
      <c r="AT353" s="16">
        <f t="shared" si="162"/>
        <v>-3617.7507329479768</v>
      </c>
      <c r="AU353" s="16">
        <f t="shared" si="163"/>
        <v>3192062.0633710981</v>
      </c>
      <c r="AV353" s="16">
        <f t="shared" si="164"/>
        <v>3195679.8141040462</v>
      </c>
      <c r="AW353" s="16">
        <f t="shared" si="165"/>
        <v>102800</v>
      </c>
      <c r="AX353" s="16" t="s">
        <v>235</v>
      </c>
      <c r="AZ353" s="17">
        <f t="shared" si="173"/>
        <v>0</v>
      </c>
      <c r="BA353" s="16">
        <f t="shared" si="166"/>
        <v>2648824.2774566473</v>
      </c>
      <c r="BB353" s="16">
        <f t="shared" si="167"/>
        <v>2648824.2774566473</v>
      </c>
      <c r="BC353">
        <v>0.03</v>
      </c>
      <c r="BD353">
        <v>0.01</v>
      </c>
      <c r="BE353" s="37">
        <f t="shared" si="168"/>
        <v>237468</v>
      </c>
      <c r="BF353" s="38">
        <f t="shared" si="169"/>
        <v>146490</v>
      </c>
      <c r="BG353" s="37">
        <f t="shared" si="149"/>
        <v>120850</v>
      </c>
      <c r="BH353" s="37">
        <f t="shared" si="170"/>
        <v>128500</v>
      </c>
      <c r="BI353">
        <v>120850</v>
      </c>
      <c r="BJ353" s="2">
        <v>120850</v>
      </c>
      <c r="BL353" s="8">
        <f t="shared" si="171"/>
        <v>181624.2774566474</v>
      </c>
      <c r="BM353" s="7" t="str">
        <f t="shared" si="152"/>
        <v>Terdaftar BPJS Kes &amp; Naker</v>
      </c>
      <c r="BN353" s="11">
        <f t="shared" si="153"/>
        <v>146490</v>
      </c>
      <c r="BO353" s="11">
        <f t="shared" si="154"/>
        <v>116678.00000000001</v>
      </c>
      <c r="BP353" s="9">
        <f t="shared" si="172"/>
        <v>0</v>
      </c>
      <c r="BQ353" t="str">
        <f>_xlfn.XLOOKUP(X353,'[2]NON TETAP'!$H:$H,'[2]NON TETAP'!$I:$I)</f>
        <v>GRAMEDIA ASRI MEDIA</v>
      </c>
    </row>
    <row r="354" spans="1:69" x14ac:dyDescent="0.3">
      <c r="A354" s="2">
        <v>353</v>
      </c>
      <c r="B354" s="4" t="s">
        <v>2043</v>
      </c>
      <c r="C354" s="6" t="s">
        <v>241</v>
      </c>
      <c r="D354" s="6"/>
      <c r="E354" s="6" t="s">
        <v>73</v>
      </c>
      <c r="F354" s="6" t="s">
        <v>73</v>
      </c>
      <c r="G354" s="6" t="s">
        <v>73</v>
      </c>
      <c r="H354" s="6"/>
      <c r="I354" s="6"/>
      <c r="J354" s="6"/>
      <c r="K354" s="6">
        <v>800445</v>
      </c>
      <c r="L354" s="6"/>
      <c r="M354" s="6" t="s">
        <v>2042</v>
      </c>
      <c r="N354" s="46" t="s">
        <v>2041</v>
      </c>
      <c r="O354" s="6">
        <v>582112282</v>
      </c>
      <c r="P354" s="78" t="s">
        <v>2040</v>
      </c>
      <c r="Q354" s="6">
        <v>10153</v>
      </c>
      <c r="R354" s="6">
        <v>27153</v>
      </c>
      <c r="S354" s="5" t="str">
        <f>VLOOKUP(T354,'[1]Kode Posisi'!$A$3:$B$45,2,)</f>
        <v>Outsourcing Cleaning Service</v>
      </c>
      <c r="T354" s="36" t="s">
        <v>47</v>
      </c>
      <c r="U354" s="44" t="s">
        <v>2030</v>
      </c>
      <c r="V354" s="44" t="s">
        <v>2039</v>
      </c>
      <c r="W354" s="49" t="s">
        <v>1037</v>
      </c>
      <c r="X354" s="49" t="s">
        <v>191</v>
      </c>
      <c r="Y354" s="36" t="s">
        <v>52</v>
      </c>
      <c r="Z354" s="79">
        <v>1530490391</v>
      </c>
      <c r="AA354" s="36" t="s">
        <v>2038</v>
      </c>
      <c r="AB354" s="47">
        <v>2570000</v>
      </c>
      <c r="AC354" s="41">
        <v>2570000</v>
      </c>
      <c r="AD354" s="3">
        <v>2417000</v>
      </c>
      <c r="AE354" s="16">
        <f t="shared" si="174"/>
        <v>153000</v>
      </c>
      <c r="AF354" s="16">
        <v>0</v>
      </c>
      <c r="AG354" s="17">
        <v>0</v>
      </c>
      <c r="AI354" s="16">
        <v>0</v>
      </c>
      <c r="AK354" s="16">
        <v>0</v>
      </c>
      <c r="AL354" s="11">
        <f t="shared" si="156"/>
        <v>2570000</v>
      </c>
      <c r="AM354" s="16">
        <f t="shared" si="157"/>
        <v>263168</v>
      </c>
      <c r="AN354" s="16">
        <f t="shared" si="158"/>
        <v>102800</v>
      </c>
      <c r="AO354" s="16">
        <f t="shared" si="148"/>
        <v>160368</v>
      </c>
      <c r="AP354" s="16">
        <f t="shared" si="159"/>
        <v>95090</v>
      </c>
      <c r="AQ354" s="16">
        <f t="shared" si="160"/>
        <v>2833168</v>
      </c>
      <c r="AR354" s="16">
        <f t="shared" si="151"/>
        <v>169990.08</v>
      </c>
      <c r="AS354" s="16">
        <f t="shared" si="161"/>
        <v>18698.908799999997</v>
      </c>
      <c r="AT354" s="16">
        <f t="shared" si="162"/>
        <v>-3399.8015999999998</v>
      </c>
      <c r="AU354" s="16">
        <f t="shared" si="163"/>
        <v>2999758.2784000002</v>
      </c>
      <c r="AV354" s="16">
        <f t="shared" si="164"/>
        <v>3003158.08</v>
      </c>
      <c r="AW354" s="16">
        <f t="shared" si="165"/>
        <v>102800</v>
      </c>
      <c r="AX354" s="16" t="s">
        <v>91</v>
      </c>
      <c r="AZ354" s="17">
        <f t="shared" si="173"/>
        <v>0</v>
      </c>
      <c r="BA354" s="16">
        <f t="shared" si="166"/>
        <v>2467200</v>
      </c>
      <c r="BB354" s="16">
        <f t="shared" si="167"/>
        <v>2467200</v>
      </c>
      <c r="BC354">
        <v>0.03</v>
      </c>
      <c r="BD354">
        <v>0.01</v>
      </c>
      <c r="BE354" s="37">
        <f t="shared" si="168"/>
        <v>237468</v>
      </c>
      <c r="BF354" s="38">
        <f t="shared" si="169"/>
        <v>146490</v>
      </c>
      <c r="BG354" s="37">
        <f t="shared" si="149"/>
        <v>120850</v>
      </c>
      <c r="BH354" s="37">
        <f t="shared" si="170"/>
        <v>128500</v>
      </c>
      <c r="BI354">
        <v>120850</v>
      </c>
      <c r="BL354" s="8">
        <f t="shared" si="171"/>
        <v>0</v>
      </c>
      <c r="BM354" s="7" t="str">
        <f t="shared" si="152"/>
        <v>Terdaftar BPJS Kes &amp; Naker</v>
      </c>
      <c r="BN354" s="11">
        <f t="shared" si="153"/>
        <v>146490</v>
      </c>
      <c r="BO354" s="11">
        <f t="shared" si="154"/>
        <v>116678.00000000001</v>
      </c>
      <c r="BP354" s="9">
        <f t="shared" si="172"/>
        <v>0</v>
      </c>
      <c r="BQ354" t="str">
        <f>_xlfn.XLOOKUP(X354,'[2]NON TETAP'!$H:$H,'[2]NON TETAP'!$I:$I)</f>
        <v>GRAMEDIA ASRI MEDIA</v>
      </c>
    </row>
    <row r="355" spans="1:69" x14ac:dyDescent="0.3">
      <c r="A355" s="2">
        <v>354</v>
      </c>
      <c r="B355" s="4" t="s">
        <v>2033</v>
      </c>
      <c r="C355" s="6" t="s">
        <v>241</v>
      </c>
      <c r="D355" s="6"/>
      <c r="E355" s="6" t="s">
        <v>73</v>
      </c>
      <c r="F355" s="6" t="s">
        <v>73</v>
      </c>
      <c r="G355" s="6"/>
      <c r="H355" s="6"/>
      <c r="I355" s="6"/>
      <c r="J355" s="6"/>
      <c r="K355" s="6">
        <v>800446</v>
      </c>
      <c r="L355" s="6"/>
      <c r="M355" s="6" t="s">
        <v>2037</v>
      </c>
      <c r="N355" s="46" t="s">
        <v>2036</v>
      </c>
      <c r="O355" s="6">
        <v>1826384005</v>
      </c>
      <c r="P355" s="78" t="s">
        <v>2035</v>
      </c>
      <c r="Q355" s="6">
        <v>18104</v>
      </c>
      <c r="R355" s="6">
        <v>27190</v>
      </c>
      <c r="S355" s="5" t="str">
        <f>VLOOKUP(T355,'[1]Kode Posisi'!$A$3:$B$45,2,)</f>
        <v>Outsourcing Petugas Pemeliharaan Gedung</v>
      </c>
      <c r="T355" s="36" t="s">
        <v>247</v>
      </c>
      <c r="U355" s="44" t="s">
        <v>2030</v>
      </c>
      <c r="V355" s="44" t="s">
        <v>2034</v>
      </c>
      <c r="W355" s="49" t="s">
        <v>1037</v>
      </c>
      <c r="X355" s="36" t="s">
        <v>2028</v>
      </c>
      <c r="Y355" s="36" t="s">
        <v>52</v>
      </c>
      <c r="Z355" s="79">
        <v>8177049390</v>
      </c>
      <c r="AA355" s="36" t="s">
        <v>2033</v>
      </c>
      <c r="AB355" s="47">
        <v>2570000</v>
      </c>
      <c r="AC355" s="41">
        <v>2570000</v>
      </c>
      <c r="AD355" s="3">
        <v>2417000</v>
      </c>
      <c r="AE355" s="16">
        <f t="shared" si="174"/>
        <v>153000</v>
      </c>
      <c r="AF355" s="16">
        <v>0</v>
      </c>
      <c r="AG355" s="17">
        <v>0</v>
      </c>
      <c r="AH355" s="11"/>
      <c r="AI355" s="16">
        <v>363248.55491329479</v>
      </c>
      <c r="AK355" s="16">
        <v>0</v>
      </c>
      <c r="AL355" s="11">
        <f t="shared" si="156"/>
        <v>2933248.554913295</v>
      </c>
      <c r="AM355" s="16">
        <f t="shared" si="157"/>
        <v>263168</v>
      </c>
      <c r="AN355" s="16">
        <f t="shared" si="158"/>
        <v>102800</v>
      </c>
      <c r="AO355" s="16">
        <f t="shared" si="148"/>
        <v>160368</v>
      </c>
      <c r="AP355" s="16">
        <f t="shared" si="159"/>
        <v>95090</v>
      </c>
      <c r="AQ355" s="16">
        <f t="shared" si="160"/>
        <v>3196416.554913295</v>
      </c>
      <c r="AR355" s="16">
        <f t="shared" si="151"/>
        <v>191784.99329479769</v>
      </c>
      <c r="AS355" s="16">
        <f t="shared" si="161"/>
        <v>21096.349262427746</v>
      </c>
      <c r="AT355" s="16">
        <f t="shared" si="162"/>
        <v>-3835.6998658959537</v>
      </c>
      <c r="AU355" s="16">
        <f t="shared" si="163"/>
        <v>3384365.848342197</v>
      </c>
      <c r="AV355" s="16">
        <f t="shared" si="164"/>
        <v>3388201.5482080928</v>
      </c>
      <c r="AW355" s="16">
        <f t="shared" si="165"/>
        <v>102800</v>
      </c>
      <c r="AX355" s="16" t="s">
        <v>235</v>
      </c>
      <c r="AZ355" s="17">
        <f t="shared" si="173"/>
        <v>0</v>
      </c>
      <c r="BA355" s="16">
        <f t="shared" si="166"/>
        <v>2830448.554913295</v>
      </c>
      <c r="BB355" s="16">
        <f t="shared" si="167"/>
        <v>2830448.554913295</v>
      </c>
      <c r="BC355">
        <v>0.03</v>
      </c>
      <c r="BD355">
        <v>0.01</v>
      </c>
      <c r="BE355" s="37">
        <f t="shared" si="168"/>
        <v>237468</v>
      </c>
      <c r="BF355" s="38">
        <f t="shared" si="169"/>
        <v>146490</v>
      </c>
      <c r="BG355" s="37">
        <f t="shared" si="149"/>
        <v>120850</v>
      </c>
      <c r="BH355" s="37">
        <f t="shared" si="170"/>
        <v>128500</v>
      </c>
      <c r="BI355">
        <v>120850</v>
      </c>
      <c r="BL355" s="8">
        <f t="shared" si="171"/>
        <v>363248.55491329479</v>
      </c>
      <c r="BM355" s="7" t="str">
        <f t="shared" si="152"/>
        <v>Terdaftar BPJS Kes &amp; Naker</v>
      </c>
      <c r="BN355" s="11">
        <f t="shared" si="153"/>
        <v>146490</v>
      </c>
      <c r="BO355" s="11">
        <f t="shared" si="154"/>
        <v>116678.00000000001</v>
      </c>
      <c r="BP355" s="9">
        <f t="shared" si="172"/>
        <v>0</v>
      </c>
      <c r="BQ355" t="s">
        <v>8</v>
      </c>
    </row>
    <row r="356" spans="1:69" x14ac:dyDescent="0.3">
      <c r="A356" s="2">
        <v>355</v>
      </c>
      <c r="B356" s="4" t="s">
        <v>2027</v>
      </c>
      <c r="C356" s="6" t="s">
        <v>241</v>
      </c>
      <c r="D356" s="6"/>
      <c r="E356" s="6" t="s">
        <v>73</v>
      </c>
      <c r="F356" s="6" t="s">
        <v>73</v>
      </c>
      <c r="G356" s="6"/>
      <c r="H356" s="6"/>
      <c r="I356" s="6"/>
      <c r="J356" s="6"/>
      <c r="K356" s="6">
        <v>800447</v>
      </c>
      <c r="L356" s="6"/>
      <c r="M356" s="6"/>
      <c r="N356" s="46" t="s">
        <v>2032</v>
      </c>
      <c r="O356" s="6">
        <v>564374981</v>
      </c>
      <c r="P356" s="78" t="s">
        <v>2031</v>
      </c>
      <c r="Q356" s="6">
        <v>18104</v>
      </c>
      <c r="R356" s="6">
        <v>27190</v>
      </c>
      <c r="S356" s="5" t="str">
        <f>VLOOKUP(T356,'[1]Kode Posisi'!$A$3:$B$45,2,)</f>
        <v>Outsourcing Petugas Pemeliharaan Gedung</v>
      </c>
      <c r="T356" s="36" t="s">
        <v>247</v>
      </c>
      <c r="U356" s="44" t="s">
        <v>2030</v>
      </c>
      <c r="V356" s="44" t="s">
        <v>2029</v>
      </c>
      <c r="W356" s="49" t="s">
        <v>1037</v>
      </c>
      <c r="X356" s="36" t="s">
        <v>2028</v>
      </c>
      <c r="Y356" s="36" t="s">
        <v>52</v>
      </c>
      <c r="Z356" s="79">
        <v>2570743395</v>
      </c>
      <c r="AA356" s="36" t="s">
        <v>2027</v>
      </c>
      <c r="AB356" s="47">
        <v>2570000</v>
      </c>
      <c r="AC356" s="41">
        <v>2570000</v>
      </c>
      <c r="AD356" s="3">
        <v>2417000</v>
      </c>
      <c r="AE356" s="16">
        <f t="shared" si="174"/>
        <v>153000</v>
      </c>
      <c r="AF356" s="16">
        <v>0</v>
      </c>
      <c r="AG356" s="17">
        <v>0</v>
      </c>
      <c r="AH356" s="11"/>
      <c r="AI356" s="16">
        <v>300378.61271676299</v>
      </c>
      <c r="AK356" s="16">
        <v>0</v>
      </c>
      <c r="AL356" s="11">
        <f t="shared" si="156"/>
        <v>2870378.6127167628</v>
      </c>
      <c r="AM356" s="16">
        <f t="shared" si="157"/>
        <v>263168</v>
      </c>
      <c r="AN356" s="16">
        <f t="shared" si="158"/>
        <v>102800</v>
      </c>
      <c r="AO356" s="16">
        <f t="shared" si="148"/>
        <v>160368</v>
      </c>
      <c r="AP356" s="16">
        <f t="shared" si="159"/>
        <v>95090</v>
      </c>
      <c r="AQ356" s="16">
        <f t="shared" si="160"/>
        <v>3133546.6127167628</v>
      </c>
      <c r="AR356" s="16">
        <f t="shared" si="151"/>
        <v>188012.79676300575</v>
      </c>
      <c r="AS356" s="16">
        <f t="shared" si="161"/>
        <v>20681.407643930634</v>
      </c>
      <c r="AT356" s="16">
        <f t="shared" si="162"/>
        <v>-3760.2559352601152</v>
      </c>
      <c r="AU356" s="16">
        <f t="shared" si="163"/>
        <v>3317799.1535445084</v>
      </c>
      <c r="AV356" s="16">
        <f t="shared" si="164"/>
        <v>3321559.4094797685</v>
      </c>
      <c r="AW356" s="16">
        <f t="shared" si="165"/>
        <v>102800</v>
      </c>
      <c r="AX356" s="16" t="s">
        <v>235</v>
      </c>
      <c r="AZ356" s="17">
        <f t="shared" si="173"/>
        <v>0</v>
      </c>
      <c r="BA356" s="16">
        <f t="shared" si="166"/>
        <v>2767578.6127167628</v>
      </c>
      <c r="BB356" s="16">
        <f t="shared" si="167"/>
        <v>2767578.6127167628</v>
      </c>
      <c r="BC356" s="15">
        <v>0.03</v>
      </c>
      <c r="BD356">
        <v>0.01</v>
      </c>
      <c r="BE356" s="37">
        <f t="shared" si="168"/>
        <v>237468</v>
      </c>
      <c r="BF356" s="38">
        <f t="shared" si="169"/>
        <v>146490</v>
      </c>
      <c r="BG356" s="37">
        <f t="shared" si="149"/>
        <v>120850</v>
      </c>
      <c r="BH356" s="37">
        <f t="shared" si="170"/>
        <v>128500</v>
      </c>
      <c r="BI356">
        <v>120850</v>
      </c>
      <c r="BL356" s="8">
        <f t="shared" si="171"/>
        <v>300378.61271676299</v>
      </c>
      <c r="BM356" s="7" t="str">
        <f t="shared" si="152"/>
        <v>Terdaftar BPJS Kes &amp; Naker</v>
      </c>
      <c r="BN356" s="11">
        <f t="shared" si="153"/>
        <v>146490</v>
      </c>
      <c r="BO356" s="11">
        <f t="shared" si="154"/>
        <v>116678.00000000001</v>
      </c>
      <c r="BP356" s="9">
        <f t="shared" si="172"/>
        <v>0</v>
      </c>
      <c r="BQ356" t="s">
        <v>8</v>
      </c>
    </row>
    <row r="357" spans="1:69" x14ac:dyDescent="0.3">
      <c r="A357" s="2">
        <v>356</v>
      </c>
      <c r="B357" s="4" t="s">
        <v>2021</v>
      </c>
      <c r="C357" s="6" t="s">
        <v>241</v>
      </c>
      <c r="D357" s="6"/>
      <c r="E357" s="6" t="s">
        <v>73</v>
      </c>
      <c r="F357" s="6"/>
      <c r="G357" s="6"/>
      <c r="H357" s="6"/>
      <c r="I357" s="6"/>
      <c r="J357" s="6"/>
      <c r="K357" s="6">
        <v>800448</v>
      </c>
      <c r="L357" s="6"/>
      <c r="M357" s="6"/>
      <c r="N357" s="46" t="s">
        <v>2026</v>
      </c>
      <c r="O357" s="6">
        <v>1528024408</v>
      </c>
      <c r="P357" s="78" t="s">
        <v>2025</v>
      </c>
      <c r="Q357" s="6">
        <v>10486</v>
      </c>
      <c r="R357" s="6">
        <v>27486</v>
      </c>
      <c r="S357" s="5" t="str">
        <f>VLOOKUP(T357,'[1]Kode Posisi'!$A$3:$B$45,2,)</f>
        <v>Outsourcing Cleaning Service</v>
      </c>
      <c r="T357" s="36" t="s">
        <v>47</v>
      </c>
      <c r="U357" s="44" t="s">
        <v>2024</v>
      </c>
      <c r="V357" s="44" t="s">
        <v>2023</v>
      </c>
      <c r="W357" s="49" t="s">
        <v>118</v>
      </c>
      <c r="X357" s="49" t="s">
        <v>117</v>
      </c>
      <c r="Y357" s="36" t="s">
        <v>52</v>
      </c>
      <c r="Z357" s="79" t="s">
        <v>2022</v>
      </c>
      <c r="AA357" s="36" t="s">
        <v>2021</v>
      </c>
      <c r="AB357" s="47">
        <v>2828000</v>
      </c>
      <c r="AC357" s="41">
        <v>2828000</v>
      </c>
      <c r="AD357" s="3">
        <v>2656000</v>
      </c>
      <c r="AE357" s="16">
        <f t="shared" si="174"/>
        <v>172000</v>
      </c>
      <c r="AF357" s="16">
        <v>0</v>
      </c>
      <c r="AG357" s="17">
        <v>0</v>
      </c>
      <c r="AI357" s="16">
        <v>199583.81502890174</v>
      </c>
      <c r="AK357" s="16">
        <v>0</v>
      </c>
      <c r="AL357" s="11">
        <f t="shared" si="156"/>
        <v>3027583.8150289017</v>
      </c>
      <c r="AM357" s="16">
        <f t="shared" si="157"/>
        <v>289587.19999999995</v>
      </c>
      <c r="AN357" s="16">
        <f t="shared" si="158"/>
        <v>113120</v>
      </c>
      <c r="AO357" s="16">
        <f t="shared" si="148"/>
        <v>176467.19999999998</v>
      </c>
      <c r="AP357" s="16">
        <f t="shared" si="159"/>
        <v>104636</v>
      </c>
      <c r="AQ357" s="16">
        <f t="shared" si="160"/>
        <v>3317171.0150289014</v>
      </c>
      <c r="AR357" s="16">
        <f t="shared" si="151"/>
        <v>199030.26090173409</v>
      </c>
      <c r="AS357" s="16">
        <f t="shared" si="161"/>
        <v>21893.328699190748</v>
      </c>
      <c r="AT357" s="16">
        <f t="shared" si="162"/>
        <v>-3980.6052180346819</v>
      </c>
      <c r="AU357" s="16">
        <f t="shared" si="163"/>
        <v>3512220.6707126009</v>
      </c>
      <c r="AV357" s="16">
        <f t="shared" si="164"/>
        <v>3516201.2759306356</v>
      </c>
      <c r="AW357" s="16">
        <f t="shared" si="165"/>
        <v>113120</v>
      </c>
      <c r="AX357" s="16" t="s">
        <v>319</v>
      </c>
      <c r="AZ357" s="17">
        <f t="shared" si="173"/>
        <v>0</v>
      </c>
      <c r="BA357" s="16">
        <f t="shared" si="166"/>
        <v>2914463.8150289017</v>
      </c>
      <c r="BB357" s="16">
        <f t="shared" si="167"/>
        <v>2914463.8150289017</v>
      </c>
      <c r="BC357" s="15">
        <v>0.03</v>
      </c>
      <c r="BD357">
        <v>0.01</v>
      </c>
      <c r="BE357" s="37">
        <f t="shared" si="168"/>
        <v>261307.19999999998</v>
      </c>
      <c r="BF357" s="38">
        <f t="shared" si="169"/>
        <v>161196</v>
      </c>
      <c r="BG357" s="37">
        <f t="shared" si="149"/>
        <v>132800</v>
      </c>
      <c r="BH357" s="37">
        <f t="shared" si="170"/>
        <v>141400</v>
      </c>
      <c r="BI357">
        <v>132800</v>
      </c>
      <c r="BL357" s="8">
        <f t="shared" si="171"/>
        <v>199583.81502890174</v>
      </c>
      <c r="BM357" s="7" t="str">
        <f t="shared" si="152"/>
        <v>Terdaftar BPJS Kes &amp; Naker</v>
      </c>
      <c r="BN357" s="11">
        <f t="shared" si="153"/>
        <v>161196</v>
      </c>
      <c r="BO357" s="11">
        <f t="shared" si="154"/>
        <v>128391.20000000001</v>
      </c>
      <c r="BP357" s="9">
        <f t="shared" si="172"/>
        <v>0</v>
      </c>
      <c r="BQ357" t="str">
        <f>_xlfn.XLOOKUP(X357,'[2]NON TETAP'!$H:$H,'[2]NON TETAP'!$I:$I)</f>
        <v>GRAMEDIA ASRI MEDIA</v>
      </c>
    </row>
    <row r="358" spans="1:69" x14ac:dyDescent="0.3">
      <c r="A358" s="2">
        <v>357</v>
      </c>
      <c r="B358" s="4" t="s">
        <v>2020</v>
      </c>
      <c r="C358" s="6" t="s">
        <v>241</v>
      </c>
      <c r="D358" s="6"/>
      <c r="E358" s="6" t="s">
        <v>73</v>
      </c>
      <c r="F358" s="6" t="s">
        <v>73</v>
      </c>
      <c r="G358" s="6" t="s">
        <v>73</v>
      </c>
      <c r="H358" s="6"/>
      <c r="I358" s="6"/>
      <c r="J358" s="6"/>
      <c r="K358" s="6">
        <v>800449</v>
      </c>
      <c r="L358" s="6"/>
      <c r="M358" s="6" t="s">
        <v>2019</v>
      </c>
      <c r="N358" s="46" t="s">
        <v>2018</v>
      </c>
      <c r="O358" s="6">
        <v>648210396</v>
      </c>
      <c r="P358" s="78" t="s">
        <v>2017</v>
      </c>
      <c r="Q358" s="6">
        <v>10105</v>
      </c>
      <c r="R358" s="6">
        <v>27105</v>
      </c>
      <c r="S358" s="5" t="str">
        <f>VLOOKUP(T358,'[1]Kode Posisi'!$A$3:$B$45,2,)</f>
        <v>Outsourcing Cleaning Service</v>
      </c>
      <c r="T358" s="36" t="s">
        <v>47</v>
      </c>
      <c r="U358" s="44" t="s">
        <v>1071</v>
      </c>
      <c r="V358" s="44" t="s">
        <v>2016</v>
      </c>
      <c r="W358" s="36" t="s">
        <v>1989</v>
      </c>
      <c r="X358" s="36" t="s">
        <v>104</v>
      </c>
      <c r="Y358" s="36" t="s">
        <v>52</v>
      </c>
      <c r="Z358" s="79" t="s">
        <v>2015</v>
      </c>
      <c r="AA358" s="36" t="s">
        <v>2014</v>
      </c>
      <c r="AB358" s="47">
        <v>2828000</v>
      </c>
      <c r="AC358" s="41">
        <v>2828000</v>
      </c>
      <c r="AD358" s="3">
        <v>2656000</v>
      </c>
      <c r="AE358" s="16">
        <f t="shared" si="174"/>
        <v>172000</v>
      </c>
      <c r="AF358" s="16">
        <v>0</v>
      </c>
      <c r="AG358" s="17">
        <v>0</v>
      </c>
      <c r="AI358" s="16">
        <v>0</v>
      </c>
      <c r="AK358" s="16">
        <v>0</v>
      </c>
      <c r="AL358" s="11">
        <f t="shared" si="156"/>
        <v>2828000</v>
      </c>
      <c r="AM358" s="16">
        <f t="shared" si="157"/>
        <v>289587.19999999995</v>
      </c>
      <c r="AN358" s="16">
        <f t="shared" si="158"/>
        <v>113120</v>
      </c>
      <c r="AO358" s="16">
        <f t="shared" si="148"/>
        <v>176467.19999999998</v>
      </c>
      <c r="AP358" s="16">
        <f t="shared" si="159"/>
        <v>104636</v>
      </c>
      <c r="AQ358" s="16">
        <f t="shared" si="160"/>
        <v>3117587.2</v>
      </c>
      <c r="AR358" s="16">
        <f t="shared" si="151"/>
        <v>187055.23200000002</v>
      </c>
      <c r="AS358" s="16">
        <f t="shared" si="161"/>
        <v>20576.075520000002</v>
      </c>
      <c r="AT358" s="16">
        <f t="shared" si="162"/>
        <v>-3741.1046400000005</v>
      </c>
      <c r="AU358" s="16">
        <f t="shared" si="163"/>
        <v>3300901.32736</v>
      </c>
      <c r="AV358" s="16">
        <f t="shared" si="164"/>
        <v>3304642.432</v>
      </c>
      <c r="AW358" s="16">
        <f t="shared" si="165"/>
        <v>113120</v>
      </c>
      <c r="AX358" s="16" t="s">
        <v>319</v>
      </c>
      <c r="AZ358" s="17">
        <f t="shared" si="173"/>
        <v>0</v>
      </c>
      <c r="BA358" s="16">
        <f t="shared" si="166"/>
        <v>2714880</v>
      </c>
      <c r="BB358" s="16">
        <f t="shared" si="167"/>
        <v>2714880</v>
      </c>
      <c r="BC358">
        <v>0.03</v>
      </c>
      <c r="BD358">
        <v>0.01</v>
      </c>
      <c r="BE358" s="37">
        <f t="shared" si="168"/>
        <v>261307.19999999998</v>
      </c>
      <c r="BF358" s="38">
        <f t="shared" si="169"/>
        <v>161196</v>
      </c>
      <c r="BG358" s="37">
        <f t="shared" si="149"/>
        <v>132800</v>
      </c>
      <c r="BH358" s="37">
        <f t="shared" si="170"/>
        <v>141400</v>
      </c>
      <c r="BI358">
        <v>132800</v>
      </c>
      <c r="BL358" s="8">
        <f t="shared" si="171"/>
        <v>0</v>
      </c>
      <c r="BM358" s="7" t="str">
        <f t="shared" si="152"/>
        <v>Terdaftar BPJS Kes &amp; Naker</v>
      </c>
      <c r="BN358" s="11">
        <f t="shared" si="153"/>
        <v>161196</v>
      </c>
      <c r="BO358" s="11">
        <f t="shared" si="154"/>
        <v>128391.20000000001</v>
      </c>
      <c r="BP358" s="9">
        <f t="shared" si="172"/>
        <v>0</v>
      </c>
      <c r="BQ358" t="str">
        <f>_xlfn.XLOOKUP(X358,'[2]NON TETAP'!$H:$H,'[2]NON TETAP'!$I:$I)</f>
        <v>GRAMEDIA ASRI MEDIA</v>
      </c>
    </row>
    <row r="359" spans="1:69" x14ac:dyDescent="0.3">
      <c r="A359" s="2">
        <v>358</v>
      </c>
      <c r="B359" s="4" t="s">
        <v>2013</v>
      </c>
      <c r="C359" s="6" t="s">
        <v>241</v>
      </c>
      <c r="D359" s="6"/>
      <c r="E359" s="6" t="s">
        <v>73</v>
      </c>
      <c r="F359" s="6" t="s">
        <v>73</v>
      </c>
      <c r="G359" s="6" t="s">
        <v>73</v>
      </c>
      <c r="H359" s="6"/>
      <c r="I359" s="6"/>
      <c r="J359" s="6"/>
      <c r="K359" s="6">
        <v>800451</v>
      </c>
      <c r="L359" s="6"/>
      <c r="M359" s="6" t="s">
        <v>2012</v>
      </c>
      <c r="N359" s="46" t="s">
        <v>2011</v>
      </c>
      <c r="O359" s="6">
        <v>1442148467</v>
      </c>
      <c r="P359" s="78" t="s">
        <v>2010</v>
      </c>
      <c r="Q359" s="6">
        <v>10105</v>
      </c>
      <c r="R359" s="6">
        <v>27105</v>
      </c>
      <c r="S359" s="5" t="str">
        <f>VLOOKUP(T359,'[1]Kode Posisi'!$A$3:$B$45,2,)</f>
        <v>Outsourcing Cleaning Service</v>
      </c>
      <c r="T359" s="36" t="s">
        <v>1530</v>
      </c>
      <c r="U359" s="44" t="s">
        <v>1071</v>
      </c>
      <c r="V359" s="44" t="s">
        <v>2009</v>
      </c>
      <c r="W359" s="36" t="s">
        <v>1989</v>
      </c>
      <c r="X359" s="36" t="s">
        <v>104</v>
      </c>
      <c r="Y359" s="36" t="s">
        <v>52</v>
      </c>
      <c r="Z359" s="79" t="s">
        <v>2008</v>
      </c>
      <c r="AA359" s="36" t="s">
        <v>2007</v>
      </c>
      <c r="AB359" s="47">
        <v>2828000</v>
      </c>
      <c r="AC359" s="41">
        <v>2828000</v>
      </c>
      <c r="AD359" s="3">
        <v>2656000</v>
      </c>
      <c r="AE359" s="16">
        <f t="shared" si="174"/>
        <v>172000</v>
      </c>
      <c r="AF359" s="16">
        <v>0</v>
      </c>
      <c r="AG359">
        <v>300000</v>
      </c>
      <c r="AI359" s="16">
        <v>99791.907514450868</v>
      </c>
      <c r="AK359" s="16">
        <v>0</v>
      </c>
      <c r="AL359" s="11">
        <f t="shared" si="156"/>
        <v>3227791.9075144511</v>
      </c>
      <c r="AM359" s="16">
        <f t="shared" si="157"/>
        <v>289587.19999999995</v>
      </c>
      <c r="AN359" s="16">
        <f t="shared" si="158"/>
        <v>113120</v>
      </c>
      <c r="AO359" s="16">
        <f t="shared" si="148"/>
        <v>176467.19999999998</v>
      </c>
      <c r="AP359" s="16">
        <f t="shared" si="159"/>
        <v>104636</v>
      </c>
      <c r="AQ359" s="16">
        <f t="shared" si="160"/>
        <v>3517379.1075144513</v>
      </c>
      <c r="AR359" s="16">
        <f t="shared" si="151"/>
        <v>211042.74645086707</v>
      </c>
      <c r="AS359" s="16">
        <f t="shared" si="161"/>
        <v>23214.702109595379</v>
      </c>
      <c r="AT359" s="16">
        <f t="shared" si="162"/>
        <v>-4220.8549290173414</v>
      </c>
      <c r="AU359" s="16">
        <f t="shared" si="163"/>
        <v>3724200.9990363009</v>
      </c>
      <c r="AV359" s="16">
        <f t="shared" si="164"/>
        <v>3728421.8539653183</v>
      </c>
      <c r="AW359" s="16">
        <f t="shared" si="165"/>
        <v>113120</v>
      </c>
      <c r="AX359" s="16" t="s">
        <v>286</v>
      </c>
      <c r="AZ359" s="17">
        <f t="shared" si="173"/>
        <v>0</v>
      </c>
      <c r="BA359" s="16">
        <f t="shared" si="166"/>
        <v>3114671.9075144511</v>
      </c>
      <c r="BB359" s="16">
        <f t="shared" si="167"/>
        <v>3114671.9075144511</v>
      </c>
      <c r="BC359">
        <v>0.03</v>
      </c>
      <c r="BD359">
        <v>0.01</v>
      </c>
      <c r="BE359" s="37">
        <f t="shared" si="168"/>
        <v>261307.19999999998</v>
      </c>
      <c r="BF359" s="38">
        <f t="shared" si="169"/>
        <v>161196</v>
      </c>
      <c r="BG359" s="37">
        <f t="shared" si="149"/>
        <v>132800</v>
      </c>
      <c r="BH359" s="37">
        <f t="shared" si="170"/>
        <v>141400</v>
      </c>
      <c r="BI359">
        <v>132800</v>
      </c>
      <c r="BL359" s="8">
        <f t="shared" si="171"/>
        <v>399791.90751445084</v>
      </c>
      <c r="BM359" s="7" t="str">
        <f t="shared" si="152"/>
        <v>Terdaftar BPJS Kes &amp; Naker</v>
      </c>
      <c r="BN359" s="11">
        <f t="shared" si="153"/>
        <v>161196</v>
      </c>
      <c r="BO359" s="11">
        <f t="shared" si="154"/>
        <v>128391.20000000001</v>
      </c>
      <c r="BP359" s="9">
        <f t="shared" si="172"/>
        <v>0</v>
      </c>
      <c r="BQ359" t="str">
        <f>_xlfn.XLOOKUP(X359,'[2]NON TETAP'!$H:$H,'[2]NON TETAP'!$I:$I)</f>
        <v>GRAMEDIA ASRI MEDIA</v>
      </c>
    </row>
    <row r="360" spans="1:69" x14ac:dyDescent="0.3">
      <c r="A360" s="2">
        <v>359</v>
      </c>
      <c r="B360" s="4" t="s">
        <v>2006</v>
      </c>
      <c r="C360" s="6" t="s">
        <v>241</v>
      </c>
      <c r="D360" s="6"/>
      <c r="E360" s="6" t="s">
        <v>73</v>
      </c>
      <c r="F360" s="6" t="s">
        <v>73</v>
      </c>
      <c r="G360" s="6" t="s">
        <v>73</v>
      </c>
      <c r="H360" s="6"/>
      <c r="I360" s="6"/>
      <c r="J360" s="6"/>
      <c r="K360" s="6">
        <v>800452</v>
      </c>
      <c r="L360" s="6"/>
      <c r="M360" s="6" t="s">
        <v>2005</v>
      </c>
      <c r="N360" s="46" t="s">
        <v>2004</v>
      </c>
      <c r="O360" s="6">
        <v>1191941177</v>
      </c>
      <c r="P360" s="78" t="s">
        <v>2003</v>
      </c>
      <c r="Q360" s="6">
        <v>10105</v>
      </c>
      <c r="R360" s="6">
        <v>27105</v>
      </c>
      <c r="S360" s="5" t="str">
        <f>VLOOKUP(T360,'[1]Kode Posisi'!$A$3:$B$45,2,)</f>
        <v>Outsourcing Cleaning Service</v>
      </c>
      <c r="T360" s="36" t="s">
        <v>47</v>
      </c>
      <c r="U360" s="44" t="s">
        <v>1071</v>
      </c>
      <c r="V360" s="44" t="s">
        <v>2002</v>
      </c>
      <c r="W360" s="36" t="s">
        <v>1989</v>
      </c>
      <c r="X360" s="36" t="s">
        <v>104</v>
      </c>
      <c r="Y360" s="36" t="s">
        <v>52</v>
      </c>
      <c r="Z360" s="79" t="s">
        <v>2001</v>
      </c>
      <c r="AA360" s="36" t="s">
        <v>2000</v>
      </c>
      <c r="AB360" s="47">
        <v>2828000</v>
      </c>
      <c r="AC360" s="41">
        <v>2828000</v>
      </c>
      <c r="AD360" s="3">
        <v>2656000</v>
      </c>
      <c r="AE360" s="16">
        <f t="shared" si="174"/>
        <v>172000</v>
      </c>
      <c r="AF360" s="16">
        <v>0</v>
      </c>
      <c r="AG360" s="17">
        <v>0</v>
      </c>
      <c r="AI360" s="16">
        <v>0</v>
      </c>
      <c r="AK360" s="16">
        <v>0</v>
      </c>
      <c r="AL360" s="11">
        <f t="shared" si="156"/>
        <v>2828000</v>
      </c>
      <c r="AM360" s="16">
        <f t="shared" si="157"/>
        <v>289587.19999999995</v>
      </c>
      <c r="AN360" s="16">
        <f t="shared" si="158"/>
        <v>113120</v>
      </c>
      <c r="AO360" s="16">
        <f t="shared" si="148"/>
        <v>176467.19999999998</v>
      </c>
      <c r="AP360" s="16">
        <f t="shared" si="159"/>
        <v>104636</v>
      </c>
      <c r="AQ360" s="16">
        <f t="shared" si="160"/>
        <v>3117587.2</v>
      </c>
      <c r="AR360" s="16">
        <f t="shared" si="151"/>
        <v>187055.23200000002</v>
      </c>
      <c r="AS360" s="16">
        <f t="shared" si="161"/>
        <v>20576.075520000002</v>
      </c>
      <c r="AT360" s="16">
        <f t="shared" si="162"/>
        <v>-3741.1046400000005</v>
      </c>
      <c r="AU360" s="16">
        <f t="shared" si="163"/>
        <v>3300901.32736</v>
      </c>
      <c r="AV360" s="16">
        <f t="shared" si="164"/>
        <v>3304642.432</v>
      </c>
      <c r="AW360" s="16">
        <f t="shared" si="165"/>
        <v>113120</v>
      </c>
      <c r="AX360" s="16" t="s">
        <v>286</v>
      </c>
      <c r="AZ360" s="17">
        <f t="shared" si="173"/>
        <v>0</v>
      </c>
      <c r="BA360" s="16">
        <f t="shared" si="166"/>
        <v>2714880</v>
      </c>
      <c r="BB360" s="16">
        <f t="shared" si="167"/>
        <v>2714880</v>
      </c>
      <c r="BC360">
        <v>0.03</v>
      </c>
      <c r="BD360">
        <v>0.01</v>
      </c>
      <c r="BE360" s="37">
        <f t="shared" si="168"/>
        <v>261307.19999999998</v>
      </c>
      <c r="BF360" s="38">
        <f t="shared" si="169"/>
        <v>161196</v>
      </c>
      <c r="BG360" s="37">
        <f t="shared" si="149"/>
        <v>132800</v>
      </c>
      <c r="BH360" s="37">
        <f t="shared" si="170"/>
        <v>141400</v>
      </c>
      <c r="BI360">
        <v>132800</v>
      </c>
      <c r="BL360" s="8">
        <f t="shared" si="171"/>
        <v>0</v>
      </c>
      <c r="BM360" s="7" t="str">
        <f t="shared" si="152"/>
        <v>Terdaftar BPJS Kes &amp; Naker</v>
      </c>
      <c r="BN360" s="11">
        <f t="shared" si="153"/>
        <v>161196</v>
      </c>
      <c r="BO360" s="11">
        <f t="shared" si="154"/>
        <v>128391.20000000001</v>
      </c>
      <c r="BP360" s="9">
        <f t="shared" si="172"/>
        <v>0</v>
      </c>
      <c r="BQ360" t="str">
        <f>_xlfn.XLOOKUP(X360,'[2]NON TETAP'!$H:$H,'[2]NON TETAP'!$I:$I)</f>
        <v>GRAMEDIA ASRI MEDIA</v>
      </c>
    </row>
    <row r="361" spans="1:69" x14ac:dyDescent="0.3">
      <c r="A361" s="2">
        <v>360</v>
      </c>
      <c r="B361" s="4" t="s">
        <v>1999</v>
      </c>
      <c r="C361" s="6" t="s">
        <v>241</v>
      </c>
      <c r="D361" s="6"/>
      <c r="E361" s="6" t="s">
        <v>73</v>
      </c>
      <c r="F361" s="6" t="s">
        <v>73</v>
      </c>
      <c r="G361" s="6" t="s">
        <v>73</v>
      </c>
      <c r="H361" s="6"/>
      <c r="I361" s="6"/>
      <c r="J361" s="6"/>
      <c r="K361" s="6">
        <v>800453</v>
      </c>
      <c r="L361" s="6"/>
      <c r="M361" s="6" t="s">
        <v>1998</v>
      </c>
      <c r="N361" s="46" t="s">
        <v>1997</v>
      </c>
      <c r="O361" s="6">
        <v>1442145609</v>
      </c>
      <c r="P361" s="78" t="s">
        <v>1996</v>
      </c>
      <c r="Q361" s="6">
        <v>10105</v>
      </c>
      <c r="R361" s="6">
        <v>27105</v>
      </c>
      <c r="S361" s="5" t="str">
        <f>VLOOKUP(T361,'[1]Kode Posisi'!$A$3:$B$45,2,)</f>
        <v>Outsourcing Cleaning Service</v>
      </c>
      <c r="T361" s="36" t="s">
        <v>47</v>
      </c>
      <c r="U361" s="44" t="s">
        <v>1071</v>
      </c>
      <c r="V361" s="44" t="s">
        <v>1995</v>
      </c>
      <c r="W361" s="36" t="s">
        <v>1989</v>
      </c>
      <c r="X361" s="36" t="s">
        <v>104</v>
      </c>
      <c r="Y361" s="36" t="s">
        <v>52</v>
      </c>
      <c r="Z361" s="79" t="s">
        <v>1994</v>
      </c>
      <c r="AA361" s="36" t="s">
        <v>1993</v>
      </c>
      <c r="AB361" s="47">
        <v>2828000</v>
      </c>
      <c r="AC361" s="41">
        <v>2828000</v>
      </c>
      <c r="AD361" s="3">
        <v>2656000</v>
      </c>
      <c r="AE361" s="16">
        <f t="shared" si="174"/>
        <v>172000</v>
      </c>
      <c r="AF361" s="16">
        <v>0</v>
      </c>
      <c r="AG361" s="17">
        <v>0</v>
      </c>
      <c r="AI361" s="16">
        <v>0</v>
      </c>
      <c r="AK361" s="16">
        <v>0</v>
      </c>
      <c r="AL361" s="11">
        <f t="shared" si="156"/>
        <v>2828000</v>
      </c>
      <c r="AM361" s="16">
        <f t="shared" si="157"/>
        <v>289587.19999999995</v>
      </c>
      <c r="AN361" s="16">
        <f t="shared" si="158"/>
        <v>113120</v>
      </c>
      <c r="AO361" s="16">
        <f t="shared" si="148"/>
        <v>176467.19999999998</v>
      </c>
      <c r="AP361" s="16">
        <f t="shared" si="159"/>
        <v>104636</v>
      </c>
      <c r="AQ361" s="16">
        <f t="shared" si="160"/>
        <v>3117587.2</v>
      </c>
      <c r="AR361" s="16">
        <f t="shared" si="151"/>
        <v>187055.23200000002</v>
      </c>
      <c r="AS361" s="16">
        <f t="shared" si="161"/>
        <v>20576.075520000002</v>
      </c>
      <c r="AT361" s="16">
        <f t="shared" si="162"/>
        <v>-3741.1046400000005</v>
      </c>
      <c r="AU361" s="16">
        <f t="shared" si="163"/>
        <v>3300901.32736</v>
      </c>
      <c r="AV361" s="16">
        <f t="shared" si="164"/>
        <v>3304642.432</v>
      </c>
      <c r="AW361" s="16">
        <f t="shared" si="165"/>
        <v>113120</v>
      </c>
      <c r="AX361" s="16" t="s">
        <v>91</v>
      </c>
      <c r="AZ361" s="17">
        <f t="shared" si="173"/>
        <v>0</v>
      </c>
      <c r="BA361" s="16">
        <f t="shared" si="166"/>
        <v>2714880</v>
      </c>
      <c r="BB361" s="16">
        <f t="shared" si="167"/>
        <v>2714880</v>
      </c>
      <c r="BC361">
        <v>0.03</v>
      </c>
      <c r="BD361">
        <v>0.01</v>
      </c>
      <c r="BE361" s="37">
        <f t="shared" si="168"/>
        <v>261307.19999999998</v>
      </c>
      <c r="BF361" s="38">
        <f t="shared" si="169"/>
        <v>161196</v>
      </c>
      <c r="BG361" s="37">
        <f t="shared" si="149"/>
        <v>132800</v>
      </c>
      <c r="BH361" s="37">
        <f t="shared" si="170"/>
        <v>141400</v>
      </c>
      <c r="BI361">
        <v>132800</v>
      </c>
      <c r="BL361" s="8">
        <f t="shared" si="171"/>
        <v>0</v>
      </c>
      <c r="BM361" s="7" t="str">
        <f t="shared" si="152"/>
        <v>Terdaftar BPJS Kes &amp; Naker</v>
      </c>
      <c r="BN361" s="11">
        <f t="shared" si="153"/>
        <v>161196</v>
      </c>
      <c r="BO361" s="11">
        <f t="shared" si="154"/>
        <v>128391.20000000001</v>
      </c>
      <c r="BP361" s="9">
        <f t="shared" si="172"/>
        <v>0</v>
      </c>
      <c r="BQ361" t="str">
        <f>_xlfn.XLOOKUP(X361,'[2]NON TETAP'!$H:$H,'[2]NON TETAP'!$I:$I)</f>
        <v>GRAMEDIA ASRI MEDIA</v>
      </c>
    </row>
    <row r="362" spans="1:69" x14ac:dyDescent="0.3">
      <c r="A362" s="2">
        <v>361</v>
      </c>
      <c r="B362" s="4" t="s">
        <v>1987</v>
      </c>
      <c r="C362" s="6" t="s">
        <v>241</v>
      </c>
      <c r="D362" s="6"/>
      <c r="E362" s="6" t="s">
        <v>73</v>
      </c>
      <c r="F362" s="6" t="s">
        <v>73</v>
      </c>
      <c r="G362" s="6" t="s">
        <v>73</v>
      </c>
      <c r="H362" s="6"/>
      <c r="I362" s="6"/>
      <c r="J362" s="6"/>
      <c r="K362" s="6">
        <v>800454</v>
      </c>
      <c r="L362" s="6"/>
      <c r="M362" s="6"/>
      <c r="N362" s="46" t="s">
        <v>1992</v>
      </c>
      <c r="O362" s="6">
        <v>1442148851</v>
      </c>
      <c r="P362" s="78" t="s">
        <v>1991</v>
      </c>
      <c r="Q362" s="6">
        <v>10105</v>
      </c>
      <c r="R362" s="6">
        <v>27105</v>
      </c>
      <c r="S362" s="5" t="str">
        <f>VLOOKUP(T362,'[1]Kode Posisi'!$A$3:$B$45,2,)</f>
        <v>Outsourcing Cleaning Service</v>
      </c>
      <c r="T362" s="36" t="s">
        <v>47</v>
      </c>
      <c r="U362" s="44" t="s">
        <v>1071</v>
      </c>
      <c r="V362" s="44" t="s">
        <v>1990</v>
      </c>
      <c r="W362" s="36" t="s">
        <v>1989</v>
      </c>
      <c r="X362" s="36" t="s">
        <v>104</v>
      </c>
      <c r="Y362" s="36" t="s">
        <v>52</v>
      </c>
      <c r="Z362" s="76" t="s">
        <v>1988</v>
      </c>
      <c r="AA362" s="36" t="s">
        <v>1987</v>
      </c>
      <c r="AB362" s="47">
        <v>2828000</v>
      </c>
      <c r="AC362" s="41">
        <v>2828000</v>
      </c>
      <c r="AD362" s="3">
        <v>2656000</v>
      </c>
      <c r="AE362" s="16">
        <f t="shared" si="174"/>
        <v>172000</v>
      </c>
      <c r="AF362" s="16">
        <v>0</v>
      </c>
      <c r="AG362" s="17">
        <v>0</v>
      </c>
      <c r="AI362" s="16">
        <v>0</v>
      </c>
      <c r="AK362" s="16">
        <v>0</v>
      </c>
      <c r="AL362" s="11">
        <f t="shared" si="156"/>
        <v>2828000</v>
      </c>
      <c r="AM362" s="16">
        <f t="shared" si="157"/>
        <v>289587.19999999995</v>
      </c>
      <c r="AN362" s="16">
        <f t="shared" si="158"/>
        <v>113120</v>
      </c>
      <c r="AO362" s="16">
        <f t="shared" si="148"/>
        <v>176467.19999999998</v>
      </c>
      <c r="AP362" s="16">
        <f t="shared" si="159"/>
        <v>104636</v>
      </c>
      <c r="AQ362" s="16">
        <f t="shared" si="160"/>
        <v>3117587.2</v>
      </c>
      <c r="AR362" s="16">
        <f t="shared" si="151"/>
        <v>187055.23200000002</v>
      </c>
      <c r="AS362" s="16">
        <f t="shared" si="161"/>
        <v>20576.075520000002</v>
      </c>
      <c r="AT362" s="16">
        <f t="shared" si="162"/>
        <v>-3741.1046400000005</v>
      </c>
      <c r="AU362" s="16">
        <f t="shared" si="163"/>
        <v>3300901.32736</v>
      </c>
      <c r="AV362" s="16">
        <f t="shared" si="164"/>
        <v>3304642.432</v>
      </c>
      <c r="AW362" s="16">
        <f t="shared" si="165"/>
        <v>113120</v>
      </c>
      <c r="AX362" s="16" t="s">
        <v>235</v>
      </c>
      <c r="AZ362" s="17">
        <f t="shared" si="173"/>
        <v>0</v>
      </c>
      <c r="BA362" s="16">
        <f t="shared" si="166"/>
        <v>2714880</v>
      </c>
      <c r="BB362" s="16">
        <f t="shared" si="167"/>
        <v>2714880</v>
      </c>
      <c r="BC362" s="15">
        <v>0.03</v>
      </c>
      <c r="BD362">
        <v>0.01</v>
      </c>
      <c r="BE362" s="37">
        <f t="shared" si="168"/>
        <v>261307.19999999998</v>
      </c>
      <c r="BF362" s="38">
        <f t="shared" si="169"/>
        <v>161196</v>
      </c>
      <c r="BG362" s="37">
        <f t="shared" si="149"/>
        <v>132800</v>
      </c>
      <c r="BH362" s="37">
        <f t="shared" si="170"/>
        <v>141400</v>
      </c>
      <c r="BI362">
        <v>132800</v>
      </c>
      <c r="BL362" s="8">
        <f t="shared" si="171"/>
        <v>0</v>
      </c>
      <c r="BM362" s="7" t="str">
        <f t="shared" si="152"/>
        <v>Terdaftar BPJS Kes &amp; Naker</v>
      </c>
      <c r="BN362" s="11">
        <f t="shared" si="153"/>
        <v>161196</v>
      </c>
      <c r="BO362" s="11">
        <f t="shared" si="154"/>
        <v>128391.20000000001</v>
      </c>
      <c r="BP362" s="9">
        <f t="shared" si="172"/>
        <v>0</v>
      </c>
      <c r="BQ362" t="str">
        <f>_xlfn.XLOOKUP(X362,'[2]NON TETAP'!$H:$H,'[2]NON TETAP'!$I:$I)</f>
        <v>GRAMEDIA ASRI MEDIA</v>
      </c>
    </row>
    <row r="363" spans="1:69" x14ac:dyDescent="0.3">
      <c r="A363" s="2">
        <v>362</v>
      </c>
      <c r="B363" s="4" t="s">
        <v>1981</v>
      </c>
      <c r="C363" s="6" t="s">
        <v>241</v>
      </c>
      <c r="D363" s="6"/>
      <c r="E363" s="6" t="s">
        <v>73</v>
      </c>
      <c r="F363" s="6" t="s">
        <v>73</v>
      </c>
      <c r="G363" s="6" t="s">
        <v>73</v>
      </c>
      <c r="H363" s="6"/>
      <c r="I363" s="6"/>
      <c r="J363" s="6"/>
      <c r="K363" s="6">
        <v>800455</v>
      </c>
      <c r="L363" s="6"/>
      <c r="M363" s="6" t="s">
        <v>1986</v>
      </c>
      <c r="N363" s="46" t="s">
        <v>1985</v>
      </c>
      <c r="O363" s="6">
        <v>282333172</v>
      </c>
      <c r="P363" s="78" t="s">
        <v>1984</v>
      </c>
      <c r="Q363" s="6">
        <v>10114</v>
      </c>
      <c r="R363" s="6">
        <v>27114</v>
      </c>
      <c r="S363" s="5" t="str">
        <f>VLOOKUP(T363,'[1]Kode Posisi'!$A$3:$B$45,2,)</f>
        <v>Outsourcing Cleaning Service</v>
      </c>
      <c r="T363" s="36" t="s">
        <v>47</v>
      </c>
      <c r="U363" s="44" t="s">
        <v>1100</v>
      </c>
      <c r="V363" s="44" t="s">
        <v>1983</v>
      </c>
      <c r="W363" s="36" t="s">
        <v>1098</v>
      </c>
      <c r="X363" s="36" t="s">
        <v>486</v>
      </c>
      <c r="Y363" s="36" t="s">
        <v>473</v>
      </c>
      <c r="Z363" s="79" t="s">
        <v>1982</v>
      </c>
      <c r="AA363" s="36" t="s">
        <v>1981</v>
      </c>
      <c r="AB363" s="47">
        <v>3183000</v>
      </c>
      <c r="AC363" s="41">
        <v>3183000</v>
      </c>
      <c r="AD363" s="3">
        <v>2995000</v>
      </c>
      <c r="AE363" s="16">
        <f t="shared" si="174"/>
        <v>188000</v>
      </c>
      <c r="AF363" s="16">
        <v>0</v>
      </c>
      <c r="AG363" s="17">
        <v>0</v>
      </c>
      <c r="AI363" s="16">
        <v>0</v>
      </c>
      <c r="AK363" s="16">
        <v>0</v>
      </c>
      <c r="AL363" s="11">
        <f t="shared" si="156"/>
        <v>3183000</v>
      </c>
      <c r="AM363" s="16">
        <f t="shared" si="157"/>
        <v>325939.19999999995</v>
      </c>
      <c r="AN363" s="16">
        <f t="shared" si="158"/>
        <v>127320</v>
      </c>
      <c r="AO363" s="16">
        <f t="shared" si="148"/>
        <v>198619.19999999998</v>
      </c>
      <c r="AP363" s="16">
        <f t="shared" si="159"/>
        <v>117771</v>
      </c>
      <c r="AQ363" s="16">
        <f t="shared" si="160"/>
        <v>3508939.2</v>
      </c>
      <c r="AR363" s="16">
        <f t="shared" si="151"/>
        <v>210536.35200000001</v>
      </c>
      <c r="AS363" s="16">
        <f t="shared" si="161"/>
        <v>23158.998720000003</v>
      </c>
      <c r="AT363" s="16">
        <f t="shared" si="162"/>
        <v>-4210.7270400000007</v>
      </c>
      <c r="AU363" s="16">
        <f t="shared" si="163"/>
        <v>3715264.8249600003</v>
      </c>
      <c r="AV363" s="16">
        <f t="shared" si="164"/>
        <v>3719475.5520000001</v>
      </c>
      <c r="AW363" s="16">
        <f t="shared" si="165"/>
        <v>127320</v>
      </c>
      <c r="AX363" s="16" t="s">
        <v>235</v>
      </c>
      <c r="AZ363" s="17">
        <f t="shared" si="173"/>
        <v>2900</v>
      </c>
      <c r="BA363" s="16">
        <f t="shared" si="166"/>
        <v>3055680</v>
      </c>
      <c r="BB363" s="16">
        <f t="shared" si="167"/>
        <v>3052780</v>
      </c>
      <c r="BC363">
        <v>0.03</v>
      </c>
      <c r="BD363">
        <v>0.01</v>
      </c>
      <c r="BE363" s="37">
        <f t="shared" si="168"/>
        <v>294109.2</v>
      </c>
      <c r="BF363" s="38">
        <f t="shared" si="169"/>
        <v>181431.00000000003</v>
      </c>
      <c r="BG363" s="37">
        <f t="shared" si="149"/>
        <v>149750</v>
      </c>
      <c r="BH363" s="37">
        <f t="shared" si="170"/>
        <v>159150</v>
      </c>
      <c r="BI363">
        <v>149750</v>
      </c>
      <c r="BL363" s="8">
        <f t="shared" si="171"/>
        <v>0</v>
      </c>
      <c r="BM363" s="7" t="str">
        <f t="shared" si="152"/>
        <v>Terdaftar BPJS Kes &amp; Naker</v>
      </c>
      <c r="BN363" s="11">
        <f t="shared" si="153"/>
        <v>181431</v>
      </c>
      <c r="BO363" s="11">
        <f t="shared" si="154"/>
        <v>144508.20000000001</v>
      </c>
      <c r="BP363" s="9">
        <f t="shared" si="172"/>
        <v>0</v>
      </c>
      <c r="BQ363" t="str">
        <f>_xlfn.XLOOKUP(X363,'[2]NON TETAP'!$H:$H,'[2]NON TETAP'!$I:$I)</f>
        <v>GRAMEDIA ASRI MEDIA</v>
      </c>
    </row>
    <row r="364" spans="1:69" x14ac:dyDescent="0.3">
      <c r="A364" s="2">
        <v>363</v>
      </c>
      <c r="B364" s="4" t="s">
        <v>1980</v>
      </c>
      <c r="C364" s="6" t="s">
        <v>241</v>
      </c>
      <c r="D364" s="6"/>
      <c r="E364" s="6" t="s">
        <v>73</v>
      </c>
      <c r="F364" s="6" t="s">
        <v>73</v>
      </c>
      <c r="G364" s="6" t="s">
        <v>73</v>
      </c>
      <c r="H364" s="6"/>
      <c r="I364" s="6"/>
      <c r="J364" s="6"/>
      <c r="K364" s="6">
        <v>800456</v>
      </c>
      <c r="L364" s="6"/>
      <c r="M364" s="6" t="s">
        <v>1979</v>
      </c>
      <c r="N364" s="46" t="s">
        <v>1978</v>
      </c>
      <c r="O364" s="6">
        <v>282566103</v>
      </c>
      <c r="P364" s="78" t="s">
        <v>1977</v>
      </c>
      <c r="Q364" s="6">
        <v>10114</v>
      </c>
      <c r="R364" s="6">
        <v>27114</v>
      </c>
      <c r="S364" s="5" t="str">
        <f>VLOOKUP(T364,'[1]Kode Posisi'!$A$3:$B$45,2,)</f>
        <v>Outsourcing Cleaning Service</v>
      </c>
      <c r="T364" s="36" t="s">
        <v>47</v>
      </c>
      <c r="U364" s="44" t="s">
        <v>1100</v>
      </c>
      <c r="V364" s="44" t="s">
        <v>1976</v>
      </c>
      <c r="W364" s="36" t="s">
        <v>1098</v>
      </c>
      <c r="X364" s="36" t="s">
        <v>486</v>
      </c>
      <c r="Y364" s="36" t="s">
        <v>52</v>
      </c>
      <c r="Z364" s="79" t="s">
        <v>1975</v>
      </c>
      <c r="AA364" s="36" t="s">
        <v>1974</v>
      </c>
      <c r="AB364" s="47">
        <v>3183000</v>
      </c>
      <c r="AC364" s="41">
        <v>3183000</v>
      </c>
      <c r="AD364" s="3">
        <v>2995000</v>
      </c>
      <c r="AE364" s="16">
        <f t="shared" si="174"/>
        <v>188000</v>
      </c>
      <c r="AF364" s="16">
        <v>0</v>
      </c>
      <c r="AG364" s="17">
        <v>0</v>
      </c>
      <c r="AI364" s="16">
        <v>0</v>
      </c>
      <c r="AK364" s="16">
        <v>0</v>
      </c>
      <c r="AL364" s="11">
        <f t="shared" si="156"/>
        <v>3183000</v>
      </c>
      <c r="AM364" s="16">
        <f t="shared" si="157"/>
        <v>325939.19999999995</v>
      </c>
      <c r="AN364" s="16">
        <f t="shared" si="158"/>
        <v>127320</v>
      </c>
      <c r="AO364" s="16">
        <f t="shared" si="148"/>
        <v>198619.19999999998</v>
      </c>
      <c r="AP364" s="16">
        <f t="shared" si="159"/>
        <v>117771</v>
      </c>
      <c r="AQ364" s="16">
        <f t="shared" si="160"/>
        <v>3508939.2</v>
      </c>
      <c r="AR364" s="16">
        <f t="shared" si="151"/>
        <v>210536.35200000001</v>
      </c>
      <c r="AS364" s="16">
        <f t="shared" si="161"/>
        <v>23158.998720000003</v>
      </c>
      <c r="AT364" s="16">
        <f t="shared" si="162"/>
        <v>-4210.7270400000007</v>
      </c>
      <c r="AU364" s="16">
        <f t="shared" si="163"/>
        <v>3715264.8249600003</v>
      </c>
      <c r="AV364" s="16">
        <f t="shared" si="164"/>
        <v>3719475.5520000001</v>
      </c>
      <c r="AW364" s="16">
        <f t="shared" si="165"/>
        <v>127320</v>
      </c>
      <c r="AX364" s="16" t="s">
        <v>235</v>
      </c>
      <c r="AZ364" s="17">
        <f t="shared" si="173"/>
        <v>0</v>
      </c>
      <c r="BA364" s="16">
        <f t="shared" si="166"/>
        <v>3055680</v>
      </c>
      <c r="BB364" s="16">
        <f t="shared" si="167"/>
        <v>3055680</v>
      </c>
      <c r="BC364">
        <v>0.03</v>
      </c>
      <c r="BD364">
        <v>0.01</v>
      </c>
      <c r="BE364" s="37">
        <f t="shared" si="168"/>
        <v>294109.2</v>
      </c>
      <c r="BF364" s="38">
        <f t="shared" si="169"/>
        <v>181431.00000000003</v>
      </c>
      <c r="BG364" s="37">
        <f t="shared" si="149"/>
        <v>149750</v>
      </c>
      <c r="BH364" s="37">
        <f t="shared" si="170"/>
        <v>159150</v>
      </c>
      <c r="BI364">
        <v>149750</v>
      </c>
      <c r="BJ364" s="2">
        <v>149750</v>
      </c>
      <c r="BL364" s="8">
        <f t="shared" si="171"/>
        <v>0</v>
      </c>
      <c r="BM364" s="7" t="str">
        <f t="shared" si="152"/>
        <v>Terdaftar BPJS Kes &amp; Naker</v>
      </c>
      <c r="BN364" s="11">
        <f t="shared" si="153"/>
        <v>181431</v>
      </c>
      <c r="BO364" s="11">
        <f t="shared" si="154"/>
        <v>144508.20000000001</v>
      </c>
      <c r="BP364" s="9">
        <f t="shared" si="172"/>
        <v>0</v>
      </c>
      <c r="BQ364" t="str">
        <f>_xlfn.XLOOKUP(X364,'[2]NON TETAP'!$H:$H,'[2]NON TETAP'!$I:$I)</f>
        <v>GRAMEDIA ASRI MEDIA</v>
      </c>
    </row>
    <row r="365" spans="1:69" x14ac:dyDescent="0.3">
      <c r="A365" s="2">
        <v>364</v>
      </c>
      <c r="B365" s="4" t="s">
        <v>1969</v>
      </c>
      <c r="C365" s="6" t="s">
        <v>241</v>
      </c>
      <c r="D365" s="6"/>
      <c r="E365" s="6" t="s">
        <v>73</v>
      </c>
      <c r="F365" s="6" t="s">
        <v>73</v>
      </c>
      <c r="G365" s="6" t="s">
        <v>73</v>
      </c>
      <c r="H365" s="6"/>
      <c r="I365" s="6"/>
      <c r="J365" s="6"/>
      <c r="K365" s="6">
        <v>800457</v>
      </c>
      <c r="L365" s="6"/>
      <c r="M365" s="6" t="s">
        <v>1973</v>
      </c>
      <c r="N365" s="46" t="s">
        <v>1972</v>
      </c>
      <c r="O365" s="6">
        <v>1306126743</v>
      </c>
      <c r="P365" s="78" t="s">
        <v>1971</v>
      </c>
      <c r="Q365" s="6">
        <v>10114</v>
      </c>
      <c r="R365" s="6">
        <v>27114</v>
      </c>
      <c r="S365" s="5" t="str">
        <f>VLOOKUP(T365,'[1]Kode Posisi'!$A$3:$B$45,2,)</f>
        <v>Outsourcing Cleaning Service</v>
      </c>
      <c r="T365" s="36" t="s">
        <v>47</v>
      </c>
      <c r="U365" s="44" t="s">
        <v>1100</v>
      </c>
      <c r="V365" s="44" t="s">
        <v>1970</v>
      </c>
      <c r="W365" s="36" t="s">
        <v>1098</v>
      </c>
      <c r="X365" s="36" t="s">
        <v>486</v>
      </c>
      <c r="Y365" s="36" t="s">
        <v>52</v>
      </c>
      <c r="Z365" s="79">
        <v>8565248754</v>
      </c>
      <c r="AA365" s="36" t="s">
        <v>1969</v>
      </c>
      <c r="AB365" s="47">
        <v>3183000</v>
      </c>
      <c r="AC365" s="41">
        <v>3183000</v>
      </c>
      <c r="AD365" s="3">
        <v>2995000</v>
      </c>
      <c r="AE365" s="16">
        <f t="shared" si="174"/>
        <v>188000</v>
      </c>
      <c r="AF365" s="16">
        <v>0</v>
      </c>
      <c r="AG365" s="17">
        <v>0</v>
      </c>
      <c r="AI365" s="16">
        <v>0</v>
      </c>
      <c r="AK365" s="16">
        <v>0</v>
      </c>
      <c r="AL365" s="11">
        <f t="shared" si="156"/>
        <v>3183000</v>
      </c>
      <c r="AM365" s="16">
        <f t="shared" si="157"/>
        <v>325939.19999999995</v>
      </c>
      <c r="AN365" s="16">
        <f t="shared" si="158"/>
        <v>127320</v>
      </c>
      <c r="AO365" s="16">
        <f t="shared" si="148"/>
        <v>198619.19999999998</v>
      </c>
      <c r="AP365" s="16">
        <f t="shared" si="159"/>
        <v>117771</v>
      </c>
      <c r="AQ365" s="16">
        <f t="shared" si="160"/>
        <v>3508939.2</v>
      </c>
      <c r="AR365" s="16">
        <f t="shared" si="151"/>
        <v>210536.35200000001</v>
      </c>
      <c r="AS365" s="16">
        <f t="shared" si="161"/>
        <v>23158.998720000003</v>
      </c>
      <c r="AT365" s="16">
        <f t="shared" si="162"/>
        <v>-4210.7270400000007</v>
      </c>
      <c r="AU365" s="16">
        <f t="shared" si="163"/>
        <v>3715264.8249600003</v>
      </c>
      <c r="AV365" s="16">
        <f t="shared" si="164"/>
        <v>3719475.5520000001</v>
      </c>
      <c r="AW365" s="16">
        <f t="shared" si="165"/>
        <v>127320</v>
      </c>
      <c r="AX365" s="16" t="s">
        <v>235</v>
      </c>
      <c r="AZ365" s="17">
        <f t="shared" si="173"/>
        <v>0</v>
      </c>
      <c r="BA365" s="16">
        <f t="shared" si="166"/>
        <v>3055680</v>
      </c>
      <c r="BB365" s="16">
        <f t="shared" si="167"/>
        <v>3055680</v>
      </c>
      <c r="BC365">
        <v>0.03</v>
      </c>
      <c r="BD365">
        <v>0.01</v>
      </c>
      <c r="BE365" s="37">
        <f t="shared" si="168"/>
        <v>294109.2</v>
      </c>
      <c r="BF365" s="38">
        <f t="shared" si="169"/>
        <v>181431.00000000003</v>
      </c>
      <c r="BG365" s="37">
        <f t="shared" si="149"/>
        <v>149750</v>
      </c>
      <c r="BH365" s="37">
        <f t="shared" si="170"/>
        <v>159150</v>
      </c>
      <c r="BI365">
        <v>149750</v>
      </c>
      <c r="BL365" s="8">
        <f t="shared" si="171"/>
        <v>0</v>
      </c>
      <c r="BM365" s="7" t="str">
        <f t="shared" si="152"/>
        <v>Terdaftar BPJS Kes &amp; Naker</v>
      </c>
      <c r="BN365" s="11">
        <f t="shared" si="153"/>
        <v>181431</v>
      </c>
      <c r="BO365" s="11">
        <f t="shared" si="154"/>
        <v>144508.20000000001</v>
      </c>
      <c r="BP365" s="9">
        <f t="shared" si="172"/>
        <v>0</v>
      </c>
      <c r="BQ365" t="str">
        <f>_xlfn.XLOOKUP(X365,'[2]NON TETAP'!$H:$H,'[2]NON TETAP'!$I:$I)</f>
        <v>GRAMEDIA ASRI MEDIA</v>
      </c>
    </row>
    <row r="366" spans="1:69" x14ac:dyDescent="0.3">
      <c r="A366" s="2">
        <v>365</v>
      </c>
      <c r="B366" s="4" t="s">
        <v>1968</v>
      </c>
      <c r="C366" s="6" t="s">
        <v>241</v>
      </c>
      <c r="D366" s="6"/>
      <c r="E366" s="6" t="s">
        <v>73</v>
      </c>
      <c r="F366" s="6" t="s">
        <v>73</v>
      </c>
      <c r="G366" s="6" t="s">
        <v>73</v>
      </c>
      <c r="H366" s="6"/>
      <c r="I366" s="6"/>
      <c r="J366" s="6"/>
      <c r="K366" s="6">
        <v>800458</v>
      </c>
      <c r="L366" s="6"/>
      <c r="M366" s="6" t="s">
        <v>1967</v>
      </c>
      <c r="N366" s="46" t="s">
        <v>1966</v>
      </c>
      <c r="O366" s="6">
        <v>296392048</v>
      </c>
      <c r="P366" s="78" t="s">
        <v>1965</v>
      </c>
      <c r="Q366" s="6">
        <v>10126</v>
      </c>
      <c r="R366" s="6">
        <v>27126</v>
      </c>
      <c r="S366" s="5" t="str">
        <f>VLOOKUP(T366,'[1]Kode Posisi'!$A$3:$B$45,2,)</f>
        <v>Outsourcing Cleaning Service</v>
      </c>
      <c r="T366" s="36" t="s">
        <v>47</v>
      </c>
      <c r="U366" s="44" t="s">
        <v>1952</v>
      </c>
      <c r="V366" s="44" t="s">
        <v>1964</v>
      </c>
      <c r="W366" s="36" t="s">
        <v>65</v>
      </c>
      <c r="X366" s="36" t="s">
        <v>64</v>
      </c>
      <c r="Y366" s="36" t="s">
        <v>52</v>
      </c>
      <c r="Z366" s="79" t="s">
        <v>1963</v>
      </c>
      <c r="AA366" s="36" t="s">
        <v>1962</v>
      </c>
      <c r="AB366" s="47">
        <v>3999000</v>
      </c>
      <c r="AC366" s="41">
        <v>3999000</v>
      </c>
      <c r="AD366" s="3">
        <v>3676000</v>
      </c>
      <c r="AE366" s="16">
        <f t="shared" si="174"/>
        <v>323000</v>
      </c>
      <c r="AF366" s="16">
        <v>0</v>
      </c>
      <c r="AG366" s="17">
        <v>0</v>
      </c>
      <c r="AI366" s="16">
        <v>0</v>
      </c>
      <c r="AK366" s="16">
        <v>0</v>
      </c>
      <c r="AL366" s="11">
        <f t="shared" si="156"/>
        <v>3999000</v>
      </c>
      <c r="AM366" s="16">
        <f t="shared" si="157"/>
        <v>409497.59999999998</v>
      </c>
      <c r="AN366" s="16">
        <f t="shared" si="158"/>
        <v>159960</v>
      </c>
      <c r="AO366" s="16">
        <f t="shared" ref="AO366:AO429" si="175">IF(BC366=0.03,AC366*0.0624,0)</f>
        <v>249537.59999999998</v>
      </c>
      <c r="AP366" s="16">
        <f t="shared" si="159"/>
        <v>147963</v>
      </c>
      <c r="AQ366" s="16">
        <f t="shared" si="160"/>
        <v>4408497.5999999996</v>
      </c>
      <c r="AR366" s="16">
        <f t="shared" si="151"/>
        <v>264509.85599999997</v>
      </c>
      <c r="AS366" s="16">
        <f t="shared" si="161"/>
        <v>29096.084159999999</v>
      </c>
      <c r="AT366" s="16">
        <f t="shared" si="162"/>
        <v>-5290.1971199999998</v>
      </c>
      <c r="AU366" s="16">
        <f t="shared" si="163"/>
        <v>4667717.2588799996</v>
      </c>
      <c r="AV366" s="16">
        <f t="shared" si="164"/>
        <v>4673007.4559999993</v>
      </c>
      <c r="AW366" s="16">
        <f t="shared" si="165"/>
        <v>159960</v>
      </c>
      <c r="AX366" s="16" t="s">
        <v>235</v>
      </c>
      <c r="AZ366" s="17">
        <f t="shared" si="173"/>
        <v>0</v>
      </c>
      <c r="BA366" s="16">
        <f t="shared" si="166"/>
        <v>3839040</v>
      </c>
      <c r="BB366" s="16">
        <f t="shared" si="167"/>
        <v>3839040</v>
      </c>
      <c r="BC366">
        <v>0.03</v>
      </c>
      <c r="BD366">
        <v>0.01</v>
      </c>
      <c r="BE366" s="37">
        <f t="shared" si="168"/>
        <v>369507.6</v>
      </c>
      <c r="BF366" s="38">
        <f t="shared" si="169"/>
        <v>227943</v>
      </c>
      <c r="BG366" s="37">
        <f t="shared" ref="BG366:BG429" si="176">5%*AD366</f>
        <v>183800</v>
      </c>
      <c r="BH366" s="37">
        <f t="shared" si="170"/>
        <v>199950</v>
      </c>
      <c r="BI366">
        <v>183800</v>
      </c>
      <c r="BL366" s="8">
        <f t="shared" si="171"/>
        <v>0</v>
      </c>
      <c r="BM366" s="7" t="str">
        <f t="shared" si="152"/>
        <v>Terdaftar BPJS Kes &amp; Naker</v>
      </c>
      <c r="BN366" s="11">
        <f t="shared" si="153"/>
        <v>227943</v>
      </c>
      <c r="BO366" s="11">
        <f t="shared" si="154"/>
        <v>181554.6</v>
      </c>
      <c r="BP366" s="9">
        <f t="shared" si="172"/>
        <v>0</v>
      </c>
      <c r="BQ366" t="str">
        <f>_xlfn.XLOOKUP(X366,'[2]NON TETAP'!$H:$H,'[2]NON TETAP'!$I:$I)</f>
        <v>GRAMEDIA ASRI MEDIA</v>
      </c>
    </row>
    <row r="367" spans="1:69" x14ac:dyDescent="0.3">
      <c r="A367" s="2">
        <v>366</v>
      </c>
      <c r="B367" s="4" t="s">
        <v>1957</v>
      </c>
      <c r="C367" s="6" t="s">
        <v>241</v>
      </c>
      <c r="D367" s="6"/>
      <c r="E367" s="6" t="s">
        <v>73</v>
      </c>
      <c r="F367" s="6" t="s">
        <v>73</v>
      </c>
      <c r="G367" s="6" t="s">
        <v>73</v>
      </c>
      <c r="H367" s="6"/>
      <c r="I367" s="6"/>
      <c r="J367" s="6"/>
      <c r="K367" s="6">
        <v>800459</v>
      </c>
      <c r="L367" s="6"/>
      <c r="M367" s="6" t="s">
        <v>1961</v>
      </c>
      <c r="N367" s="46" t="s">
        <v>1960</v>
      </c>
      <c r="O367" s="6">
        <v>3640809543</v>
      </c>
      <c r="P367" s="78" t="s">
        <v>1959</v>
      </c>
      <c r="Q367" s="6">
        <v>10126</v>
      </c>
      <c r="R367" s="6">
        <v>27126</v>
      </c>
      <c r="S367" s="5" t="str">
        <f>VLOOKUP(T367,'[1]Kode Posisi'!$A$3:$B$45,2,)</f>
        <v>Outsourcing Cleaning Service</v>
      </c>
      <c r="T367" s="36" t="s">
        <v>47</v>
      </c>
      <c r="U367" s="44" t="s">
        <v>1952</v>
      </c>
      <c r="V367" s="44" t="s">
        <v>1958</v>
      </c>
      <c r="W367" s="36" t="s">
        <v>65</v>
      </c>
      <c r="X367" s="36" t="s">
        <v>64</v>
      </c>
      <c r="Y367" s="36" t="s">
        <v>52</v>
      </c>
      <c r="Z367" s="79">
        <v>2201190101</v>
      </c>
      <c r="AA367" s="36" t="s">
        <v>1957</v>
      </c>
      <c r="AB367" s="47">
        <v>3999000</v>
      </c>
      <c r="AC367" s="41">
        <v>3999000</v>
      </c>
      <c r="AD367" s="3">
        <v>3676000</v>
      </c>
      <c r="AE367" s="16">
        <f t="shared" si="174"/>
        <v>323000</v>
      </c>
      <c r="AF367" s="16">
        <v>0</v>
      </c>
      <c r="AG367" s="17">
        <v>0</v>
      </c>
      <c r="AI367" s="16">
        <v>0</v>
      </c>
      <c r="AK367" s="16">
        <v>0</v>
      </c>
      <c r="AL367" s="11">
        <f t="shared" si="156"/>
        <v>3999000</v>
      </c>
      <c r="AM367" s="16">
        <f t="shared" si="157"/>
        <v>409497.59999999998</v>
      </c>
      <c r="AN367" s="16">
        <f t="shared" si="158"/>
        <v>159960</v>
      </c>
      <c r="AO367" s="16">
        <f t="shared" si="175"/>
        <v>249537.59999999998</v>
      </c>
      <c r="AP367" s="16">
        <f t="shared" si="159"/>
        <v>147963</v>
      </c>
      <c r="AQ367" s="16">
        <f t="shared" si="160"/>
        <v>4408497.5999999996</v>
      </c>
      <c r="AR367" s="16">
        <f t="shared" si="151"/>
        <v>264509.85599999997</v>
      </c>
      <c r="AS367" s="16">
        <f t="shared" si="161"/>
        <v>29096.084159999999</v>
      </c>
      <c r="AT367" s="16">
        <f t="shared" si="162"/>
        <v>-5290.1971199999998</v>
      </c>
      <c r="AU367" s="16">
        <f t="shared" si="163"/>
        <v>4667717.2588799996</v>
      </c>
      <c r="AV367" s="16">
        <f t="shared" si="164"/>
        <v>4673007.4559999993</v>
      </c>
      <c r="AW367" s="16">
        <f t="shared" si="165"/>
        <v>159960</v>
      </c>
      <c r="AX367" s="16" t="s">
        <v>235</v>
      </c>
      <c r="AZ367" s="17">
        <f t="shared" si="173"/>
        <v>0</v>
      </c>
      <c r="BA367" s="16">
        <f t="shared" si="166"/>
        <v>3839040</v>
      </c>
      <c r="BB367" s="16">
        <f t="shared" si="167"/>
        <v>3839040</v>
      </c>
      <c r="BC367">
        <v>0.03</v>
      </c>
      <c r="BD367">
        <v>0.01</v>
      </c>
      <c r="BE367" s="37">
        <f t="shared" si="168"/>
        <v>369507.6</v>
      </c>
      <c r="BF367" s="38">
        <f t="shared" si="169"/>
        <v>227943</v>
      </c>
      <c r="BG367" s="37">
        <f t="shared" si="176"/>
        <v>183800</v>
      </c>
      <c r="BH367" s="37">
        <f t="shared" si="170"/>
        <v>199950</v>
      </c>
      <c r="BI367">
        <v>183800</v>
      </c>
      <c r="BL367" s="8">
        <f t="shared" si="171"/>
        <v>0</v>
      </c>
      <c r="BM367" s="7" t="str">
        <f t="shared" si="152"/>
        <v>Terdaftar BPJS Kes &amp; Naker</v>
      </c>
      <c r="BN367" s="11">
        <f t="shared" si="153"/>
        <v>227943</v>
      </c>
      <c r="BO367" s="11">
        <f t="shared" si="154"/>
        <v>181554.6</v>
      </c>
      <c r="BP367" s="9">
        <f t="shared" si="172"/>
        <v>0</v>
      </c>
      <c r="BQ367" t="str">
        <f>_xlfn.XLOOKUP(X367,'[2]NON TETAP'!$H:$H,'[2]NON TETAP'!$I:$I)</f>
        <v>GRAMEDIA ASRI MEDIA</v>
      </c>
    </row>
    <row r="368" spans="1:69" x14ac:dyDescent="0.3">
      <c r="A368" s="2">
        <v>367</v>
      </c>
      <c r="B368" s="4" t="s">
        <v>1956</v>
      </c>
      <c r="C368" s="6" t="s">
        <v>241</v>
      </c>
      <c r="D368" s="6"/>
      <c r="E368" s="6" t="s">
        <v>73</v>
      </c>
      <c r="F368" s="6" t="s">
        <v>73</v>
      </c>
      <c r="G368" s="6" t="s">
        <v>73</v>
      </c>
      <c r="H368" s="6"/>
      <c r="I368" s="6"/>
      <c r="J368" s="6"/>
      <c r="K368" s="6">
        <v>800460</v>
      </c>
      <c r="L368" s="6"/>
      <c r="M368" s="6" t="s">
        <v>1955</v>
      </c>
      <c r="N368" s="46" t="s">
        <v>1954</v>
      </c>
      <c r="O368" s="6">
        <v>2117724333</v>
      </c>
      <c r="P368" s="78" t="s">
        <v>1953</v>
      </c>
      <c r="Q368" s="6">
        <v>10126</v>
      </c>
      <c r="R368" s="6">
        <v>27126</v>
      </c>
      <c r="S368" s="5" t="str">
        <f>VLOOKUP(T368,'[1]Kode Posisi'!$A$3:$B$45,2,)</f>
        <v>Outsourcing Cleaning Service</v>
      </c>
      <c r="T368" s="36" t="s">
        <v>47</v>
      </c>
      <c r="U368" s="44" t="s">
        <v>1952</v>
      </c>
      <c r="V368" s="44" t="s">
        <v>1951</v>
      </c>
      <c r="W368" s="36" t="s">
        <v>65</v>
      </c>
      <c r="X368" s="36" t="s">
        <v>64</v>
      </c>
      <c r="Y368" s="36" t="s">
        <v>262</v>
      </c>
      <c r="Z368" s="76" t="s">
        <v>1950</v>
      </c>
      <c r="AA368" s="36" t="s">
        <v>1949</v>
      </c>
      <c r="AB368" s="47">
        <v>3999000</v>
      </c>
      <c r="AC368" s="41">
        <v>3999000</v>
      </c>
      <c r="AD368" s="3">
        <v>3676000</v>
      </c>
      <c r="AE368" s="16">
        <f t="shared" si="174"/>
        <v>323000</v>
      </c>
      <c r="AF368" s="16">
        <v>0</v>
      </c>
      <c r="AG368" s="17">
        <v>0</v>
      </c>
      <c r="AI368" s="16">
        <v>0</v>
      </c>
      <c r="AK368" s="16">
        <v>0</v>
      </c>
      <c r="AL368" s="11">
        <f t="shared" si="156"/>
        <v>3999000</v>
      </c>
      <c r="AM368" s="16">
        <f t="shared" si="157"/>
        <v>409497.59999999998</v>
      </c>
      <c r="AN368" s="16">
        <f t="shared" si="158"/>
        <v>159960</v>
      </c>
      <c r="AO368" s="16">
        <f t="shared" si="175"/>
        <v>249537.59999999998</v>
      </c>
      <c r="AP368" s="16">
        <f t="shared" si="159"/>
        <v>147963</v>
      </c>
      <c r="AQ368" s="16">
        <f t="shared" si="160"/>
        <v>4408497.5999999996</v>
      </c>
      <c r="AR368" s="16">
        <f t="shared" si="151"/>
        <v>264509.85599999997</v>
      </c>
      <c r="AS368" s="16">
        <f t="shared" si="161"/>
        <v>29096.084159999999</v>
      </c>
      <c r="AT368" s="16">
        <f t="shared" si="162"/>
        <v>-5290.1971199999998</v>
      </c>
      <c r="AU368" s="16">
        <f t="shared" si="163"/>
        <v>4667717.2588799996</v>
      </c>
      <c r="AV368" s="16">
        <f t="shared" si="164"/>
        <v>4673007.4559999993</v>
      </c>
      <c r="AW368" s="16">
        <f t="shared" si="165"/>
        <v>159960</v>
      </c>
      <c r="AX368" s="16" t="s">
        <v>286</v>
      </c>
      <c r="AZ368" s="17">
        <f t="shared" ref="AZ368:AZ399" si="177">IF(Y368="BCA",0,2900)</f>
        <v>2900</v>
      </c>
      <c r="BA368" s="16">
        <f t="shared" si="166"/>
        <v>3839040</v>
      </c>
      <c r="BB368" s="16">
        <f t="shared" si="167"/>
        <v>3836140</v>
      </c>
      <c r="BC368">
        <v>0.03</v>
      </c>
      <c r="BD368">
        <v>0.01</v>
      </c>
      <c r="BE368" s="37">
        <f t="shared" si="168"/>
        <v>369507.6</v>
      </c>
      <c r="BF368" s="38">
        <f t="shared" si="169"/>
        <v>227943</v>
      </c>
      <c r="BG368" s="37">
        <f t="shared" si="176"/>
        <v>183800</v>
      </c>
      <c r="BH368" s="37">
        <f t="shared" si="170"/>
        <v>199950</v>
      </c>
      <c r="BI368">
        <v>183800</v>
      </c>
      <c r="BL368" s="8">
        <f t="shared" si="171"/>
        <v>0</v>
      </c>
      <c r="BM368" s="7" t="str">
        <f t="shared" si="152"/>
        <v>Terdaftar BPJS Kes &amp; Naker</v>
      </c>
      <c r="BN368" s="11">
        <f t="shared" si="153"/>
        <v>227943</v>
      </c>
      <c r="BO368" s="11">
        <f t="shared" si="154"/>
        <v>181554.6</v>
      </c>
      <c r="BP368" s="9">
        <f t="shared" si="172"/>
        <v>0</v>
      </c>
      <c r="BQ368" t="str">
        <f>_xlfn.XLOOKUP(X368,'[2]NON TETAP'!$H:$H,'[2]NON TETAP'!$I:$I)</f>
        <v>GRAMEDIA ASRI MEDIA</v>
      </c>
    </row>
    <row r="369" spans="1:69" x14ac:dyDescent="0.3">
      <c r="A369" s="2">
        <v>368</v>
      </c>
      <c r="B369" s="4" t="s">
        <v>1944</v>
      </c>
      <c r="C369" s="6" t="s">
        <v>241</v>
      </c>
      <c r="D369" s="6"/>
      <c r="E369" s="6" t="s">
        <v>73</v>
      </c>
      <c r="F369" s="6" t="s">
        <v>73</v>
      </c>
      <c r="G369" s="6" t="s">
        <v>73</v>
      </c>
      <c r="H369" s="6"/>
      <c r="I369" s="6"/>
      <c r="J369" s="6"/>
      <c r="K369" s="6">
        <v>800461</v>
      </c>
      <c r="L369" s="6"/>
      <c r="M369" s="6"/>
      <c r="N369" s="46" t="s">
        <v>1948</v>
      </c>
      <c r="O369" s="6">
        <v>1705507817</v>
      </c>
      <c r="P369" s="78" t="s">
        <v>1947</v>
      </c>
      <c r="Q369" s="6">
        <v>10489</v>
      </c>
      <c r="R369" s="6">
        <v>27489</v>
      </c>
      <c r="S369" s="5" t="str">
        <f>VLOOKUP(T369,'[1]Kode Posisi'!$A$3:$B$45,2,)</f>
        <v>Outsourcing Cleaning Service</v>
      </c>
      <c r="T369" s="36" t="s">
        <v>47</v>
      </c>
      <c r="U369" s="44" t="s">
        <v>1085</v>
      </c>
      <c r="V369" s="44" t="s">
        <v>1946</v>
      </c>
      <c r="W369" s="49" t="s">
        <v>1083</v>
      </c>
      <c r="X369" s="49" t="s">
        <v>1082</v>
      </c>
      <c r="Y369" s="36" t="s">
        <v>473</v>
      </c>
      <c r="Z369" s="79" t="s">
        <v>1945</v>
      </c>
      <c r="AA369" s="36" t="s">
        <v>1944</v>
      </c>
      <c r="AB369" s="47">
        <v>5248000</v>
      </c>
      <c r="AC369" s="41">
        <v>5248000</v>
      </c>
      <c r="AD369" s="3">
        <v>4975000</v>
      </c>
      <c r="AE369" s="16">
        <f t="shared" si="174"/>
        <v>273000</v>
      </c>
      <c r="AF369" s="16">
        <v>0</v>
      </c>
      <c r="AG369" s="17">
        <v>0</v>
      </c>
      <c r="AI369" s="16">
        <v>172543.35260115608</v>
      </c>
      <c r="AK369" s="16">
        <v>0</v>
      </c>
      <c r="AL369" s="11">
        <f t="shared" si="156"/>
        <v>5420543.3526011556</v>
      </c>
      <c r="AM369" s="16">
        <f t="shared" si="157"/>
        <v>537395.19999999995</v>
      </c>
      <c r="AN369" s="16">
        <f t="shared" si="158"/>
        <v>209920</v>
      </c>
      <c r="AO369" s="16">
        <f t="shared" si="175"/>
        <v>327475.20000000001</v>
      </c>
      <c r="AP369" s="16">
        <f t="shared" si="159"/>
        <v>194176</v>
      </c>
      <c r="AQ369" s="16">
        <f t="shared" si="160"/>
        <v>5957938.5526011558</v>
      </c>
      <c r="AR369" s="16">
        <f t="shared" si="151"/>
        <v>357476.31315606931</v>
      </c>
      <c r="AS369" s="16">
        <f t="shared" si="161"/>
        <v>39322.394447167622</v>
      </c>
      <c r="AT369" s="16">
        <f t="shared" si="162"/>
        <v>-7149.5262631213864</v>
      </c>
      <c r="AU369" s="16">
        <f t="shared" si="163"/>
        <v>6308265.3394941036</v>
      </c>
      <c r="AV369" s="16">
        <f t="shared" si="164"/>
        <v>6315414.8657572251</v>
      </c>
      <c r="AW369" s="16">
        <f t="shared" si="165"/>
        <v>209920</v>
      </c>
      <c r="AX369" s="16" t="s">
        <v>286</v>
      </c>
      <c r="AZ369" s="17">
        <f t="shared" si="177"/>
        <v>2900</v>
      </c>
      <c r="BA369" s="16">
        <f t="shared" si="166"/>
        <v>5210623.3526011556</v>
      </c>
      <c r="BB369" s="16">
        <f t="shared" si="167"/>
        <v>5207723.3526011556</v>
      </c>
      <c r="BC369" s="15">
        <v>0.03</v>
      </c>
      <c r="BD369">
        <v>0.01</v>
      </c>
      <c r="BE369" s="37">
        <f t="shared" si="168"/>
        <v>484915.19999999995</v>
      </c>
      <c r="BF369" s="38">
        <f t="shared" si="169"/>
        <v>299136</v>
      </c>
      <c r="BG369" s="37">
        <f t="shared" si="176"/>
        <v>248750</v>
      </c>
      <c r="BH369" s="37">
        <f t="shared" si="170"/>
        <v>262400</v>
      </c>
      <c r="BI369">
        <v>248750</v>
      </c>
      <c r="BL369" s="8">
        <f t="shared" si="171"/>
        <v>172543.35260115608</v>
      </c>
      <c r="BM369" s="7" t="str">
        <f t="shared" si="152"/>
        <v>Terdaftar BPJS Kes &amp; Naker</v>
      </c>
      <c r="BN369" s="11">
        <f t="shared" si="153"/>
        <v>299136</v>
      </c>
      <c r="BO369" s="11">
        <f t="shared" si="154"/>
        <v>238259.20000000001</v>
      </c>
      <c r="BP369" s="9">
        <f t="shared" si="172"/>
        <v>0</v>
      </c>
      <c r="BQ369" t="str">
        <f>_xlfn.XLOOKUP(X369,'[2]NON TETAP'!$H:$H,'[2]NON TETAP'!$I:$I)</f>
        <v>GRAMEDIA ASRI MEDIA</v>
      </c>
    </row>
    <row r="370" spans="1:69" x14ac:dyDescent="0.3">
      <c r="A370" s="2">
        <v>369</v>
      </c>
      <c r="B370" s="4" t="s">
        <v>1943</v>
      </c>
      <c r="C370" s="6" t="s">
        <v>241</v>
      </c>
      <c r="D370" s="6"/>
      <c r="E370" s="6" t="s">
        <v>73</v>
      </c>
      <c r="F370" s="6" t="s">
        <v>73</v>
      </c>
      <c r="G370" s="6" t="s">
        <v>73</v>
      </c>
      <c r="H370" s="6"/>
      <c r="I370" s="6"/>
      <c r="J370" s="6"/>
      <c r="K370" s="6">
        <v>800462</v>
      </c>
      <c r="L370" s="6"/>
      <c r="M370" s="6" t="s">
        <v>1942</v>
      </c>
      <c r="N370" s="46" t="s">
        <v>1941</v>
      </c>
      <c r="O370" s="6">
        <v>2053246206</v>
      </c>
      <c r="P370" s="78" t="s">
        <v>1940</v>
      </c>
      <c r="Q370" s="6">
        <v>10489</v>
      </c>
      <c r="R370" s="6">
        <v>27489</v>
      </c>
      <c r="S370" s="5" t="str">
        <f>VLOOKUP(T370,'[1]Kode Posisi'!$A$3:$B$45,2,)</f>
        <v>Outsourcing Cleaning Service</v>
      </c>
      <c r="T370" s="36" t="s">
        <v>47</v>
      </c>
      <c r="U370" s="44" t="s">
        <v>1085</v>
      </c>
      <c r="V370" s="44" t="s">
        <v>1939</v>
      </c>
      <c r="W370" s="49" t="s">
        <v>1083</v>
      </c>
      <c r="X370" s="49" t="s">
        <v>1082</v>
      </c>
      <c r="Y370" s="36" t="s">
        <v>473</v>
      </c>
      <c r="Z370" s="79" t="s">
        <v>1938</v>
      </c>
      <c r="AA370" s="36" t="s">
        <v>1937</v>
      </c>
      <c r="AB370" s="47">
        <v>5248000</v>
      </c>
      <c r="AC370" s="41">
        <v>5248000</v>
      </c>
      <c r="AD370" s="3">
        <v>4975000</v>
      </c>
      <c r="AE370" s="16">
        <f t="shared" si="174"/>
        <v>273000</v>
      </c>
      <c r="AF370" s="16">
        <v>0</v>
      </c>
      <c r="AG370" s="17">
        <v>0</v>
      </c>
      <c r="AI370" s="16">
        <v>287572.25433526014</v>
      </c>
      <c r="AK370" s="16">
        <v>0</v>
      </c>
      <c r="AL370" s="11">
        <f t="shared" si="156"/>
        <v>5535572.25433526</v>
      </c>
      <c r="AM370" s="16">
        <f t="shared" si="157"/>
        <v>537395.19999999995</v>
      </c>
      <c r="AN370" s="16">
        <f t="shared" si="158"/>
        <v>209920</v>
      </c>
      <c r="AO370" s="16">
        <f t="shared" si="175"/>
        <v>327475.20000000001</v>
      </c>
      <c r="AP370" s="16">
        <f t="shared" si="159"/>
        <v>194176</v>
      </c>
      <c r="AQ370" s="16">
        <f t="shared" si="160"/>
        <v>6072967.4543352602</v>
      </c>
      <c r="AR370" s="16">
        <f t="shared" si="151"/>
        <v>364378.04726011562</v>
      </c>
      <c r="AS370" s="16">
        <f t="shared" si="161"/>
        <v>40081.585198612716</v>
      </c>
      <c r="AT370" s="16">
        <f t="shared" si="162"/>
        <v>-7287.5609452023127</v>
      </c>
      <c r="AU370" s="16">
        <f t="shared" si="163"/>
        <v>6430057.9406501735</v>
      </c>
      <c r="AV370" s="16">
        <f t="shared" si="164"/>
        <v>6437345.5015953761</v>
      </c>
      <c r="AW370" s="16">
        <f t="shared" si="165"/>
        <v>209920</v>
      </c>
      <c r="AX370" s="16" t="s">
        <v>235</v>
      </c>
      <c r="AZ370" s="17">
        <f t="shared" si="177"/>
        <v>2900</v>
      </c>
      <c r="BA370" s="16">
        <f t="shared" si="166"/>
        <v>5325652.25433526</v>
      </c>
      <c r="BB370" s="16">
        <f t="shared" si="167"/>
        <v>5322752.25433526</v>
      </c>
      <c r="BC370">
        <v>0.03</v>
      </c>
      <c r="BD370">
        <v>0.01</v>
      </c>
      <c r="BE370" s="37">
        <f t="shared" si="168"/>
        <v>484915.19999999995</v>
      </c>
      <c r="BF370" s="38">
        <f t="shared" si="169"/>
        <v>299136</v>
      </c>
      <c r="BG370" s="37">
        <f t="shared" si="176"/>
        <v>248750</v>
      </c>
      <c r="BH370" s="37">
        <f t="shared" si="170"/>
        <v>262400</v>
      </c>
      <c r="BI370">
        <v>248750</v>
      </c>
      <c r="BL370" s="8">
        <f t="shared" si="171"/>
        <v>287572.25433526014</v>
      </c>
      <c r="BM370" s="7" t="str">
        <f t="shared" si="152"/>
        <v>Terdaftar BPJS Kes &amp; Naker</v>
      </c>
      <c r="BN370" s="11">
        <f t="shared" si="153"/>
        <v>299136</v>
      </c>
      <c r="BO370" s="11">
        <f t="shared" si="154"/>
        <v>238259.20000000001</v>
      </c>
      <c r="BP370" s="9">
        <f t="shared" si="172"/>
        <v>0</v>
      </c>
      <c r="BQ370" t="str">
        <f>_xlfn.XLOOKUP(X370,'[2]NON TETAP'!$H:$H,'[2]NON TETAP'!$I:$I)</f>
        <v>GRAMEDIA ASRI MEDIA</v>
      </c>
    </row>
    <row r="371" spans="1:69" x14ac:dyDescent="0.3">
      <c r="A371" s="2">
        <v>370</v>
      </c>
      <c r="B371" s="4" t="s">
        <v>1936</v>
      </c>
      <c r="C371" s="6" t="s">
        <v>241</v>
      </c>
      <c r="D371" s="6"/>
      <c r="E371" s="6" t="s">
        <v>73</v>
      </c>
      <c r="F371" s="6" t="s">
        <v>73</v>
      </c>
      <c r="G371" s="6"/>
      <c r="H371" s="6"/>
      <c r="I371" s="6"/>
      <c r="J371" s="6"/>
      <c r="K371" s="6">
        <v>800463</v>
      </c>
      <c r="L371" s="6"/>
      <c r="M371" s="6">
        <v>25051200126</v>
      </c>
      <c r="N371" s="46" t="s">
        <v>1935</v>
      </c>
      <c r="O371" s="6">
        <v>819032321</v>
      </c>
      <c r="P371" s="78" t="s">
        <v>1934</v>
      </c>
      <c r="Q371" s="6">
        <v>18101</v>
      </c>
      <c r="R371" s="6">
        <v>27190</v>
      </c>
      <c r="S371" s="5" t="str">
        <f>VLOOKUP(T371,'[1]Kode Posisi'!$A$3:$B$45,2,)</f>
        <v>Outsourcing Petugas Pemeliharaan Gedung</v>
      </c>
      <c r="T371" s="36" t="s">
        <v>247</v>
      </c>
      <c r="U371" s="44" t="s">
        <v>1085</v>
      </c>
      <c r="V371" s="44" t="s">
        <v>1933</v>
      </c>
      <c r="W371" s="49" t="s">
        <v>1083</v>
      </c>
      <c r="X371" s="36" t="s">
        <v>1911</v>
      </c>
      <c r="Y371" s="36" t="s">
        <v>52</v>
      </c>
      <c r="Z371" s="79">
        <v>4731528203</v>
      </c>
      <c r="AA371" s="36" t="s">
        <v>1932</v>
      </c>
      <c r="AB371" s="47">
        <v>5248000</v>
      </c>
      <c r="AC371" s="41">
        <v>5248000</v>
      </c>
      <c r="AD371" s="3">
        <v>4975000</v>
      </c>
      <c r="AE371" s="16">
        <f t="shared" si="174"/>
        <v>273000</v>
      </c>
      <c r="AF371" s="16">
        <v>0</v>
      </c>
      <c r="AG371" s="17">
        <v>0</v>
      </c>
      <c r="AI371" s="16">
        <v>546387.28323699418</v>
      </c>
      <c r="AK371" s="16">
        <v>0</v>
      </c>
      <c r="AL371" s="11">
        <f t="shared" si="156"/>
        <v>5794387.2832369944</v>
      </c>
      <c r="AM371" s="16">
        <f t="shared" si="157"/>
        <v>537395.19999999995</v>
      </c>
      <c r="AN371" s="16">
        <f t="shared" si="158"/>
        <v>209920</v>
      </c>
      <c r="AO371" s="16">
        <f t="shared" si="175"/>
        <v>327475.20000000001</v>
      </c>
      <c r="AP371" s="16">
        <f t="shared" si="159"/>
        <v>194176</v>
      </c>
      <c r="AQ371" s="16">
        <f t="shared" si="160"/>
        <v>6331782.4832369946</v>
      </c>
      <c r="AR371" s="16">
        <f t="shared" ref="AR371:AR434" si="178">SUM(AQ371*0.06)</f>
        <v>379906.94899421965</v>
      </c>
      <c r="AS371" s="16">
        <f t="shared" si="161"/>
        <v>41789.764389364165</v>
      </c>
      <c r="AT371" s="16">
        <f t="shared" si="162"/>
        <v>-7598.1389798843929</v>
      </c>
      <c r="AU371" s="16">
        <f t="shared" si="163"/>
        <v>6704091.2932513291</v>
      </c>
      <c r="AV371" s="16">
        <f t="shared" si="164"/>
        <v>6711689.4322312139</v>
      </c>
      <c r="AW371" s="16">
        <f t="shared" si="165"/>
        <v>209920</v>
      </c>
      <c r="AX371" s="16" t="s">
        <v>235</v>
      </c>
      <c r="AZ371" s="17">
        <f t="shared" si="177"/>
        <v>0</v>
      </c>
      <c r="BA371" s="16">
        <f t="shared" si="166"/>
        <v>5584467.2832369944</v>
      </c>
      <c r="BB371" s="16">
        <f t="shared" si="167"/>
        <v>5584467.2832369944</v>
      </c>
      <c r="BC371">
        <v>0.03</v>
      </c>
      <c r="BD371">
        <v>0.01</v>
      </c>
      <c r="BE371" s="37">
        <f t="shared" si="168"/>
        <v>484915.19999999995</v>
      </c>
      <c r="BF371" s="38">
        <f t="shared" si="169"/>
        <v>299136</v>
      </c>
      <c r="BG371" s="37">
        <f t="shared" si="176"/>
        <v>248750</v>
      </c>
      <c r="BH371" s="37">
        <f t="shared" si="170"/>
        <v>262400</v>
      </c>
      <c r="BI371">
        <v>248750</v>
      </c>
      <c r="BL371" s="8">
        <f t="shared" si="171"/>
        <v>546387.28323699418</v>
      </c>
      <c r="BM371" s="7" t="str">
        <f t="shared" ref="BM371:BM434" si="179">IF(AND(BC371=0.03,BD371=0.01),"Terdaftar BPJS Kes &amp; Naker","Tidak Terdaftar")</f>
        <v>Terdaftar BPJS Kes &amp; Naker</v>
      </c>
      <c r="BN371" s="11">
        <f t="shared" ref="BN371:BN434" si="180">AC371*5.7%</f>
        <v>299136</v>
      </c>
      <c r="BO371" s="11">
        <f t="shared" ref="BO371:BO434" si="181">AC371*4.54%</f>
        <v>238259.20000000001</v>
      </c>
      <c r="BP371" s="9">
        <f t="shared" si="172"/>
        <v>0</v>
      </c>
      <c r="BQ371" t="s">
        <v>8</v>
      </c>
    </row>
    <row r="372" spans="1:69" x14ac:dyDescent="0.3">
      <c r="A372" s="2">
        <v>371</v>
      </c>
      <c r="B372" s="4" t="s">
        <v>1931</v>
      </c>
      <c r="C372" s="6" t="s">
        <v>241</v>
      </c>
      <c r="D372" s="6"/>
      <c r="E372" s="6" t="s">
        <v>73</v>
      </c>
      <c r="F372" s="6" t="s">
        <v>73</v>
      </c>
      <c r="G372" s="6" t="s">
        <v>73</v>
      </c>
      <c r="H372" s="6"/>
      <c r="I372" s="6"/>
      <c r="J372" s="6"/>
      <c r="K372" s="6">
        <v>800464</v>
      </c>
      <c r="L372" s="6"/>
      <c r="M372" s="6"/>
      <c r="N372" s="46" t="s">
        <v>1930</v>
      </c>
      <c r="O372" s="6">
        <v>1657105031</v>
      </c>
      <c r="P372" s="78" t="s">
        <v>1929</v>
      </c>
      <c r="Q372" s="6">
        <v>10489</v>
      </c>
      <c r="R372" s="6">
        <v>27489</v>
      </c>
      <c r="S372" s="5" t="str">
        <f>VLOOKUP(T372,'[1]Kode Posisi'!$A$3:$B$45,2,)</f>
        <v>Outsourcing Cleaning Service</v>
      </c>
      <c r="T372" s="36" t="s">
        <v>47</v>
      </c>
      <c r="U372" s="44" t="s">
        <v>1085</v>
      </c>
      <c r="V372" s="44" t="s">
        <v>1928</v>
      </c>
      <c r="W372" s="49" t="s">
        <v>1083</v>
      </c>
      <c r="X372" s="49" t="s">
        <v>1082</v>
      </c>
      <c r="Y372" s="36" t="s">
        <v>473</v>
      </c>
      <c r="Z372" s="76" t="s">
        <v>1927</v>
      </c>
      <c r="AA372" s="36" t="s">
        <v>1926</v>
      </c>
      <c r="AB372" s="47">
        <v>5248000</v>
      </c>
      <c r="AC372" s="41">
        <v>5248000</v>
      </c>
      <c r="AD372" s="3">
        <v>4975000</v>
      </c>
      <c r="AE372" s="16">
        <f t="shared" si="174"/>
        <v>273000</v>
      </c>
      <c r="AF372" s="16">
        <v>0</v>
      </c>
      <c r="AG372" s="17">
        <v>0</v>
      </c>
      <c r="AI372" s="16">
        <v>0</v>
      </c>
      <c r="AK372" s="16">
        <v>0</v>
      </c>
      <c r="AL372" s="11">
        <f t="shared" si="156"/>
        <v>5248000</v>
      </c>
      <c r="AM372" s="16">
        <f t="shared" si="157"/>
        <v>537395.19999999995</v>
      </c>
      <c r="AN372" s="16">
        <f t="shared" si="158"/>
        <v>209920</v>
      </c>
      <c r="AO372" s="16">
        <f t="shared" si="175"/>
        <v>327475.20000000001</v>
      </c>
      <c r="AP372" s="16">
        <f t="shared" si="159"/>
        <v>194176</v>
      </c>
      <c r="AQ372" s="16">
        <f t="shared" si="160"/>
        <v>5785395.2000000002</v>
      </c>
      <c r="AR372" s="16">
        <f t="shared" si="178"/>
        <v>347123.712</v>
      </c>
      <c r="AS372" s="16">
        <f t="shared" si="161"/>
        <v>38183.608319999999</v>
      </c>
      <c r="AT372" s="16">
        <f t="shared" si="162"/>
        <v>-6942.4742400000005</v>
      </c>
      <c r="AU372" s="16">
        <f t="shared" si="163"/>
        <v>6125576.4377600001</v>
      </c>
      <c r="AV372" s="16">
        <f t="shared" si="164"/>
        <v>6132518.9120000005</v>
      </c>
      <c r="AW372" s="16">
        <f t="shared" si="165"/>
        <v>209920</v>
      </c>
      <c r="AX372" s="16" t="s">
        <v>235</v>
      </c>
      <c r="AZ372" s="17">
        <f t="shared" si="177"/>
        <v>2900</v>
      </c>
      <c r="BA372" s="16">
        <f t="shared" si="166"/>
        <v>5038080</v>
      </c>
      <c r="BB372" s="16">
        <f t="shared" si="167"/>
        <v>5035180</v>
      </c>
      <c r="BC372" s="15">
        <v>0.03</v>
      </c>
      <c r="BD372">
        <v>0.01</v>
      </c>
      <c r="BE372" s="37">
        <f t="shared" si="168"/>
        <v>484915.19999999995</v>
      </c>
      <c r="BF372" s="38">
        <f t="shared" si="169"/>
        <v>299136</v>
      </c>
      <c r="BG372" s="37">
        <f t="shared" si="176"/>
        <v>248750</v>
      </c>
      <c r="BH372" s="37">
        <f t="shared" si="170"/>
        <v>262400</v>
      </c>
      <c r="BI372">
        <v>248750</v>
      </c>
      <c r="BL372" s="8">
        <f t="shared" si="171"/>
        <v>0</v>
      </c>
      <c r="BM372" s="7" t="str">
        <f t="shared" si="179"/>
        <v>Terdaftar BPJS Kes &amp; Naker</v>
      </c>
      <c r="BN372" s="11">
        <f t="shared" si="180"/>
        <v>299136</v>
      </c>
      <c r="BO372" s="11">
        <f t="shared" si="181"/>
        <v>238259.20000000001</v>
      </c>
      <c r="BP372" s="9">
        <f t="shared" si="172"/>
        <v>0</v>
      </c>
      <c r="BQ372" t="str">
        <f>_xlfn.XLOOKUP(X372,'[2]NON TETAP'!$H:$H,'[2]NON TETAP'!$I:$I)</f>
        <v>GRAMEDIA ASRI MEDIA</v>
      </c>
    </row>
    <row r="373" spans="1:69" x14ac:dyDescent="0.3">
      <c r="A373" s="2">
        <v>372</v>
      </c>
      <c r="B373" s="4" t="s">
        <v>1925</v>
      </c>
      <c r="C373" s="6" t="s">
        <v>241</v>
      </c>
      <c r="D373" s="6"/>
      <c r="E373" s="6" t="s">
        <v>73</v>
      </c>
      <c r="F373" s="6" t="s">
        <v>73</v>
      </c>
      <c r="G373" s="6" t="s">
        <v>73</v>
      </c>
      <c r="H373" s="6"/>
      <c r="I373" s="6"/>
      <c r="J373" s="6"/>
      <c r="K373" s="6">
        <v>800465</v>
      </c>
      <c r="L373" s="6"/>
      <c r="M373" s="6"/>
      <c r="N373" s="46" t="s">
        <v>1924</v>
      </c>
      <c r="O373" s="6">
        <v>803825548</v>
      </c>
      <c r="P373" s="78" t="s">
        <v>1923</v>
      </c>
      <c r="Q373" s="6">
        <v>10489</v>
      </c>
      <c r="R373" s="6">
        <v>27489</v>
      </c>
      <c r="S373" s="5" t="str">
        <f>VLOOKUP(T373,'[1]Kode Posisi'!$A$3:$B$45,2,)</f>
        <v>Outsourcing Cleaning Service</v>
      </c>
      <c r="T373" s="36" t="s">
        <v>47</v>
      </c>
      <c r="U373" s="44" t="s">
        <v>1085</v>
      </c>
      <c r="V373" s="44" t="s">
        <v>1922</v>
      </c>
      <c r="W373" s="49" t="s">
        <v>1083</v>
      </c>
      <c r="X373" s="49" t="s">
        <v>1082</v>
      </c>
      <c r="Y373" s="36" t="s">
        <v>473</v>
      </c>
      <c r="Z373" s="79" t="s">
        <v>1921</v>
      </c>
      <c r="AA373" s="36" t="s">
        <v>1920</v>
      </c>
      <c r="AB373" s="47">
        <v>5248000</v>
      </c>
      <c r="AC373" s="41">
        <v>5248000</v>
      </c>
      <c r="AD373" s="3">
        <v>4975000</v>
      </c>
      <c r="AE373" s="16">
        <f t="shared" si="174"/>
        <v>273000</v>
      </c>
      <c r="AF373" s="16">
        <v>0</v>
      </c>
      <c r="AG373" s="17">
        <v>0</v>
      </c>
      <c r="AI373" s="16">
        <v>0</v>
      </c>
      <c r="AK373" s="16">
        <v>0</v>
      </c>
      <c r="AL373" s="11">
        <f t="shared" si="156"/>
        <v>5248000</v>
      </c>
      <c r="AM373" s="16">
        <f t="shared" si="157"/>
        <v>537395.19999999995</v>
      </c>
      <c r="AN373" s="16">
        <f t="shared" si="158"/>
        <v>209920</v>
      </c>
      <c r="AO373" s="16">
        <f t="shared" si="175"/>
        <v>327475.20000000001</v>
      </c>
      <c r="AP373" s="16">
        <f t="shared" si="159"/>
        <v>194176</v>
      </c>
      <c r="AQ373" s="16">
        <f t="shared" si="160"/>
        <v>5785395.2000000002</v>
      </c>
      <c r="AR373" s="16">
        <f t="shared" si="178"/>
        <v>347123.712</v>
      </c>
      <c r="AS373" s="16">
        <f t="shared" si="161"/>
        <v>38183.608319999999</v>
      </c>
      <c r="AT373" s="16">
        <f t="shared" si="162"/>
        <v>-6942.4742400000005</v>
      </c>
      <c r="AU373" s="16">
        <f t="shared" si="163"/>
        <v>6125576.4377600001</v>
      </c>
      <c r="AV373" s="16">
        <f t="shared" si="164"/>
        <v>6132518.9120000005</v>
      </c>
      <c r="AW373" s="16">
        <f t="shared" si="165"/>
        <v>209920</v>
      </c>
      <c r="AX373" s="16" t="s">
        <v>235</v>
      </c>
      <c r="AZ373" s="17">
        <f t="shared" si="177"/>
        <v>2900</v>
      </c>
      <c r="BA373" s="16">
        <f t="shared" si="166"/>
        <v>5038080</v>
      </c>
      <c r="BB373" s="16">
        <f t="shared" si="167"/>
        <v>5035180</v>
      </c>
      <c r="BC373" s="15">
        <v>0.03</v>
      </c>
      <c r="BD373">
        <v>0.01</v>
      </c>
      <c r="BE373" s="37">
        <f t="shared" si="168"/>
        <v>484915.19999999995</v>
      </c>
      <c r="BF373" s="38">
        <f t="shared" si="169"/>
        <v>299136</v>
      </c>
      <c r="BG373" s="37">
        <f t="shared" si="176"/>
        <v>248750</v>
      </c>
      <c r="BH373" s="37">
        <f t="shared" si="170"/>
        <v>262400</v>
      </c>
      <c r="BI373">
        <v>248750</v>
      </c>
      <c r="BL373" s="8">
        <f t="shared" si="171"/>
        <v>0</v>
      </c>
      <c r="BM373" s="7" t="str">
        <f t="shared" si="179"/>
        <v>Terdaftar BPJS Kes &amp; Naker</v>
      </c>
      <c r="BN373" s="11">
        <f t="shared" si="180"/>
        <v>299136</v>
      </c>
      <c r="BO373" s="11">
        <f t="shared" si="181"/>
        <v>238259.20000000001</v>
      </c>
      <c r="BP373" s="9">
        <f t="shared" si="172"/>
        <v>0</v>
      </c>
      <c r="BQ373" t="str">
        <f>_xlfn.XLOOKUP(X373,'[2]NON TETAP'!$H:$H,'[2]NON TETAP'!$I:$I)</f>
        <v>GRAMEDIA ASRI MEDIA</v>
      </c>
    </row>
    <row r="374" spans="1:69" x14ac:dyDescent="0.3">
      <c r="A374" s="2">
        <v>373</v>
      </c>
      <c r="B374" s="4" t="s">
        <v>1916</v>
      </c>
      <c r="C374" s="6" t="s">
        <v>241</v>
      </c>
      <c r="D374" s="6"/>
      <c r="E374" s="6" t="s">
        <v>73</v>
      </c>
      <c r="F374" s="6" t="s">
        <v>73</v>
      </c>
      <c r="G374" s="6"/>
      <c r="H374" s="6"/>
      <c r="I374" s="6"/>
      <c r="J374" s="6"/>
      <c r="K374" s="6">
        <v>800466</v>
      </c>
      <c r="L374" s="6"/>
      <c r="M374" s="6">
        <v>25051200134</v>
      </c>
      <c r="N374" s="46" t="s">
        <v>1919</v>
      </c>
      <c r="O374" s="6">
        <v>1728826244</v>
      </c>
      <c r="P374" s="78" t="s">
        <v>1918</v>
      </c>
      <c r="Q374" s="6">
        <v>18101</v>
      </c>
      <c r="R374" s="6">
        <v>27190</v>
      </c>
      <c r="S374" s="5" t="str">
        <f>VLOOKUP(T374,'[1]Kode Posisi'!$A$3:$B$45,2,)</f>
        <v>Outsourcing Petugas Pemeliharaan Gedung</v>
      </c>
      <c r="T374" s="36" t="s">
        <v>247</v>
      </c>
      <c r="U374" s="44" t="s">
        <v>1085</v>
      </c>
      <c r="V374" s="44" t="s">
        <v>1917</v>
      </c>
      <c r="W374" s="49" t="s">
        <v>1083</v>
      </c>
      <c r="X374" s="36" t="s">
        <v>1911</v>
      </c>
      <c r="Y374" s="36" t="s">
        <v>52</v>
      </c>
      <c r="Z374" s="79">
        <v>4210181593</v>
      </c>
      <c r="AA374" s="36" t="s">
        <v>1916</v>
      </c>
      <c r="AB374" s="47">
        <v>5248000</v>
      </c>
      <c r="AC374" s="41">
        <v>5248000</v>
      </c>
      <c r="AD374" s="3">
        <v>4975000</v>
      </c>
      <c r="AE374" s="16">
        <f t="shared" si="174"/>
        <v>273000</v>
      </c>
      <c r="AF374" s="16">
        <v>0</v>
      </c>
      <c r="AG374" s="17">
        <v>0</v>
      </c>
      <c r="AI374" s="16">
        <v>402601.15606936417</v>
      </c>
      <c r="AK374" s="16">
        <v>0</v>
      </c>
      <c r="AL374" s="11">
        <f t="shared" si="156"/>
        <v>5650601.1560693644</v>
      </c>
      <c r="AM374" s="16">
        <f t="shared" si="157"/>
        <v>537395.19999999995</v>
      </c>
      <c r="AN374" s="16">
        <f t="shared" si="158"/>
        <v>209920</v>
      </c>
      <c r="AO374" s="16">
        <f t="shared" si="175"/>
        <v>327475.20000000001</v>
      </c>
      <c r="AP374" s="16">
        <f t="shared" si="159"/>
        <v>194176</v>
      </c>
      <c r="AQ374" s="16">
        <f t="shared" si="160"/>
        <v>6187996.3560693646</v>
      </c>
      <c r="AR374" s="16">
        <f t="shared" si="178"/>
        <v>371279.78136416187</v>
      </c>
      <c r="AS374" s="16">
        <f t="shared" si="161"/>
        <v>40840.775950057803</v>
      </c>
      <c r="AT374" s="16">
        <f t="shared" si="162"/>
        <v>-7425.5956272832373</v>
      </c>
      <c r="AU374" s="16">
        <f t="shared" si="163"/>
        <v>6551850.5418062424</v>
      </c>
      <c r="AV374" s="16">
        <f t="shared" si="164"/>
        <v>6559276.1374335261</v>
      </c>
      <c r="AW374" s="16">
        <f t="shared" si="165"/>
        <v>209920</v>
      </c>
      <c r="AX374" s="16" t="s">
        <v>235</v>
      </c>
      <c r="AZ374" s="17">
        <f t="shared" si="177"/>
        <v>0</v>
      </c>
      <c r="BA374" s="16">
        <f t="shared" si="166"/>
        <v>5440681.1560693644</v>
      </c>
      <c r="BB374" s="16">
        <f t="shared" si="167"/>
        <v>5440681.1560693644</v>
      </c>
      <c r="BC374">
        <v>0.03</v>
      </c>
      <c r="BD374">
        <v>0.01</v>
      </c>
      <c r="BE374" s="37">
        <f t="shared" si="168"/>
        <v>484915.19999999995</v>
      </c>
      <c r="BF374" s="38">
        <f t="shared" si="169"/>
        <v>299136</v>
      </c>
      <c r="BG374" s="37">
        <f t="shared" si="176"/>
        <v>248750</v>
      </c>
      <c r="BH374" s="37">
        <f t="shared" si="170"/>
        <v>262400</v>
      </c>
      <c r="BI374">
        <v>248750</v>
      </c>
      <c r="BL374" s="8">
        <f t="shared" si="171"/>
        <v>402601.15606936417</v>
      </c>
      <c r="BM374" s="7" t="str">
        <f t="shared" si="179"/>
        <v>Terdaftar BPJS Kes &amp; Naker</v>
      </c>
      <c r="BN374" s="11">
        <f t="shared" si="180"/>
        <v>299136</v>
      </c>
      <c r="BO374" s="11">
        <f t="shared" si="181"/>
        <v>238259.20000000001</v>
      </c>
      <c r="BP374" s="9">
        <f t="shared" si="172"/>
        <v>0</v>
      </c>
      <c r="BQ374" t="s">
        <v>8</v>
      </c>
    </row>
    <row r="375" spans="1:69" x14ac:dyDescent="0.3">
      <c r="A375" s="2">
        <v>374</v>
      </c>
      <c r="B375" s="4" t="s">
        <v>1915</v>
      </c>
      <c r="C375" s="6" t="s">
        <v>241</v>
      </c>
      <c r="D375" s="6"/>
      <c r="E375" s="6" t="s">
        <v>73</v>
      </c>
      <c r="F375" s="6" t="s">
        <v>73</v>
      </c>
      <c r="G375" s="6"/>
      <c r="H375" s="6"/>
      <c r="I375" s="6"/>
      <c r="J375" s="6"/>
      <c r="K375" s="6">
        <v>800467</v>
      </c>
      <c r="L375" s="6"/>
      <c r="M375" s="6">
        <v>25051200142</v>
      </c>
      <c r="N375" s="46" t="s">
        <v>1914</v>
      </c>
      <c r="O375" s="6">
        <v>1652687087</v>
      </c>
      <c r="P375" s="78" t="s">
        <v>1913</v>
      </c>
      <c r="Q375" s="6">
        <v>18101</v>
      </c>
      <c r="R375" s="6">
        <v>27190</v>
      </c>
      <c r="S375" s="5" t="str">
        <f>VLOOKUP(T375,'[1]Kode Posisi'!$A$3:$B$45,2,)</f>
        <v>Outsourcing Petugas Pemeliharaan Gedung</v>
      </c>
      <c r="T375" s="36" t="s">
        <v>247</v>
      </c>
      <c r="U375" s="44" t="s">
        <v>1085</v>
      </c>
      <c r="V375" s="44" t="s">
        <v>1912</v>
      </c>
      <c r="W375" s="49" t="s">
        <v>1083</v>
      </c>
      <c r="X375" s="36" t="s">
        <v>1911</v>
      </c>
      <c r="Y375" s="36" t="s">
        <v>52</v>
      </c>
      <c r="Z375" s="79">
        <v>8010455961</v>
      </c>
      <c r="AA375" s="36" t="s">
        <v>1910</v>
      </c>
      <c r="AB375" s="47">
        <v>5248000</v>
      </c>
      <c r="AC375" s="41">
        <v>5248000</v>
      </c>
      <c r="AD375" s="3">
        <v>4975000</v>
      </c>
      <c r="AE375" s="16">
        <f t="shared" si="174"/>
        <v>273000</v>
      </c>
      <c r="AF375" s="16">
        <v>0</v>
      </c>
      <c r="AG375" s="17">
        <v>0</v>
      </c>
      <c r="AI375" s="16">
        <v>546387.28323699418</v>
      </c>
      <c r="AK375" s="16">
        <v>0</v>
      </c>
      <c r="AL375" s="11">
        <f t="shared" si="156"/>
        <v>5794387.2832369944</v>
      </c>
      <c r="AM375" s="16">
        <f t="shared" si="157"/>
        <v>537395.19999999995</v>
      </c>
      <c r="AN375" s="16">
        <f t="shared" si="158"/>
        <v>209920</v>
      </c>
      <c r="AO375" s="16">
        <f t="shared" si="175"/>
        <v>327475.20000000001</v>
      </c>
      <c r="AP375" s="16">
        <f t="shared" si="159"/>
        <v>194176</v>
      </c>
      <c r="AQ375" s="16">
        <f t="shared" si="160"/>
        <v>6331782.4832369946</v>
      </c>
      <c r="AR375" s="16">
        <f t="shared" si="178"/>
        <v>379906.94899421965</v>
      </c>
      <c r="AS375" s="16">
        <f t="shared" si="161"/>
        <v>41789.764389364165</v>
      </c>
      <c r="AT375" s="16">
        <f t="shared" si="162"/>
        <v>-7598.1389798843929</v>
      </c>
      <c r="AU375" s="16">
        <f t="shared" si="163"/>
        <v>6704091.2932513291</v>
      </c>
      <c r="AV375" s="16">
        <f t="shared" si="164"/>
        <v>6711689.4322312139</v>
      </c>
      <c r="AW375" s="16">
        <f t="shared" si="165"/>
        <v>209920</v>
      </c>
      <c r="AX375" s="16" t="s">
        <v>235</v>
      </c>
      <c r="AZ375" s="17">
        <f t="shared" si="177"/>
        <v>0</v>
      </c>
      <c r="BA375" s="16">
        <f t="shared" si="166"/>
        <v>5584467.2832369944</v>
      </c>
      <c r="BB375" s="16">
        <f t="shared" si="167"/>
        <v>5584467.2832369944</v>
      </c>
      <c r="BC375">
        <v>0.03</v>
      </c>
      <c r="BD375">
        <v>0.01</v>
      </c>
      <c r="BE375" s="37">
        <f t="shared" si="168"/>
        <v>484915.19999999995</v>
      </c>
      <c r="BF375" s="38">
        <f t="shared" si="169"/>
        <v>299136</v>
      </c>
      <c r="BG375" s="37">
        <f t="shared" si="176"/>
        <v>248750</v>
      </c>
      <c r="BH375" s="37">
        <f t="shared" si="170"/>
        <v>262400</v>
      </c>
      <c r="BI375">
        <v>248750</v>
      </c>
      <c r="BL375" s="8">
        <f t="shared" si="171"/>
        <v>546387.28323699418</v>
      </c>
      <c r="BM375" s="7" t="str">
        <f t="shared" si="179"/>
        <v>Terdaftar BPJS Kes &amp; Naker</v>
      </c>
      <c r="BN375" s="11">
        <f t="shared" si="180"/>
        <v>299136</v>
      </c>
      <c r="BO375" s="11">
        <f t="shared" si="181"/>
        <v>238259.20000000001</v>
      </c>
      <c r="BP375" s="9">
        <f t="shared" si="172"/>
        <v>0</v>
      </c>
      <c r="BQ375" t="s">
        <v>8</v>
      </c>
    </row>
    <row r="376" spans="1:69" x14ac:dyDescent="0.3">
      <c r="A376" s="2">
        <v>375</v>
      </c>
      <c r="B376" s="4" t="s">
        <v>1905</v>
      </c>
      <c r="C376" s="6" t="s">
        <v>241</v>
      </c>
      <c r="D376" s="6"/>
      <c r="E376" s="6" t="s">
        <v>73</v>
      </c>
      <c r="F376" s="6" t="s">
        <v>73</v>
      </c>
      <c r="G376" s="6" t="s">
        <v>73</v>
      </c>
      <c r="H376" s="6"/>
      <c r="I376" s="6"/>
      <c r="J376" s="6"/>
      <c r="K376" s="6">
        <v>800469</v>
      </c>
      <c r="L376" s="6"/>
      <c r="M376" s="6" t="s">
        <v>1909</v>
      </c>
      <c r="N376" s="46" t="s">
        <v>1908</v>
      </c>
      <c r="O376" s="6">
        <v>1739687523</v>
      </c>
      <c r="P376" s="78" t="s">
        <v>1907</v>
      </c>
      <c r="Q376" s="6">
        <v>10489</v>
      </c>
      <c r="R376" s="6">
        <v>27489</v>
      </c>
      <c r="S376" s="5" t="str">
        <f>VLOOKUP(T376,'[1]Kode Posisi'!$A$3:$B$45,2,)</f>
        <v>Outsourcing Cleaning Service</v>
      </c>
      <c r="T376" s="36" t="s">
        <v>47</v>
      </c>
      <c r="U376" s="44" t="s">
        <v>1085</v>
      </c>
      <c r="V376" s="44" t="s">
        <v>1906</v>
      </c>
      <c r="W376" s="49" t="s">
        <v>1083</v>
      </c>
      <c r="X376" s="49" t="s">
        <v>1082</v>
      </c>
      <c r="Y376" s="36" t="s">
        <v>52</v>
      </c>
      <c r="Z376" s="79">
        <v>8692502620</v>
      </c>
      <c r="AA376" s="36" t="s">
        <v>1905</v>
      </c>
      <c r="AB376" s="47">
        <v>5248000</v>
      </c>
      <c r="AC376" s="41">
        <v>5248000</v>
      </c>
      <c r="AD376" s="3">
        <v>4975000</v>
      </c>
      <c r="AE376" s="16">
        <f t="shared" si="174"/>
        <v>273000</v>
      </c>
      <c r="AF376" s="16">
        <v>0</v>
      </c>
      <c r="AG376" s="17">
        <v>0</v>
      </c>
      <c r="AI376" s="16">
        <v>517630.0578034682</v>
      </c>
      <c r="AK376" s="16">
        <v>0</v>
      </c>
      <c r="AL376" s="11">
        <f t="shared" si="156"/>
        <v>5765630.0578034678</v>
      </c>
      <c r="AM376" s="16">
        <f t="shared" si="157"/>
        <v>537395.19999999995</v>
      </c>
      <c r="AN376" s="16">
        <f t="shared" si="158"/>
        <v>209920</v>
      </c>
      <c r="AO376" s="16">
        <f t="shared" si="175"/>
        <v>327475.20000000001</v>
      </c>
      <c r="AP376" s="16">
        <f t="shared" si="159"/>
        <v>194176</v>
      </c>
      <c r="AQ376" s="16">
        <f t="shared" si="160"/>
        <v>6303025.257803468</v>
      </c>
      <c r="AR376" s="16">
        <f t="shared" si="178"/>
        <v>378181.51546820806</v>
      </c>
      <c r="AS376" s="16">
        <f t="shared" si="161"/>
        <v>41599.96670150289</v>
      </c>
      <c r="AT376" s="16">
        <f t="shared" si="162"/>
        <v>-7563.6303093641618</v>
      </c>
      <c r="AU376" s="16">
        <f t="shared" si="163"/>
        <v>6673643.1429623123</v>
      </c>
      <c r="AV376" s="16">
        <f t="shared" si="164"/>
        <v>6681206.7732716762</v>
      </c>
      <c r="AW376" s="16">
        <f t="shared" si="165"/>
        <v>209920</v>
      </c>
      <c r="AX376" s="16" t="s">
        <v>235</v>
      </c>
      <c r="AZ376" s="17">
        <f t="shared" si="177"/>
        <v>0</v>
      </c>
      <c r="BA376" s="16">
        <f t="shared" si="166"/>
        <v>5555710.0578034678</v>
      </c>
      <c r="BB376" s="16">
        <f t="shared" si="167"/>
        <v>5555710.0578034678</v>
      </c>
      <c r="BC376">
        <v>0.03</v>
      </c>
      <c r="BD376">
        <v>0.01</v>
      </c>
      <c r="BE376" s="37">
        <f t="shared" si="168"/>
        <v>484915.19999999995</v>
      </c>
      <c r="BF376" s="38">
        <f t="shared" si="169"/>
        <v>299136</v>
      </c>
      <c r="BG376" s="37">
        <f t="shared" si="176"/>
        <v>248750</v>
      </c>
      <c r="BH376" s="37">
        <f t="shared" si="170"/>
        <v>262400</v>
      </c>
      <c r="BI376">
        <v>248750</v>
      </c>
      <c r="BL376" s="8">
        <f t="shared" si="171"/>
        <v>517630.0578034682</v>
      </c>
      <c r="BM376" s="7" t="str">
        <f t="shared" si="179"/>
        <v>Terdaftar BPJS Kes &amp; Naker</v>
      </c>
      <c r="BN376" s="11">
        <f t="shared" si="180"/>
        <v>299136</v>
      </c>
      <c r="BO376" s="11">
        <f t="shared" si="181"/>
        <v>238259.20000000001</v>
      </c>
      <c r="BP376" s="9">
        <f t="shared" si="172"/>
        <v>0</v>
      </c>
      <c r="BQ376" t="str">
        <f>_xlfn.XLOOKUP(X376,'[2]NON TETAP'!$H:$H,'[2]NON TETAP'!$I:$I)</f>
        <v>GRAMEDIA ASRI MEDIA</v>
      </c>
    </row>
    <row r="377" spans="1:69" x14ac:dyDescent="0.3">
      <c r="A377" s="2">
        <v>376</v>
      </c>
      <c r="B377" s="4" t="s">
        <v>1904</v>
      </c>
      <c r="C377" s="6" t="s">
        <v>241</v>
      </c>
      <c r="D377" s="6"/>
      <c r="E377" s="6" t="s">
        <v>73</v>
      </c>
      <c r="F377" s="6" t="s">
        <v>73</v>
      </c>
      <c r="G377" s="6"/>
      <c r="H377" s="6"/>
      <c r="I377" s="6"/>
      <c r="J377" s="6"/>
      <c r="K377" s="6">
        <v>800470</v>
      </c>
      <c r="L377" s="6"/>
      <c r="M377" s="6" t="s">
        <v>1903</v>
      </c>
      <c r="N377" s="46" t="s">
        <v>1902</v>
      </c>
      <c r="O377" s="6">
        <v>1387816018</v>
      </c>
      <c r="P377" s="78" t="s">
        <v>1901</v>
      </c>
      <c r="Q377" s="6">
        <v>18101</v>
      </c>
      <c r="R377" s="6">
        <v>27190</v>
      </c>
      <c r="S377" s="5" t="str">
        <f>VLOOKUP(T377,'[1]Kode Posisi'!$A$3:$B$45,2,)</f>
        <v>Outsourcing Petugas Pemeliharaan Gedung</v>
      </c>
      <c r="T377" s="36" t="s">
        <v>247</v>
      </c>
      <c r="U377" s="44" t="s">
        <v>1893</v>
      </c>
      <c r="V377" s="44" t="s">
        <v>1900</v>
      </c>
      <c r="W377" s="36" t="s">
        <v>1891</v>
      </c>
      <c r="X377" s="36" t="s">
        <v>1899</v>
      </c>
      <c r="Y377" s="36" t="s">
        <v>52</v>
      </c>
      <c r="Z377" s="79">
        <v>2450940570</v>
      </c>
      <c r="AA377" s="36" t="s">
        <v>1898</v>
      </c>
      <c r="AB377" s="47">
        <v>5248000</v>
      </c>
      <c r="AC377" s="41">
        <v>5248000</v>
      </c>
      <c r="AD377" s="3">
        <v>4975000</v>
      </c>
      <c r="AE377" s="16">
        <f t="shared" ref="AE377:AE408" si="182">AB377-AD377</f>
        <v>273000</v>
      </c>
      <c r="AF377" s="16">
        <v>0</v>
      </c>
      <c r="AG377" s="17">
        <v>0</v>
      </c>
      <c r="AI377" s="16">
        <v>0</v>
      </c>
      <c r="AK377" s="16">
        <v>0</v>
      </c>
      <c r="AL377" s="11">
        <f t="shared" si="156"/>
        <v>5248000</v>
      </c>
      <c r="AM377" s="16">
        <f t="shared" si="157"/>
        <v>537395.19999999995</v>
      </c>
      <c r="AN377" s="16">
        <f t="shared" si="158"/>
        <v>209920</v>
      </c>
      <c r="AO377" s="16">
        <f t="shared" si="175"/>
        <v>327475.20000000001</v>
      </c>
      <c r="AP377" s="16">
        <f t="shared" si="159"/>
        <v>194176</v>
      </c>
      <c r="AQ377" s="16">
        <f t="shared" si="160"/>
        <v>5785395.2000000002</v>
      </c>
      <c r="AR377" s="16">
        <f t="shared" si="178"/>
        <v>347123.712</v>
      </c>
      <c r="AS377" s="16">
        <f t="shared" si="161"/>
        <v>38183.608319999999</v>
      </c>
      <c r="AT377" s="16">
        <f t="shared" si="162"/>
        <v>-6942.4742400000005</v>
      </c>
      <c r="AU377" s="16">
        <f t="shared" si="163"/>
        <v>6125576.4377600001</v>
      </c>
      <c r="AV377" s="16">
        <f t="shared" si="164"/>
        <v>6132518.9120000005</v>
      </c>
      <c r="AW377" s="16">
        <f t="shared" si="165"/>
        <v>209920</v>
      </c>
      <c r="AX377" s="16" t="s">
        <v>319</v>
      </c>
      <c r="AZ377" s="17">
        <f t="shared" si="177"/>
        <v>0</v>
      </c>
      <c r="BA377" s="16">
        <f t="shared" si="166"/>
        <v>5038080</v>
      </c>
      <c r="BB377" s="16">
        <f t="shared" si="167"/>
        <v>5038080</v>
      </c>
      <c r="BC377">
        <v>0.03</v>
      </c>
      <c r="BD377">
        <v>0.01</v>
      </c>
      <c r="BE377" s="37">
        <f t="shared" si="168"/>
        <v>484915.19999999995</v>
      </c>
      <c r="BF377" s="38">
        <f t="shared" si="169"/>
        <v>299136</v>
      </c>
      <c r="BG377" s="37">
        <f t="shared" si="176"/>
        <v>248750</v>
      </c>
      <c r="BH377" s="37">
        <f t="shared" si="170"/>
        <v>262400</v>
      </c>
      <c r="BI377">
        <v>248750</v>
      </c>
      <c r="BL377" s="8">
        <f t="shared" si="171"/>
        <v>0</v>
      </c>
      <c r="BM377" s="7" t="str">
        <f t="shared" si="179"/>
        <v>Terdaftar BPJS Kes &amp; Naker</v>
      </c>
      <c r="BN377" s="11">
        <f t="shared" si="180"/>
        <v>299136</v>
      </c>
      <c r="BO377" s="11">
        <f t="shared" si="181"/>
        <v>238259.20000000001</v>
      </c>
      <c r="BP377" s="9">
        <f t="shared" si="172"/>
        <v>0</v>
      </c>
      <c r="BQ377" t="s">
        <v>8</v>
      </c>
    </row>
    <row r="378" spans="1:69" x14ac:dyDescent="0.3">
      <c r="A378" s="2">
        <v>377</v>
      </c>
      <c r="B378" s="4" t="s">
        <v>1897</v>
      </c>
      <c r="C378" s="6" t="s">
        <v>241</v>
      </c>
      <c r="D378" s="6"/>
      <c r="E378" s="6" t="s">
        <v>73</v>
      </c>
      <c r="F378" s="6" t="s">
        <v>73</v>
      </c>
      <c r="G378" s="6" t="s">
        <v>73</v>
      </c>
      <c r="H378" s="6"/>
      <c r="I378" s="6"/>
      <c r="J378" s="6"/>
      <c r="K378" s="6">
        <v>800473</v>
      </c>
      <c r="L378" s="6"/>
      <c r="M378" s="6" t="s">
        <v>1896</v>
      </c>
      <c r="N378" s="46" t="s">
        <v>1895</v>
      </c>
      <c r="O378" s="6">
        <v>1466613821</v>
      </c>
      <c r="P378" s="78" t="s">
        <v>1894</v>
      </c>
      <c r="Q378" s="6">
        <v>10390</v>
      </c>
      <c r="R378" s="6">
        <v>27390</v>
      </c>
      <c r="S378" s="5" t="str">
        <f>VLOOKUP(T378,'[1]Kode Posisi'!$A$3:$B$45,2,)</f>
        <v>Outsourcing Cleaning Service</v>
      </c>
      <c r="T378" s="36" t="s">
        <v>47</v>
      </c>
      <c r="U378" s="44" t="s">
        <v>1893</v>
      </c>
      <c r="V378" s="44" t="s">
        <v>1892</v>
      </c>
      <c r="W378" s="36" t="s">
        <v>1891</v>
      </c>
      <c r="X378" s="36" t="s">
        <v>1890</v>
      </c>
      <c r="Y378" s="36" t="s">
        <v>52</v>
      </c>
      <c r="Z378" s="79">
        <v>8015339647</v>
      </c>
      <c r="AA378" s="36" t="s">
        <v>1889</v>
      </c>
      <c r="AB378" s="47">
        <v>5248000</v>
      </c>
      <c r="AC378" s="41">
        <v>5248000</v>
      </c>
      <c r="AD378" s="3">
        <v>4975000</v>
      </c>
      <c r="AE378" s="16">
        <f t="shared" si="182"/>
        <v>273000</v>
      </c>
      <c r="AF378" s="16">
        <v>0</v>
      </c>
      <c r="AG378" s="17">
        <v>0</v>
      </c>
      <c r="AI378" s="16">
        <v>0</v>
      </c>
      <c r="AK378" s="16">
        <v>0</v>
      </c>
      <c r="AL378" s="11">
        <f t="shared" si="156"/>
        <v>5248000</v>
      </c>
      <c r="AM378" s="16">
        <f t="shared" si="157"/>
        <v>537395.19999999995</v>
      </c>
      <c r="AN378" s="16">
        <f t="shared" si="158"/>
        <v>209920</v>
      </c>
      <c r="AO378" s="16">
        <f t="shared" si="175"/>
        <v>327475.20000000001</v>
      </c>
      <c r="AP378" s="16">
        <f t="shared" si="159"/>
        <v>194176</v>
      </c>
      <c r="AQ378" s="16">
        <f t="shared" si="160"/>
        <v>5785395.2000000002</v>
      </c>
      <c r="AR378" s="16">
        <f t="shared" si="178"/>
        <v>347123.712</v>
      </c>
      <c r="AS378" s="16">
        <f t="shared" si="161"/>
        <v>38183.608319999999</v>
      </c>
      <c r="AT378" s="16">
        <f t="shared" si="162"/>
        <v>-6942.4742400000005</v>
      </c>
      <c r="AU378" s="16">
        <f t="shared" si="163"/>
        <v>6125576.4377600001</v>
      </c>
      <c r="AV378" s="16">
        <f t="shared" si="164"/>
        <v>6132518.9120000005</v>
      </c>
      <c r="AW378" s="16">
        <f t="shared" si="165"/>
        <v>209920</v>
      </c>
      <c r="AX378" s="16" t="s">
        <v>319</v>
      </c>
      <c r="AZ378" s="17">
        <f t="shared" si="177"/>
        <v>0</v>
      </c>
      <c r="BA378" s="16">
        <f t="shared" si="166"/>
        <v>5038080</v>
      </c>
      <c r="BB378" s="16">
        <f t="shared" si="167"/>
        <v>5038080</v>
      </c>
      <c r="BC378">
        <v>0.03</v>
      </c>
      <c r="BD378">
        <v>0.01</v>
      </c>
      <c r="BE378" s="37">
        <f t="shared" si="168"/>
        <v>484915.19999999995</v>
      </c>
      <c r="BF378" s="38">
        <f t="shared" si="169"/>
        <v>299136</v>
      </c>
      <c r="BG378" s="37">
        <f t="shared" si="176"/>
        <v>248750</v>
      </c>
      <c r="BH378" s="37">
        <f t="shared" si="170"/>
        <v>262400</v>
      </c>
      <c r="BI378">
        <v>248750</v>
      </c>
      <c r="BL378" s="8">
        <f t="shared" si="171"/>
        <v>0</v>
      </c>
      <c r="BM378" s="7" t="str">
        <f t="shared" si="179"/>
        <v>Terdaftar BPJS Kes &amp; Naker</v>
      </c>
      <c r="BN378" s="11">
        <f t="shared" si="180"/>
        <v>299136</v>
      </c>
      <c r="BO378" s="11">
        <f t="shared" si="181"/>
        <v>238259.20000000001</v>
      </c>
      <c r="BP378" s="9">
        <f t="shared" si="172"/>
        <v>0</v>
      </c>
      <c r="BQ378" t="str">
        <f>_xlfn.XLOOKUP(X378,'[2]NON TETAP'!$H:$H,'[2]NON TETAP'!$I:$I)</f>
        <v>GRAMEDIA ASRI MEDIA</v>
      </c>
    </row>
    <row r="379" spans="1:69" x14ac:dyDescent="0.3">
      <c r="A379" s="2">
        <v>378</v>
      </c>
      <c r="B379" s="4" t="s">
        <v>1888</v>
      </c>
      <c r="C379" s="6" t="s">
        <v>241</v>
      </c>
      <c r="D379" s="6"/>
      <c r="E379" s="6" t="s">
        <v>73</v>
      </c>
      <c r="F379" s="6" t="s">
        <v>73</v>
      </c>
      <c r="G379" s="6" t="s">
        <v>73</v>
      </c>
      <c r="H379" s="6"/>
      <c r="I379" s="6"/>
      <c r="J379" s="6"/>
      <c r="K379" s="6">
        <v>800474</v>
      </c>
      <c r="L379" s="6"/>
      <c r="M379" s="6" t="s">
        <v>1887</v>
      </c>
      <c r="N379" s="46" t="s">
        <v>1886</v>
      </c>
      <c r="O379" s="6">
        <v>902563841</v>
      </c>
      <c r="P379" s="78" t="s">
        <v>1885</v>
      </c>
      <c r="Q379" s="6">
        <v>10116</v>
      </c>
      <c r="R379" s="6">
        <v>27116</v>
      </c>
      <c r="S379" s="5" t="str">
        <f>VLOOKUP(T379,'[1]Kode Posisi'!$A$3:$B$45,2,)</f>
        <v>Outsourcing Cleaning Service</v>
      </c>
      <c r="T379" s="36" t="s">
        <v>47</v>
      </c>
      <c r="U379" s="44" t="s">
        <v>1124</v>
      </c>
      <c r="V379" s="44" t="s">
        <v>1884</v>
      </c>
      <c r="W379" s="36" t="s">
        <v>1122</v>
      </c>
      <c r="X379" s="36" t="s">
        <v>1121</v>
      </c>
      <c r="Y379" s="36" t="s">
        <v>52</v>
      </c>
      <c r="Z379" s="79">
        <v>7825428208</v>
      </c>
      <c r="AA379" s="36" t="s">
        <v>1883</v>
      </c>
      <c r="AB379" s="47">
        <v>3857000</v>
      </c>
      <c r="AC379" s="41">
        <v>3857000</v>
      </c>
      <c r="AD379" s="3">
        <v>3702000</v>
      </c>
      <c r="AE379" s="16">
        <f t="shared" si="182"/>
        <v>155000</v>
      </c>
      <c r="AF379" s="16">
        <v>0</v>
      </c>
      <c r="AG379" s="17">
        <v>0</v>
      </c>
      <c r="AI379" s="16">
        <v>0</v>
      </c>
      <c r="AK379" s="16">
        <v>0</v>
      </c>
      <c r="AL379" s="11">
        <f t="shared" si="156"/>
        <v>3857000</v>
      </c>
      <c r="AM379" s="16">
        <f t="shared" si="157"/>
        <v>394956.79999999999</v>
      </c>
      <c r="AN379" s="16">
        <f t="shared" si="158"/>
        <v>154280</v>
      </c>
      <c r="AO379" s="16">
        <f t="shared" si="175"/>
        <v>240676.8</v>
      </c>
      <c r="AP379" s="16">
        <f t="shared" si="159"/>
        <v>142709</v>
      </c>
      <c r="AQ379" s="16">
        <f t="shared" si="160"/>
        <v>4251956.8</v>
      </c>
      <c r="AR379" s="16">
        <f t="shared" si="178"/>
        <v>255117.40799999997</v>
      </c>
      <c r="AS379" s="16">
        <f t="shared" si="161"/>
        <v>28062.914879999997</v>
      </c>
      <c r="AT379" s="16">
        <f t="shared" si="162"/>
        <v>-5102.3481599999996</v>
      </c>
      <c r="AU379" s="16">
        <f t="shared" si="163"/>
        <v>4501971.85984</v>
      </c>
      <c r="AV379" s="16">
        <f t="shared" si="164"/>
        <v>4507074.2079999996</v>
      </c>
      <c r="AW379" s="16">
        <f t="shared" si="165"/>
        <v>154280</v>
      </c>
      <c r="AX379" s="16" t="s">
        <v>286</v>
      </c>
      <c r="AZ379" s="17">
        <f t="shared" si="177"/>
        <v>0</v>
      </c>
      <c r="BA379" s="16">
        <f t="shared" si="166"/>
        <v>3702720</v>
      </c>
      <c r="BB379" s="16">
        <f t="shared" si="167"/>
        <v>3702720</v>
      </c>
      <c r="BC379">
        <v>0.03</v>
      </c>
      <c r="BD379">
        <v>0.01</v>
      </c>
      <c r="BE379" s="37">
        <f t="shared" si="168"/>
        <v>356386.8</v>
      </c>
      <c r="BF379" s="38">
        <f t="shared" si="169"/>
        <v>219849</v>
      </c>
      <c r="BG379" s="37">
        <f t="shared" si="176"/>
        <v>185100</v>
      </c>
      <c r="BH379" s="37">
        <f t="shared" si="170"/>
        <v>192850</v>
      </c>
      <c r="BI379">
        <v>185100</v>
      </c>
      <c r="BL379" s="8">
        <f t="shared" si="171"/>
        <v>0</v>
      </c>
      <c r="BM379" s="7" t="str">
        <f t="shared" si="179"/>
        <v>Terdaftar BPJS Kes &amp; Naker</v>
      </c>
      <c r="BN379" s="11">
        <f t="shared" si="180"/>
        <v>219849</v>
      </c>
      <c r="BO379" s="11">
        <f t="shared" si="181"/>
        <v>175107.80000000002</v>
      </c>
      <c r="BP379" s="9">
        <f t="shared" si="172"/>
        <v>0</v>
      </c>
      <c r="BQ379" t="str">
        <f>_xlfn.XLOOKUP(X379,'[2]NON TETAP'!$H:$H,'[2]NON TETAP'!$I:$I)</f>
        <v>GRAMEDIA ASRI MEDIA</v>
      </c>
    </row>
    <row r="380" spans="1:69" x14ac:dyDescent="0.3">
      <c r="A380" s="2">
        <v>379</v>
      </c>
      <c r="B380" s="4" t="s">
        <v>1882</v>
      </c>
      <c r="C380" s="6" t="s">
        <v>241</v>
      </c>
      <c r="D380" s="6"/>
      <c r="E380" s="6" t="s">
        <v>73</v>
      </c>
      <c r="F380" s="6" t="s">
        <v>73</v>
      </c>
      <c r="G380" s="6"/>
      <c r="H380" s="6"/>
      <c r="I380" s="6"/>
      <c r="J380" s="6"/>
      <c r="K380" s="6">
        <v>800476</v>
      </c>
      <c r="L380" s="6"/>
      <c r="M380" s="6" t="s">
        <v>1881</v>
      </c>
      <c r="N380" s="46" t="s">
        <v>1880</v>
      </c>
      <c r="O380" s="6">
        <v>2927494686</v>
      </c>
      <c r="P380" s="78" t="s">
        <v>1879</v>
      </c>
      <c r="Q380" s="6">
        <v>10496</v>
      </c>
      <c r="R380" s="6">
        <v>27496</v>
      </c>
      <c r="S380" s="5" t="str">
        <f>VLOOKUP(T380,'[1]Kode Posisi'!$A$3:$B$45,2,)</f>
        <v>Outsourcing Cleaning Service</v>
      </c>
      <c r="T380" s="36" t="s">
        <v>47</v>
      </c>
      <c r="U380" s="44" t="s">
        <v>1857</v>
      </c>
      <c r="V380" s="44" t="s">
        <v>1878</v>
      </c>
      <c r="W380" s="36" t="s">
        <v>220</v>
      </c>
      <c r="X380" s="36" t="s">
        <v>219</v>
      </c>
      <c r="Y380" s="36" t="s">
        <v>52</v>
      </c>
      <c r="Z380" s="79" t="s">
        <v>1877</v>
      </c>
      <c r="AA380" s="36" t="s">
        <v>1876</v>
      </c>
      <c r="AB380" s="47">
        <v>3090000</v>
      </c>
      <c r="AC380" s="41">
        <v>3090000</v>
      </c>
      <c r="AD380" s="3">
        <v>2931000</v>
      </c>
      <c r="AE380" s="16">
        <f t="shared" si="182"/>
        <v>159000</v>
      </c>
      <c r="AF380" s="16">
        <v>0</v>
      </c>
      <c r="AG380" s="17">
        <v>0</v>
      </c>
      <c r="AI380" s="16">
        <v>0</v>
      </c>
      <c r="AK380" s="16">
        <v>0</v>
      </c>
      <c r="AL380" s="11">
        <f t="shared" si="156"/>
        <v>3090000</v>
      </c>
      <c r="AM380" s="16">
        <f t="shared" si="157"/>
        <v>316416</v>
      </c>
      <c r="AN380" s="16">
        <f t="shared" si="158"/>
        <v>123600</v>
      </c>
      <c r="AO380" s="16">
        <f t="shared" si="175"/>
        <v>192816</v>
      </c>
      <c r="AP380" s="16">
        <f t="shared" si="159"/>
        <v>114330</v>
      </c>
      <c r="AQ380" s="16">
        <f t="shared" si="160"/>
        <v>3406416</v>
      </c>
      <c r="AR380" s="16">
        <f t="shared" si="178"/>
        <v>204384.96</v>
      </c>
      <c r="AS380" s="16">
        <f t="shared" si="161"/>
        <v>22482.345600000001</v>
      </c>
      <c r="AT380" s="16">
        <f t="shared" si="162"/>
        <v>-4087.6992</v>
      </c>
      <c r="AU380" s="16">
        <f t="shared" si="163"/>
        <v>3606713.2607999998</v>
      </c>
      <c r="AV380" s="16">
        <f t="shared" si="164"/>
        <v>3610800.96</v>
      </c>
      <c r="AW380" s="16">
        <f t="shared" si="165"/>
        <v>123600</v>
      </c>
      <c r="AX380" s="16" t="s">
        <v>319</v>
      </c>
      <c r="AZ380" s="17">
        <f t="shared" si="177"/>
        <v>0</v>
      </c>
      <c r="BA380" s="16">
        <f t="shared" si="166"/>
        <v>2966400</v>
      </c>
      <c r="BB380" s="16">
        <f t="shared" si="167"/>
        <v>2966400</v>
      </c>
      <c r="BC380">
        <v>0.03</v>
      </c>
      <c r="BD380">
        <v>0.01</v>
      </c>
      <c r="BE380" s="37">
        <f t="shared" si="168"/>
        <v>285516</v>
      </c>
      <c r="BF380" s="38">
        <f t="shared" si="169"/>
        <v>176130</v>
      </c>
      <c r="BG380" s="37">
        <f t="shared" si="176"/>
        <v>146550</v>
      </c>
      <c r="BH380" s="37">
        <f t="shared" si="170"/>
        <v>154500</v>
      </c>
      <c r="BI380">
        <v>146550</v>
      </c>
      <c r="BL380" s="8">
        <f t="shared" si="171"/>
        <v>0</v>
      </c>
      <c r="BM380" s="7" t="str">
        <f t="shared" si="179"/>
        <v>Terdaftar BPJS Kes &amp; Naker</v>
      </c>
      <c r="BN380" s="11">
        <f t="shared" si="180"/>
        <v>176130</v>
      </c>
      <c r="BO380" s="11">
        <f t="shared" si="181"/>
        <v>140286</v>
      </c>
      <c r="BP380" s="9">
        <f t="shared" si="172"/>
        <v>0</v>
      </c>
      <c r="BQ380" t="str">
        <f>_xlfn.XLOOKUP(X380,'[2]NON TETAP'!$H:$H,'[2]NON TETAP'!$I:$I)</f>
        <v>GRAMEDIA ASRI MEDIA</v>
      </c>
    </row>
    <row r="381" spans="1:69" x14ac:dyDescent="0.3">
      <c r="A381" s="2">
        <v>380</v>
      </c>
      <c r="B381" s="4" t="s">
        <v>1875</v>
      </c>
      <c r="C381" s="6" t="s">
        <v>241</v>
      </c>
      <c r="D381" s="6"/>
      <c r="E381" s="6" t="s">
        <v>73</v>
      </c>
      <c r="F381" s="6" t="s">
        <v>73</v>
      </c>
      <c r="G381" s="6"/>
      <c r="H381" s="6"/>
      <c r="I381" s="6"/>
      <c r="J381" s="6"/>
      <c r="K381" s="6">
        <v>800477</v>
      </c>
      <c r="L381" s="6"/>
      <c r="M381" s="6" t="s">
        <v>1874</v>
      </c>
      <c r="N381" s="46" t="s">
        <v>1873</v>
      </c>
      <c r="O381" s="6">
        <v>329951755</v>
      </c>
      <c r="P381" s="78" t="s">
        <v>1872</v>
      </c>
      <c r="Q381" s="6">
        <v>10496</v>
      </c>
      <c r="R381" s="6">
        <v>27496</v>
      </c>
      <c r="S381" s="5" t="str">
        <f>VLOOKUP(T381,'[1]Kode Posisi'!$A$3:$B$45,2,)</f>
        <v>Outsourcing Cleaning Service</v>
      </c>
      <c r="T381" s="36" t="s">
        <v>47</v>
      </c>
      <c r="U381" s="44" t="s">
        <v>1857</v>
      </c>
      <c r="V381" s="44" t="s">
        <v>1871</v>
      </c>
      <c r="W381" s="36" t="s">
        <v>220</v>
      </c>
      <c r="X381" s="36" t="s">
        <v>219</v>
      </c>
      <c r="Y381" s="36" t="s">
        <v>473</v>
      </c>
      <c r="Z381" s="79" t="s">
        <v>1870</v>
      </c>
      <c r="AA381" s="36" t="s">
        <v>1869</v>
      </c>
      <c r="AB381" s="47">
        <v>3090000</v>
      </c>
      <c r="AC381" s="41">
        <v>3090000</v>
      </c>
      <c r="AD381" s="3">
        <v>2931000</v>
      </c>
      <c r="AE381" s="16">
        <f t="shared" si="182"/>
        <v>159000</v>
      </c>
      <c r="AF381" s="16">
        <v>0</v>
      </c>
      <c r="AG381" s="17">
        <v>0</v>
      </c>
      <c r="AI381" s="16">
        <v>0</v>
      </c>
      <c r="AK381" s="16">
        <v>0</v>
      </c>
      <c r="AL381" s="11">
        <f t="shared" si="156"/>
        <v>3090000</v>
      </c>
      <c r="AM381" s="16">
        <f t="shared" si="157"/>
        <v>316416</v>
      </c>
      <c r="AN381" s="16">
        <f t="shared" si="158"/>
        <v>123600</v>
      </c>
      <c r="AO381" s="16">
        <f t="shared" si="175"/>
        <v>192816</v>
      </c>
      <c r="AP381" s="16">
        <f t="shared" si="159"/>
        <v>114330</v>
      </c>
      <c r="AQ381" s="16">
        <f t="shared" si="160"/>
        <v>3406416</v>
      </c>
      <c r="AR381" s="16">
        <f t="shared" si="178"/>
        <v>204384.96</v>
      </c>
      <c r="AS381" s="16">
        <f t="shared" si="161"/>
        <v>22482.345600000001</v>
      </c>
      <c r="AT381" s="16">
        <f t="shared" si="162"/>
        <v>-4087.6992</v>
      </c>
      <c r="AU381" s="16">
        <f t="shared" si="163"/>
        <v>3606713.2607999998</v>
      </c>
      <c r="AV381" s="16">
        <f t="shared" si="164"/>
        <v>3610800.96</v>
      </c>
      <c r="AW381" s="16">
        <f t="shared" si="165"/>
        <v>123600</v>
      </c>
      <c r="AX381" s="16" t="s">
        <v>235</v>
      </c>
      <c r="AZ381" s="17">
        <f t="shared" si="177"/>
        <v>2900</v>
      </c>
      <c r="BA381" s="16">
        <f t="shared" si="166"/>
        <v>2966400</v>
      </c>
      <c r="BB381" s="16">
        <f t="shared" si="167"/>
        <v>2963500</v>
      </c>
      <c r="BC381">
        <v>0.03</v>
      </c>
      <c r="BD381">
        <v>0.01</v>
      </c>
      <c r="BE381" s="37">
        <f t="shared" si="168"/>
        <v>285516</v>
      </c>
      <c r="BF381" s="38">
        <f t="shared" si="169"/>
        <v>176130</v>
      </c>
      <c r="BG381" s="37">
        <f t="shared" si="176"/>
        <v>146550</v>
      </c>
      <c r="BH381" s="37">
        <f t="shared" si="170"/>
        <v>154500</v>
      </c>
      <c r="BI381">
        <v>146550</v>
      </c>
      <c r="BL381" s="8">
        <f t="shared" si="171"/>
        <v>0</v>
      </c>
      <c r="BM381" s="7" t="str">
        <f t="shared" si="179"/>
        <v>Terdaftar BPJS Kes &amp; Naker</v>
      </c>
      <c r="BN381" s="11">
        <f t="shared" si="180"/>
        <v>176130</v>
      </c>
      <c r="BO381" s="11">
        <f t="shared" si="181"/>
        <v>140286</v>
      </c>
      <c r="BP381" s="9">
        <f t="shared" si="172"/>
        <v>0</v>
      </c>
      <c r="BQ381" t="str">
        <f>_xlfn.XLOOKUP(X381,'[2]NON TETAP'!$H:$H,'[2]NON TETAP'!$I:$I)</f>
        <v>GRAMEDIA ASRI MEDIA</v>
      </c>
    </row>
    <row r="382" spans="1:69" x14ac:dyDescent="0.3">
      <c r="A382" s="2">
        <v>381</v>
      </c>
      <c r="B382" s="4" t="s">
        <v>1868</v>
      </c>
      <c r="C382" s="6" t="s">
        <v>241</v>
      </c>
      <c r="D382" s="6"/>
      <c r="E382" s="6" t="s">
        <v>73</v>
      </c>
      <c r="F382" s="6" t="s">
        <v>73</v>
      </c>
      <c r="G382" s="6"/>
      <c r="H382" s="6"/>
      <c r="I382" s="6"/>
      <c r="J382" s="6"/>
      <c r="K382" s="6">
        <v>800478</v>
      </c>
      <c r="L382" s="6"/>
      <c r="M382" s="6" t="s">
        <v>1867</v>
      </c>
      <c r="N382" s="46" t="s">
        <v>1866</v>
      </c>
      <c r="O382" s="6">
        <v>2034955056</v>
      </c>
      <c r="P382" s="78" t="s">
        <v>1865</v>
      </c>
      <c r="Q382" s="6">
        <v>18108</v>
      </c>
      <c r="R382" s="6">
        <v>27190</v>
      </c>
      <c r="S382" s="5" t="str">
        <f>VLOOKUP(T382,'[1]Kode Posisi'!$A$3:$B$45,2,)</f>
        <v>Outsourcing Petugas Pemeliharaan Gedung</v>
      </c>
      <c r="T382" s="36" t="s">
        <v>247</v>
      </c>
      <c r="U382" s="44" t="s">
        <v>1857</v>
      </c>
      <c r="V382" s="44" t="s">
        <v>1864</v>
      </c>
      <c r="W382" s="36" t="s">
        <v>220</v>
      </c>
      <c r="X382" s="36" t="s">
        <v>1863</v>
      </c>
      <c r="Y382" s="36" t="s">
        <v>63</v>
      </c>
      <c r="Z382" s="79" t="s">
        <v>1862</v>
      </c>
      <c r="AA382" s="36" t="s">
        <v>1861</v>
      </c>
      <c r="AB382" s="47">
        <v>3090000</v>
      </c>
      <c r="AC382" s="41">
        <v>3090000</v>
      </c>
      <c r="AD382" s="3">
        <v>2931000</v>
      </c>
      <c r="AE382" s="16">
        <f t="shared" si="182"/>
        <v>159000</v>
      </c>
      <c r="AF382" s="16">
        <v>0</v>
      </c>
      <c r="AG382" s="17">
        <v>0</v>
      </c>
      <c r="AI382" s="16">
        <v>0</v>
      </c>
      <c r="AK382" s="16">
        <v>0</v>
      </c>
      <c r="AL382" s="11">
        <f t="shared" si="156"/>
        <v>3090000</v>
      </c>
      <c r="AM382" s="16">
        <f t="shared" si="157"/>
        <v>316416</v>
      </c>
      <c r="AN382" s="16">
        <f t="shared" si="158"/>
        <v>123600</v>
      </c>
      <c r="AO382" s="16">
        <f t="shared" si="175"/>
        <v>192816</v>
      </c>
      <c r="AP382" s="16">
        <f t="shared" si="159"/>
        <v>114330</v>
      </c>
      <c r="AQ382" s="16">
        <f t="shared" si="160"/>
        <v>3406416</v>
      </c>
      <c r="AR382" s="16">
        <f t="shared" si="178"/>
        <v>204384.96</v>
      </c>
      <c r="AS382" s="16">
        <f t="shared" si="161"/>
        <v>22482.345600000001</v>
      </c>
      <c r="AT382" s="16">
        <f t="shared" si="162"/>
        <v>-4087.6992</v>
      </c>
      <c r="AU382" s="16">
        <f t="shared" si="163"/>
        <v>3606713.2607999998</v>
      </c>
      <c r="AV382" s="16">
        <f t="shared" si="164"/>
        <v>3610800.96</v>
      </c>
      <c r="AW382" s="16">
        <f t="shared" si="165"/>
        <v>123600</v>
      </c>
      <c r="AX382" s="16" t="s">
        <v>91</v>
      </c>
      <c r="AZ382" s="17">
        <f t="shared" si="177"/>
        <v>2900</v>
      </c>
      <c r="BA382" s="16">
        <f t="shared" si="166"/>
        <v>2966400</v>
      </c>
      <c r="BB382" s="16">
        <f t="shared" si="167"/>
        <v>2963500</v>
      </c>
      <c r="BC382">
        <v>0.03</v>
      </c>
      <c r="BD382">
        <v>0.01</v>
      </c>
      <c r="BE382" s="37">
        <f t="shared" si="168"/>
        <v>285516</v>
      </c>
      <c r="BF382" s="38">
        <f t="shared" si="169"/>
        <v>176130</v>
      </c>
      <c r="BG382" s="37">
        <f t="shared" si="176"/>
        <v>146550</v>
      </c>
      <c r="BH382" s="37">
        <f t="shared" si="170"/>
        <v>154500</v>
      </c>
      <c r="BI382">
        <v>146550</v>
      </c>
      <c r="BL382" s="8">
        <f t="shared" si="171"/>
        <v>0</v>
      </c>
      <c r="BM382" s="7" t="str">
        <f t="shared" si="179"/>
        <v>Terdaftar BPJS Kes &amp; Naker</v>
      </c>
      <c r="BN382" s="11">
        <f t="shared" si="180"/>
        <v>176130</v>
      </c>
      <c r="BO382" s="11">
        <f t="shared" si="181"/>
        <v>140286</v>
      </c>
      <c r="BP382" s="9">
        <f t="shared" si="172"/>
        <v>0</v>
      </c>
      <c r="BQ382" t="s">
        <v>8</v>
      </c>
    </row>
    <row r="383" spans="1:69" x14ac:dyDescent="0.3">
      <c r="A383" s="2">
        <v>382</v>
      </c>
      <c r="B383" s="4" t="s">
        <v>1854</v>
      </c>
      <c r="C383" s="6" t="s">
        <v>241</v>
      </c>
      <c r="D383" s="6"/>
      <c r="E383" s="6" t="s">
        <v>73</v>
      </c>
      <c r="F383" s="6" t="s">
        <v>73</v>
      </c>
      <c r="G383" s="6" t="s">
        <v>73</v>
      </c>
      <c r="H383" s="6"/>
      <c r="I383" s="6"/>
      <c r="J383" s="6"/>
      <c r="K383" s="6">
        <v>800480</v>
      </c>
      <c r="L383" s="6"/>
      <c r="M383" s="6" t="s">
        <v>1860</v>
      </c>
      <c r="N383" s="46" t="s">
        <v>1859</v>
      </c>
      <c r="O383" s="6">
        <v>1818468213</v>
      </c>
      <c r="P383" s="78" t="s">
        <v>1858</v>
      </c>
      <c r="Q383" s="6">
        <v>10496</v>
      </c>
      <c r="R383" s="6">
        <v>27496</v>
      </c>
      <c r="S383" s="5" t="str">
        <f>VLOOKUP(T383,'[1]Kode Posisi'!$A$3:$B$45,2,)</f>
        <v>Outsourcing Keamanan</v>
      </c>
      <c r="T383" s="36" t="s">
        <v>37</v>
      </c>
      <c r="U383" s="44" t="s">
        <v>1857</v>
      </c>
      <c r="V383" s="44" t="s">
        <v>1856</v>
      </c>
      <c r="W383" s="36" t="s">
        <v>220</v>
      </c>
      <c r="X383" s="36" t="s">
        <v>219</v>
      </c>
      <c r="Y383" s="36" t="s">
        <v>52</v>
      </c>
      <c r="Z383" s="79" t="s">
        <v>1855</v>
      </c>
      <c r="AA383" s="36" t="s">
        <v>1854</v>
      </c>
      <c r="AB383" s="47">
        <v>3090000</v>
      </c>
      <c r="AC383" s="41">
        <v>3090000</v>
      </c>
      <c r="AD383" s="3">
        <v>2931000</v>
      </c>
      <c r="AE383" s="16">
        <f t="shared" si="182"/>
        <v>159000</v>
      </c>
      <c r="AF383" s="16">
        <v>0</v>
      </c>
      <c r="AG383" s="17">
        <v>0</v>
      </c>
      <c r="AI383" s="16">
        <v>0</v>
      </c>
      <c r="AK383" s="16">
        <v>0</v>
      </c>
      <c r="AL383" s="11">
        <f t="shared" si="156"/>
        <v>3090000</v>
      </c>
      <c r="AM383" s="16">
        <f t="shared" si="157"/>
        <v>316416</v>
      </c>
      <c r="AN383" s="16">
        <f t="shared" si="158"/>
        <v>123600</v>
      </c>
      <c r="AO383" s="16">
        <f t="shared" si="175"/>
        <v>192816</v>
      </c>
      <c r="AP383" s="16">
        <f t="shared" si="159"/>
        <v>114330</v>
      </c>
      <c r="AQ383" s="16">
        <f t="shared" si="160"/>
        <v>3406416</v>
      </c>
      <c r="AR383" s="16">
        <f t="shared" si="178"/>
        <v>204384.96</v>
      </c>
      <c r="AS383" s="16">
        <f t="shared" si="161"/>
        <v>22482.345600000001</v>
      </c>
      <c r="AT383" s="16">
        <f t="shared" si="162"/>
        <v>-4087.6992</v>
      </c>
      <c r="AU383" s="16">
        <f t="shared" si="163"/>
        <v>3606713.2607999998</v>
      </c>
      <c r="AV383" s="16">
        <f t="shared" si="164"/>
        <v>3610800.96</v>
      </c>
      <c r="AW383" s="16">
        <f t="shared" si="165"/>
        <v>123600</v>
      </c>
      <c r="AX383" s="16" t="s">
        <v>477</v>
      </c>
      <c r="AZ383" s="17">
        <f t="shared" si="177"/>
        <v>0</v>
      </c>
      <c r="BA383" s="16">
        <f t="shared" si="166"/>
        <v>2966400</v>
      </c>
      <c r="BB383" s="16">
        <f t="shared" si="167"/>
        <v>2966400</v>
      </c>
      <c r="BC383">
        <v>0.03</v>
      </c>
      <c r="BD383">
        <v>0.01</v>
      </c>
      <c r="BE383" s="37">
        <f t="shared" si="168"/>
        <v>285516</v>
      </c>
      <c r="BF383" s="38">
        <f t="shared" si="169"/>
        <v>176130</v>
      </c>
      <c r="BG383" s="37">
        <f t="shared" si="176"/>
        <v>146550</v>
      </c>
      <c r="BH383" s="37">
        <f t="shared" si="170"/>
        <v>154500</v>
      </c>
      <c r="BI383">
        <v>146550</v>
      </c>
      <c r="BL383" s="8">
        <f t="shared" si="171"/>
        <v>0</v>
      </c>
      <c r="BM383" s="7" t="str">
        <f t="shared" si="179"/>
        <v>Terdaftar BPJS Kes &amp; Naker</v>
      </c>
      <c r="BN383" s="11">
        <f t="shared" si="180"/>
        <v>176130</v>
      </c>
      <c r="BO383" s="11">
        <f t="shared" si="181"/>
        <v>140286</v>
      </c>
      <c r="BP383" s="9">
        <f t="shared" si="172"/>
        <v>0</v>
      </c>
      <c r="BQ383" t="str">
        <f>_xlfn.XLOOKUP(X383,'[2]NON TETAP'!$H:$H,'[2]NON TETAP'!$I:$I)</f>
        <v>GRAMEDIA ASRI MEDIA</v>
      </c>
    </row>
    <row r="384" spans="1:69" x14ac:dyDescent="0.3">
      <c r="A384" s="2">
        <v>383</v>
      </c>
      <c r="B384" s="4" t="s">
        <v>1853</v>
      </c>
      <c r="C384" s="6" t="s">
        <v>241</v>
      </c>
      <c r="D384" s="6"/>
      <c r="E384" s="6" t="s">
        <v>73</v>
      </c>
      <c r="F384" s="6" t="s">
        <v>73</v>
      </c>
      <c r="G384" s="6" t="s">
        <v>73</v>
      </c>
      <c r="H384" s="6"/>
      <c r="I384" s="6"/>
      <c r="J384" s="6"/>
      <c r="K384" s="6">
        <v>800481</v>
      </c>
      <c r="L384" s="6"/>
      <c r="M384" s="6" t="s">
        <v>1852</v>
      </c>
      <c r="N384" s="46" t="s">
        <v>1851</v>
      </c>
      <c r="O384" s="6">
        <v>901734704</v>
      </c>
      <c r="P384" s="78" t="s">
        <v>1850</v>
      </c>
      <c r="Q384" s="6">
        <v>10164</v>
      </c>
      <c r="R384" s="6">
        <v>27164</v>
      </c>
      <c r="S384" s="5" t="str">
        <f>VLOOKUP(T384,'[1]Kode Posisi'!$A$3:$B$45,2,)</f>
        <v>Outsourcing Cleaning Service</v>
      </c>
      <c r="T384" s="36" t="s">
        <v>47</v>
      </c>
      <c r="U384" s="44" t="s">
        <v>1148</v>
      </c>
      <c r="V384" s="44" t="s">
        <v>1849</v>
      </c>
      <c r="W384" s="36" t="s">
        <v>54</v>
      </c>
      <c r="X384" s="36" t="s">
        <v>53</v>
      </c>
      <c r="Y384" s="36" t="s">
        <v>473</v>
      </c>
      <c r="Z384" s="79" t="s">
        <v>1848</v>
      </c>
      <c r="AA384" s="36" t="s">
        <v>1847</v>
      </c>
      <c r="AB384" s="47">
        <v>3857000</v>
      </c>
      <c r="AC384" s="41">
        <v>3857000</v>
      </c>
      <c r="AD384" s="3">
        <v>3702000</v>
      </c>
      <c r="AE384" s="16">
        <f t="shared" si="182"/>
        <v>155000</v>
      </c>
      <c r="AF384" s="16">
        <v>0</v>
      </c>
      <c r="AG384" s="17">
        <v>0</v>
      </c>
      <c r="AI384" s="16">
        <v>0</v>
      </c>
      <c r="AK384" s="16">
        <v>0</v>
      </c>
      <c r="AL384" s="11">
        <f t="shared" si="156"/>
        <v>3857000</v>
      </c>
      <c r="AM384" s="16">
        <f t="shared" si="157"/>
        <v>394956.79999999999</v>
      </c>
      <c r="AN384" s="16">
        <f t="shared" si="158"/>
        <v>154280</v>
      </c>
      <c r="AO384" s="16">
        <f t="shared" si="175"/>
        <v>240676.8</v>
      </c>
      <c r="AP384" s="16">
        <f t="shared" si="159"/>
        <v>142709</v>
      </c>
      <c r="AQ384" s="16">
        <f t="shared" si="160"/>
        <v>4251956.8</v>
      </c>
      <c r="AR384" s="16">
        <f t="shared" si="178"/>
        <v>255117.40799999997</v>
      </c>
      <c r="AS384" s="16">
        <f t="shared" si="161"/>
        <v>28062.914879999997</v>
      </c>
      <c r="AT384" s="16">
        <f t="shared" si="162"/>
        <v>-5102.3481599999996</v>
      </c>
      <c r="AU384" s="16">
        <f t="shared" si="163"/>
        <v>4501971.85984</v>
      </c>
      <c r="AV384" s="16">
        <f t="shared" si="164"/>
        <v>4507074.2079999996</v>
      </c>
      <c r="AW384" s="16">
        <f t="shared" si="165"/>
        <v>154280</v>
      </c>
      <c r="AX384" s="16" t="s">
        <v>286</v>
      </c>
      <c r="AZ384" s="17">
        <f t="shared" si="177"/>
        <v>2900</v>
      </c>
      <c r="BA384" s="16">
        <f t="shared" si="166"/>
        <v>3702720</v>
      </c>
      <c r="BB384" s="16">
        <f t="shared" si="167"/>
        <v>3699820</v>
      </c>
      <c r="BC384">
        <v>0.03</v>
      </c>
      <c r="BD384">
        <v>0.01</v>
      </c>
      <c r="BE384" s="37">
        <f t="shared" si="168"/>
        <v>356386.8</v>
      </c>
      <c r="BF384" s="38">
        <f t="shared" si="169"/>
        <v>219849</v>
      </c>
      <c r="BG384" s="37">
        <f t="shared" si="176"/>
        <v>185100</v>
      </c>
      <c r="BH384" s="37">
        <f t="shared" si="170"/>
        <v>192850</v>
      </c>
      <c r="BI384">
        <v>185100</v>
      </c>
      <c r="BJ384" s="2">
        <v>185100</v>
      </c>
      <c r="BL384" s="8">
        <f t="shared" si="171"/>
        <v>0</v>
      </c>
      <c r="BM384" s="7" t="str">
        <f t="shared" si="179"/>
        <v>Terdaftar BPJS Kes &amp; Naker</v>
      </c>
      <c r="BN384" s="11">
        <f t="shared" si="180"/>
        <v>219849</v>
      </c>
      <c r="BO384" s="11">
        <f t="shared" si="181"/>
        <v>175107.80000000002</v>
      </c>
      <c r="BP384" s="9">
        <f t="shared" si="172"/>
        <v>0</v>
      </c>
      <c r="BQ384" t="str">
        <f>_xlfn.XLOOKUP(X384,'[2]NON TETAP'!$H:$H,'[2]NON TETAP'!$I:$I)</f>
        <v>GRAMEDIA ASRI MEDIA</v>
      </c>
    </row>
    <row r="385" spans="1:69" x14ac:dyDescent="0.3">
      <c r="A385" s="2">
        <v>384</v>
      </c>
      <c r="B385" s="4" t="s">
        <v>1846</v>
      </c>
      <c r="C385" s="6" t="s">
        <v>241</v>
      </c>
      <c r="D385" s="6"/>
      <c r="E385" s="6" t="s">
        <v>73</v>
      </c>
      <c r="F385" s="6" t="s">
        <v>73</v>
      </c>
      <c r="G385" s="6" t="s">
        <v>73</v>
      </c>
      <c r="H385" s="6"/>
      <c r="I385" s="6"/>
      <c r="J385" s="6"/>
      <c r="K385" s="6">
        <v>800482</v>
      </c>
      <c r="L385" s="6"/>
      <c r="M385" s="6" t="s">
        <v>1845</v>
      </c>
      <c r="N385" s="46" t="s">
        <v>1844</v>
      </c>
      <c r="O385" s="6">
        <v>2427009772</v>
      </c>
      <c r="P385" s="78" t="s">
        <v>1843</v>
      </c>
      <c r="Q385" s="6">
        <v>10164</v>
      </c>
      <c r="R385" s="6">
        <v>27164</v>
      </c>
      <c r="S385" s="5" t="str">
        <f>VLOOKUP(T385,'[1]Kode Posisi'!$A$3:$B$45,2,)</f>
        <v>Outsourcing Cleaning Service</v>
      </c>
      <c r="T385" s="36" t="s">
        <v>47</v>
      </c>
      <c r="U385" s="44" t="s">
        <v>1148</v>
      </c>
      <c r="V385" s="44" t="s">
        <v>1842</v>
      </c>
      <c r="W385" s="36" t="s">
        <v>54</v>
      </c>
      <c r="X385" s="36" t="s">
        <v>53</v>
      </c>
      <c r="Y385" s="36" t="s">
        <v>52</v>
      </c>
      <c r="Z385" s="79">
        <v>7815565746</v>
      </c>
      <c r="AA385" s="36" t="s">
        <v>1841</v>
      </c>
      <c r="AB385" s="47">
        <v>3857000</v>
      </c>
      <c r="AC385" s="41">
        <v>3857000</v>
      </c>
      <c r="AD385" s="3">
        <v>3702000</v>
      </c>
      <c r="AE385" s="16">
        <f t="shared" si="182"/>
        <v>155000</v>
      </c>
      <c r="AF385" s="16">
        <v>0</v>
      </c>
      <c r="AG385" s="17">
        <v>0</v>
      </c>
      <c r="AI385" s="16">
        <v>0</v>
      </c>
      <c r="AK385" s="16">
        <v>0</v>
      </c>
      <c r="AL385" s="11">
        <f t="shared" si="156"/>
        <v>3857000</v>
      </c>
      <c r="AM385" s="16">
        <f t="shared" si="157"/>
        <v>394956.79999999999</v>
      </c>
      <c r="AN385" s="16">
        <f t="shared" si="158"/>
        <v>154280</v>
      </c>
      <c r="AO385" s="16">
        <f t="shared" si="175"/>
        <v>240676.8</v>
      </c>
      <c r="AP385" s="16">
        <f t="shared" si="159"/>
        <v>142709</v>
      </c>
      <c r="AQ385" s="16">
        <f t="shared" si="160"/>
        <v>4251956.8</v>
      </c>
      <c r="AR385" s="16">
        <f t="shared" si="178"/>
        <v>255117.40799999997</v>
      </c>
      <c r="AS385" s="16">
        <f t="shared" si="161"/>
        <v>28062.914879999997</v>
      </c>
      <c r="AT385" s="16">
        <f t="shared" si="162"/>
        <v>-5102.3481599999996</v>
      </c>
      <c r="AU385" s="16">
        <f t="shared" si="163"/>
        <v>4501971.85984</v>
      </c>
      <c r="AV385" s="16">
        <f t="shared" si="164"/>
        <v>4507074.2079999996</v>
      </c>
      <c r="AW385" s="16">
        <f t="shared" si="165"/>
        <v>154280</v>
      </c>
      <c r="AX385" s="16" t="s">
        <v>235</v>
      </c>
      <c r="AZ385" s="17">
        <f t="shared" si="177"/>
        <v>0</v>
      </c>
      <c r="BA385" s="16">
        <f t="shared" si="166"/>
        <v>3702720</v>
      </c>
      <c r="BB385" s="16">
        <f t="shared" si="167"/>
        <v>3702720</v>
      </c>
      <c r="BC385">
        <v>0.03</v>
      </c>
      <c r="BD385">
        <v>0.01</v>
      </c>
      <c r="BE385" s="37">
        <f t="shared" si="168"/>
        <v>356386.8</v>
      </c>
      <c r="BF385" s="38">
        <f t="shared" si="169"/>
        <v>219849</v>
      </c>
      <c r="BG385" s="37">
        <f t="shared" si="176"/>
        <v>185100</v>
      </c>
      <c r="BH385" s="37">
        <f t="shared" si="170"/>
        <v>192850</v>
      </c>
      <c r="BI385">
        <v>185100</v>
      </c>
      <c r="BL385" s="8">
        <f t="shared" si="171"/>
        <v>0</v>
      </c>
      <c r="BM385" s="7" t="str">
        <f t="shared" si="179"/>
        <v>Terdaftar BPJS Kes &amp; Naker</v>
      </c>
      <c r="BN385" s="11">
        <f t="shared" si="180"/>
        <v>219849</v>
      </c>
      <c r="BO385" s="11">
        <f t="shared" si="181"/>
        <v>175107.80000000002</v>
      </c>
      <c r="BP385" s="9">
        <f t="shared" si="172"/>
        <v>0</v>
      </c>
      <c r="BQ385" t="str">
        <f>_xlfn.XLOOKUP(X385,'[2]NON TETAP'!$H:$H,'[2]NON TETAP'!$I:$I)</f>
        <v>GRAMEDIA ASRI MEDIA</v>
      </c>
    </row>
    <row r="386" spans="1:69" x14ac:dyDescent="0.3">
      <c r="A386" s="2">
        <v>385</v>
      </c>
      <c r="B386" s="4" t="s">
        <v>1840</v>
      </c>
      <c r="C386" s="6" t="s">
        <v>241</v>
      </c>
      <c r="D386" s="6"/>
      <c r="E386" s="6" t="s">
        <v>73</v>
      </c>
      <c r="F386" s="6" t="s">
        <v>73</v>
      </c>
      <c r="G386" s="6" t="s">
        <v>73</v>
      </c>
      <c r="H386" s="6"/>
      <c r="I386" s="6"/>
      <c r="J386" s="6"/>
      <c r="K386" s="6">
        <v>800483</v>
      </c>
      <c r="L386" s="6"/>
      <c r="M386" s="6" t="s">
        <v>1839</v>
      </c>
      <c r="N386" s="46" t="s">
        <v>1838</v>
      </c>
      <c r="O386" s="6">
        <v>1166056323</v>
      </c>
      <c r="P386" s="78" t="s">
        <v>1837</v>
      </c>
      <c r="Q386" s="6">
        <v>10164</v>
      </c>
      <c r="R386" s="6">
        <v>27164</v>
      </c>
      <c r="S386" s="5" t="str">
        <f>VLOOKUP(T386,'[1]Kode Posisi'!$A$3:$B$45,2,)</f>
        <v>Outsourcing Cleaning Service</v>
      </c>
      <c r="T386" s="36" t="s">
        <v>47</v>
      </c>
      <c r="U386" s="44" t="s">
        <v>1148</v>
      </c>
      <c r="V386" s="44" t="s">
        <v>1836</v>
      </c>
      <c r="W386" s="36" t="s">
        <v>54</v>
      </c>
      <c r="X386" s="36" t="s">
        <v>53</v>
      </c>
      <c r="Y386" s="36" t="s">
        <v>63</v>
      </c>
      <c r="Z386" s="79" t="s">
        <v>1835</v>
      </c>
      <c r="AA386" s="36" t="s">
        <v>1834</v>
      </c>
      <c r="AB386" s="47">
        <v>3857000</v>
      </c>
      <c r="AC386" s="41">
        <v>3857000</v>
      </c>
      <c r="AD386" s="3">
        <v>3702000</v>
      </c>
      <c r="AE386" s="16">
        <f t="shared" si="182"/>
        <v>155000</v>
      </c>
      <c r="AF386" s="16">
        <v>0</v>
      </c>
      <c r="AG386" s="17">
        <v>0</v>
      </c>
      <c r="AI386" s="16">
        <v>0</v>
      </c>
      <c r="AJ386" s="11"/>
      <c r="AK386" s="16">
        <v>0</v>
      </c>
      <c r="AL386" s="11">
        <f t="shared" ref="AL386:AL449" si="183">SUM(AB386,AF386,AG386:AJ386)-AK386</f>
        <v>3857000</v>
      </c>
      <c r="AM386" s="16">
        <f t="shared" ref="AM386:AM449" si="184">SUM(AN386:AO386)</f>
        <v>394956.79999999999</v>
      </c>
      <c r="AN386" s="16">
        <f t="shared" ref="AN386:AN449" si="185">IF(BD386=0.01,AC386*0.04,0)</f>
        <v>154280</v>
      </c>
      <c r="AO386" s="16">
        <f t="shared" si="175"/>
        <v>240676.8</v>
      </c>
      <c r="AP386" s="16">
        <f t="shared" ref="AP386:AP449" si="186">IF(BC386=0.03,0.037*(AB386+AF386),0)</f>
        <v>142709</v>
      </c>
      <c r="AQ386" s="16">
        <f t="shared" ref="AQ386:AQ449" si="187">SUM(AL386:AM386)</f>
        <v>4251956.8</v>
      </c>
      <c r="AR386" s="16">
        <f t="shared" si="178"/>
        <v>255117.40799999997</v>
      </c>
      <c r="AS386" s="16">
        <f t="shared" ref="AS386:AS449" si="188">SUM(AR386*0.11)</f>
        <v>28062.914879999997</v>
      </c>
      <c r="AT386" s="16">
        <f t="shared" ref="AT386:AT449" si="189">SUM(AR386*-0.02)</f>
        <v>-5102.3481599999996</v>
      </c>
      <c r="AU386" s="16">
        <f t="shared" ref="AU386:AU449" si="190">(AQ386+AR386)+AT386</f>
        <v>4501971.85984</v>
      </c>
      <c r="AV386" s="16">
        <f t="shared" ref="AV386:AV449" si="191">SUM(AQ386+AR386)</f>
        <v>4507074.2079999996</v>
      </c>
      <c r="AW386" s="16">
        <f t="shared" ref="AW386:AW449" si="192">SUM(AC386)*SUM(BC386,BD386)</f>
        <v>154280</v>
      </c>
      <c r="AX386" s="16" t="s">
        <v>235</v>
      </c>
      <c r="AZ386" s="17">
        <f t="shared" si="177"/>
        <v>2900</v>
      </c>
      <c r="BA386" s="16">
        <f t="shared" ref="BA386:BA449" si="193">SUM(AL386-AW386,AY386)</f>
        <v>3702720</v>
      </c>
      <c r="BB386" s="16">
        <f t="shared" ref="BB386:BB449" si="194">SUM(AL386-AW386,AY386)-AZ386</f>
        <v>3699820</v>
      </c>
      <c r="BC386">
        <v>0.03</v>
      </c>
      <c r="BD386">
        <v>0.01</v>
      </c>
      <c r="BE386" s="37">
        <f t="shared" ref="BE386:BE449" si="195">IF(BC386=0.03,AC386*9.24%,0)</f>
        <v>356386.8</v>
      </c>
      <c r="BF386" s="38">
        <f t="shared" ref="BF386:BF449" si="196">IF(BC386=0.03,0.057/0.0924*BE386,0)</f>
        <v>219849</v>
      </c>
      <c r="BG386" s="37">
        <f t="shared" si="176"/>
        <v>185100</v>
      </c>
      <c r="BH386" s="37">
        <f t="shared" ref="BH386:BH449" si="197">IF(BD386=0.01,AC386*5%,0)</f>
        <v>192850</v>
      </c>
      <c r="BI386">
        <v>185100</v>
      </c>
      <c r="BL386" s="8">
        <f t="shared" ref="BL386:BL449" si="198">SUM(AF386:AJ386)-AK386</f>
        <v>0</v>
      </c>
      <c r="BM386" s="7" t="str">
        <f t="shared" si="179"/>
        <v>Terdaftar BPJS Kes &amp; Naker</v>
      </c>
      <c r="BN386" s="11">
        <f t="shared" si="180"/>
        <v>219849</v>
      </c>
      <c r="BO386" s="11">
        <f t="shared" si="181"/>
        <v>175107.80000000002</v>
      </c>
      <c r="BP386" s="9">
        <f t="shared" ref="BP386:BP449" si="199">AM386-BN386-BO386</f>
        <v>0</v>
      </c>
      <c r="BQ386" t="str">
        <f>_xlfn.XLOOKUP(X386,'[2]NON TETAP'!$H:$H,'[2]NON TETAP'!$I:$I)</f>
        <v>GRAMEDIA ASRI MEDIA</v>
      </c>
    </row>
    <row r="387" spans="1:69" x14ac:dyDescent="0.3">
      <c r="A387" s="2">
        <v>386</v>
      </c>
      <c r="B387" s="4" t="s">
        <v>1833</v>
      </c>
      <c r="C387" s="6" t="s">
        <v>241</v>
      </c>
      <c r="D387" s="6"/>
      <c r="E387" s="6" t="s">
        <v>73</v>
      </c>
      <c r="F387" s="6" t="s">
        <v>73</v>
      </c>
      <c r="G387" s="6" t="s">
        <v>73</v>
      </c>
      <c r="H387" s="6"/>
      <c r="I387" s="6">
        <v>261000</v>
      </c>
      <c r="J387" s="6"/>
      <c r="K387" s="6">
        <v>800485</v>
      </c>
      <c r="L387" s="6"/>
      <c r="M387" s="6" t="s">
        <v>1832</v>
      </c>
      <c r="N387" s="46" t="s">
        <v>1831</v>
      </c>
      <c r="O387" s="6">
        <v>1834162413</v>
      </c>
      <c r="P387" s="78" t="s">
        <v>1830</v>
      </c>
      <c r="Q387" s="6">
        <v>10168</v>
      </c>
      <c r="R387" s="6">
        <v>27168</v>
      </c>
      <c r="S387" s="5" t="str">
        <f>VLOOKUP(T387,'[1]Kode Posisi'!$A$3:$B$45,2,)</f>
        <v>Outsourcing Cleaning Service</v>
      </c>
      <c r="T387" s="36" t="s">
        <v>47</v>
      </c>
      <c r="U387" s="44" t="s">
        <v>1267</v>
      </c>
      <c r="V387" s="44" t="s">
        <v>1829</v>
      </c>
      <c r="W387" s="36" t="s">
        <v>1025</v>
      </c>
      <c r="X387" s="36" t="s">
        <v>951</v>
      </c>
      <c r="Y387" s="36" t="s">
        <v>63</v>
      </c>
      <c r="Z387" s="79" t="s">
        <v>1828</v>
      </c>
      <c r="AA387" s="36" t="s">
        <v>1827</v>
      </c>
      <c r="AB387" s="47">
        <v>3608000</v>
      </c>
      <c r="AC387" s="47">
        <v>3869000</v>
      </c>
      <c r="AD387" s="3">
        <v>3608000</v>
      </c>
      <c r="AE387" s="16">
        <f t="shared" si="182"/>
        <v>0</v>
      </c>
      <c r="AF387" s="16">
        <v>0</v>
      </c>
      <c r="AG387" s="17">
        <v>0</v>
      </c>
      <c r="AI387" s="16">
        <v>0</v>
      </c>
      <c r="AK387" s="16">
        <v>0</v>
      </c>
      <c r="AL387" s="11">
        <f t="shared" si="183"/>
        <v>3608000</v>
      </c>
      <c r="AM387" s="16">
        <f t="shared" si="184"/>
        <v>396185.59999999998</v>
      </c>
      <c r="AN387" s="16">
        <f t="shared" si="185"/>
        <v>154760</v>
      </c>
      <c r="AO387" s="16">
        <f t="shared" si="175"/>
        <v>241425.59999999998</v>
      </c>
      <c r="AP387" s="16">
        <f t="shared" si="186"/>
        <v>133496</v>
      </c>
      <c r="AQ387" s="16">
        <f t="shared" si="187"/>
        <v>4004185.6</v>
      </c>
      <c r="AR387" s="16">
        <f t="shared" si="178"/>
        <v>240251.136</v>
      </c>
      <c r="AS387" s="16">
        <f t="shared" si="188"/>
        <v>26427.624960000001</v>
      </c>
      <c r="AT387" s="16">
        <f t="shared" si="189"/>
        <v>-4805.0227199999999</v>
      </c>
      <c r="AU387" s="16">
        <f t="shared" si="190"/>
        <v>4239631.7132800007</v>
      </c>
      <c r="AV387" s="16">
        <f t="shared" si="191"/>
        <v>4244436.7360000005</v>
      </c>
      <c r="AW387" s="16">
        <f t="shared" si="192"/>
        <v>154760</v>
      </c>
      <c r="AX387" s="16" t="s">
        <v>235</v>
      </c>
      <c r="AZ387" s="17">
        <f t="shared" si="177"/>
        <v>2900</v>
      </c>
      <c r="BA387" s="16">
        <f t="shared" si="193"/>
        <v>3453240</v>
      </c>
      <c r="BB387" s="16">
        <f t="shared" si="194"/>
        <v>3450340</v>
      </c>
      <c r="BC387">
        <v>0.03</v>
      </c>
      <c r="BD387">
        <v>0.01</v>
      </c>
      <c r="BE387" s="37">
        <f t="shared" si="195"/>
        <v>357495.6</v>
      </c>
      <c r="BF387" s="38">
        <f t="shared" si="196"/>
        <v>220533</v>
      </c>
      <c r="BG387" s="37">
        <f t="shared" si="176"/>
        <v>180400</v>
      </c>
      <c r="BH387" s="37">
        <f t="shared" si="197"/>
        <v>193450</v>
      </c>
      <c r="BI387">
        <v>180400</v>
      </c>
      <c r="BL387" s="8">
        <f t="shared" si="198"/>
        <v>0</v>
      </c>
      <c r="BM387" s="7" t="str">
        <f t="shared" si="179"/>
        <v>Terdaftar BPJS Kes &amp; Naker</v>
      </c>
      <c r="BN387" s="11">
        <f t="shared" si="180"/>
        <v>220533</v>
      </c>
      <c r="BO387" s="11">
        <f t="shared" si="181"/>
        <v>175652.6</v>
      </c>
      <c r="BP387" s="9">
        <f t="shared" si="199"/>
        <v>0</v>
      </c>
      <c r="BQ387" t="str">
        <f>_xlfn.XLOOKUP(X387,'[2]NON TETAP'!$H:$H,'[2]NON TETAP'!$I:$I)</f>
        <v>GRAMEDIA ASRI MEDIA</v>
      </c>
    </row>
    <row r="388" spans="1:69" x14ac:dyDescent="0.3">
      <c r="A388" s="2">
        <v>387</v>
      </c>
      <c r="B388" s="4" t="s">
        <v>1826</v>
      </c>
      <c r="C388" s="6" t="s">
        <v>241</v>
      </c>
      <c r="D388" s="6"/>
      <c r="E388" s="6" t="s">
        <v>73</v>
      </c>
      <c r="F388" s="6" t="s">
        <v>73</v>
      </c>
      <c r="G388" s="6" t="s">
        <v>73</v>
      </c>
      <c r="H388" s="6"/>
      <c r="I388" s="6">
        <v>261000</v>
      </c>
      <c r="J388" s="6"/>
      <c r="K388" s="6">
        <v>800486</v>
      </c>
      <c r="L388" s="6"/>
      <c r="M388" s="6" t="s">
        <v>1825</v>
      </c>
      <c r="N388" s="46" t="s">
        <v>1824</v>
      </c>
      <c r="O388" s="6">
        <v>1819481332</v>
      </c>
      <c r="P388" s="78" t="s">
        <v>1823</v>
      </c>
      <c r="Q388" s="6">
        <v>10168</v>
      </c>
      <c r="R388" s="6">
        <v>27168</v>
      </c>
      <c r="S388" s="5" t="str">
        <f>VLOOKUP(T388,'[1]Kode Posisi'!$A$3:$B$45,2,)</f>
        <v>Outsourcing Cleaning Service</v>
      </c>
      <c r="T388" s="36" t="s">
        <v>47</v>
      </c>
      <c r="U388" s="44" t="s">
        <v>1267</v>
      </c>
      <c r="V388" s="44" t="s">
        <v>1822</v>
      </c>
      <c r="W388" s="36" t="s">
        <v>1025</v>
      </c>
      <c r="X388" s="36" t="s">
        <v>951</v>
      </c>
      <c r="Y388" s="36" t="s">
        <v>63</v>
      </c>
      <c r="Z388" s="79" t="s">
        <v>1821</v>
      </c>
      <c r="AA388" s="36" t="s">
        <v>1820</v>
      </c>
      <c r="AB388" s="47">
        <v>3608000</v>
      </c>
      <c r="AC388" s="47">
        <v>3869000</v>
      </c>
      <c r="AD388" s="3">
        <v>3608000</v>
      </c>
      <c r="AE388" s="16">
        <f t="shared" si="182"/>
        <v>0</v>
      </c>
      <c r="AF388" s="16">
        <v>0</v>
      </c>
      <c r="AG388" s="17">
        <v>0</v>
      </c>
      <c r="AI388" s="16">
        <v>0</v>
      </c>
      <c r="AK388" s="16">
        <v>0</v>
      </c>
      <c r="AL388" s="11">
        <f t="shared" si="183"/>
        <v>3608000</v>
      </c>
      <c r="AM388" s="16">
        <f t="shared" si="184"/>
        <v>396185.59999999998</v>
      </c>
      <c r="AN388" s="16">
        <f t="shared" si="185"/>
        <v>154760</v>
      </c>
      <c r="AO388" s="16">
        <f t="shared" si="175"/>
        <v>241425.59999999998</v>
      </c>
      <c r="AP388" s="16">
        <f t="shared" si="186"/>
        <v>133496</v>
      </c>
      <c r="AQ388" s="16">
        <f t="shared" si="187"/>
        <v>4004185.6</v>
      </c>
      <c r="AR388" s="16">
        <f t="shared" si="178"/>
        <v>240251.136</v>
      </c>
      <c r="AS388" s="16">
        <f t="shared" si="188"/>
        <v>26427.624960000001</v>
      </c>
      <c r="AT388" s="16">
        <f t="shared" si="189"/>
        <v>-4805.0227199999999</v>
      </c>
      <c r="AU388" s="16">
        <f t="shared" si="190"/>
        <v>4239631.7132800007</v>
      </c>
      <c r="AV388" s="16">
        <f t="shared" si="191"/>
        <v>4244436.7360000005</v>
      </c>
      <c r="AW388" s="16">
        <f t="shared" si="192"/>
        <v>154760</v>
      </c>
      <c r="AX388" s="16" t="s">
        <v>235</v>
      </c>
      <c r="AZ388" s="17">
        <f t="shared" si="177"/>
        <v>2900</v>
      </c>
      <c r="BA388" s="16">
        <f t="shared" si="193"/>
        <v>3453240</v>
      </c>
      <c r="BB388" s="16">
        <f t="shared" si="194"/>
        <v>3450340</v>
      </c>
      <c r="BC388">
        <v>0.03</v>
      </c>
      <c r="BD388">
        <v>0.01</v>
      </c>
      <c r="BE388" s="37">
        <f t="shared" si="195"/>
        <v>357495.6</v>
      </c>
      <c r="BF388" s="38">
        <f t="shared" si="196"/>
        <v>220533</v>
      </c>
      <c r="BG388" s="37">
        <f t="shared" si="176"/>
        <v>180400</v>
      </c>
      <c r="BH388" s="37">
        <f t="shared" si="197"/>
        <v>193450</v>
      </c>
      <c r="BI388">
        <v>180400</v>
      </c>
      <c r="BL388" s="8">
        <f t="shared" si="198"/>
        <v>0</v>
      </c>
      <c r="BM388" s="7" t="str">
        <f t="shared" si="179"/>
        <v>Terdaftar BPJS Kes &amp; Naker</v>
      </c>
      <c r="BN388" s="11">
        <f t="shared" si="180"/>
        <v>220533</v>
      </c>
      <c r="BO388" s="11">
        <f t="shared" si="181"/>
        <v>175652.6</v>
      </c>
      <c r="BP388" s="9">
        <f t="shared" si="199"/>
        <v>0</v>
      </c>
      <c r="BQ388" t="str">
        <f>_xlfn.XLOOKUP(X388,'[2]NON TETAP'!$H:$H,'[2]NON TETAP'!$I:$I)</f>
        <v>GRAMEDIA ASRI MEDIA</v>
      </c>
    </row>
    <row r="389" spans="1:69" x14ac:dyDescent="0.3">
      <c r="A389" s="2">
        <v>388</v>
      </c>
      <c r="B389" s="4" t="s">
        <v>1819</v>
      </c>
      <c r="C389" s="6" t="s">
        <v>241</v>
      </c>
      <c r="D389" s="6"/>
      <c r="E389" s="6" t="s">
        <v>73</v>
      </c>
      <c r="F389" s="6" t="s">
        <v>73</v>
      </c>
      <c r="G389" s="6" t="s">
        <v>73</v>
      </c>
      <c r="H389" s="6"/>
      <c r="I389" s="6">
        <v>261000</v>
      </c>
      <c r="J389" s="6"/>
      <c r="K389" s="6">
        <v>800488</v>
      </c>
      <c r="L389" s="6"/>
      <c r="M389" s="6" t="s">
        <v>1818</v>
      </c>
      <c r="N389" s="46" t="s">
        <v>1817</v>
      </c>
      <c r="O389" s="6">
        <v>2253222099</v>
      </c>
      <c r="P389" s="78" t="s">
        <v>1816</v>
      </c>
      <c r="Q389" s="6">
        <v>10168</v>
      </c>
      <c r="R389" s="6">
        <v>27168</v>
      </c>
      <c r="S389" s="5" t="str">
        <f>VLOOKUP(T389,'[1]Kode Posisi'!$A$3:$B$45,2,)</f>
        <v>Outsourcing Cleaning Service</v>
      </c>
      <c r="T389" s="36" t="s">
        <v>47</v>
      </c>
      <c r="U389" s="44" t="s">
        <v>1267</v>
      </c>
      <c r="V389" s="44" t="s">
        <v>1815</v>
      </c>
      <c r="W389" s="36" t="s">
        <v>1025</v>
      </c>
      <c r="X389" s="36" t="s">
        <v>951</v>
      </c>
      <c r="Y389" s="36" t="s">
        <v>63</v>
      </c>
      <c r="Z389" s="79" t="s">
        <v>1814</v>
      </c>
      <c r="AA389" s="36" t="s">
        <v>1813</v>
      </c>
      <c r="AB389" s="47">
        <v>3608000</v>
      </c>
      <c r="AC389" s="47">
        <v>3869000</v>
      </c>
      <c r="AD389" s="3">
        <v>3608000</v>
      </c>
      <c r="AE389" s="16">
        <f t="shared" si="182"/>
        <v>0</v>
      </c>
      <c r="AF389" s="16">
        <v>0</v>
      </c>
      <c r="AG389" s="17">
        <v>0</v>
      </c>
      <c r="AI389" s="16">
        <v>0</v>
      </c>
      <c r="AK389" s="16">
        <v>0</v>
      </c>
      <c r="AL389" s="11">
        <f t="shared" si="183"/>
        <v>3608000</v>
      </c>
      <c r="AM389" s="16">
        <f t="shared" si="184"/>
        <v>396185.59999999998</v>
      </c>
      <c r="AN389" s="16">
        <f t="shared" si="185"/>
        <v>154760</v>
      </c>
      <c r="AO389" s="16">
        <f t="shared" si="175"/>
        <v>241425.59999999998</v>
      </c>
      <c r="AP389" s="16">
        <f t="shared" si="186"/>
        <v>133496</v>
      </c>
      <c r="AQ389" s="16">
        <f t="shared" si="187"/>
        <v>4004185.6</v>
      </c>
      <c r="AR389" s="16">
        <f t="shared" si="178"/>
        <v>240251.136</v>
      </c>
      <c r="AS389" s="16">
        <f t="shared" si="188"/>
        <v>26427.624960000001</v>
      </c>
      <c r="AT389" s="16">
        <f t="shared" si="189"/>
        <v>-4805.0227199999999</v>
      </c>
      <c r="AU389" s="16">
        <f t="shared" si="190"/>
        <v>4239631.7132800007</v>
      </c>
      <c r="AV389" s="16">
        <f t="shared" si="191"/>
        <v>4244436.7360000005</v>
      </c>
      <c r="AW389" s="16">
        <f t="shared" si="192"/>
        <v>154760</v>
      </c>
      <c r="AX389" s="16" t="s">
        <v>235</v>
      </c>
      <c r="AZ389" s="17">
        <f t="shared" si="177"/>
        <v>2900</v>
      </c>
      <c r="BA389" s="16">
        <f t="shared" si="193"/>
        <v>3453240</v>
      </c>
      <c r="BB389" s="16">
        <f t="shared" si="194"/>
        <v>3450340</v>
      </c>
      <c r="BC389">
        <v>0.03</v>
      </c>
      <c r="BD389">
        <v>0.01</v>
      </c>
      <c r="BE389" s="37">
        <f t="shared" si="195"/>
        <v>357495.6</v>
      </c>
      <c r="BF389" s="38">
        <f t="shared" si="196"/>
        <v>220533</v>
      </c>
      <c r="BG389" s="37">
        <f t="shared" si="176"/>
        <v>180400</v>
      </c>
      <c r="BH389" s="37">
        <f t="shared" si="197"/>
        <v>193450</v>
      </c>
      <c r="BI389">
        <v>180400</v>
      </c>
      <c r="BL389" s="8">
        <f t="shared" si="198"/>
        <v>0</v>
      </c>
      <c r="BM389" s="7" t="str">
        <f t="shared" si="179"/>
        <v>Terdaftar BPJS Kes &amp; Naker</v>
      </c>
      <c r="BN389" s="11">
        <f t="shared" si="180"/>
        <v>220533</v>
      </c>
      <c r="BO389" s="11">
        <f t="shared" si="181"/>
        <v>175652.6</v>
      </c>
      <c r="BP389" s="9">
        <f t="shared" si="199"/>
        <v>0</v>
      </c>
      <c r="BQ389" t="str">
        <f>_xlfn.XLOOKUP(X389,'[2]NON TETAP'!$H:$H,'[2]NON TETAP'!$I:$I)</f>
        <v>GRAMEDIA ASRI MEDIA</v>
      </c>
    </row>
    <row r="390" spans="1:69" x14ac:dyDescent="0.3">
      <c r="A390" s="2">
        <v>389</v>
      </c>
      <c r="B390" s="4" t="s">
        <v>1812</v>
      </c>
      <c r="C390" s="6" t="s">
        <v>241</v>
      </c>
      <c r="D390" s="6"/>
      <c r="E390" s="6" t="s">
        <v>73</v>
      </c>
      <c r="F390" s="6" t="s">
        <v>73</v>
      </c>
      <c r="G390" s="6"/>
      <c r="H390" s="6"/>
      <c r="I390" s="6"/>
      <c r="J390" s="6"/>
      <c r="K390" s="6">
        <v>800489</v>
      </c>
      <c r="L390" s="6"/>
      <c r="M390" s="6"/>
      <c r="N390" s="46" t="s">
        <v>1811</v>
      </c>
      <c r="O390" s="6">
        <v>1517231619</v>
      </c>
      <c r="P390" s="78" t="s">
        <v>1810</v>
      </c>
      <c r="Q390" s="6">
        <v>10115</v>
      </c>
      <c r="R390" s="6">
        <v>27115</v>
      </c>
      <c r="S390" s="5" t="str">
        <f>VLOOKUP(T390,'[1]Kode Posisi'!$A$3:$B$45,2,)</f>
        <v>Outsourcing Cleaning Service</v>
      </c>
      <c r="T390" s="36" t="s">
        <v>47</v>
      </c>
      <c r="U390" s="44">
        <v>1231</v>
      </c>
      <c r="V390" s="44" t="s">
        <v>1809</v>
      </c>
      <c r="W390" s="49" t="s">
        <v>1803</v>
      </c>
      <c r="X390" s="49" t="s">
        <v>1802</v>
      </c>
      <c r="Y390" s="36" t="s">
        <v>52</v>
      </c>
      <c r="Z390" s="79">
        <v>1663371138</v>
      </c>
      <c r="AA390" s="36" t="s">
        <v>1808</v>
      </c>
      <c r="AB390" s="47">
        <v>5730000</v>
      </c>
      <c r="AC390" s="41">
        <v>5730000</v>
      </c>
      <c r="AD390" s="3">
        <v>5397000</v>
      </c>
      <c r="AE390" s="16">
        <f t="shared" si="182"/>
        <v>333000</v>
      </c>
      <c r="AF390" s="16">
        <v>0</v>
      </c>
      <c r="AG390" s="17">
        <v>0</v>
      </c>
      <c r="AI390" s="16">
        <v>0</v>
      </c>
      <c r="AK390" s="16">
        <v>0</v>
      </c>
      <c r="AL390" s="11">
        <f t="shared" si="183"/>
        <v>5730000</v>
      </c>
      <c r="AM390" s="16">
        <f t="shared" si="184"/>
        <v>586752</v>
      </c>
      <c r="AN390" s="16">
        <f t="shared" si="185"/>
        <v>229200</v>
      </c>
      <c r="AO390" s="16">
        <f t="shared" si="175"/>
        <v>357552</v>
      </c>
      <c r="AP390" s="16">
        <f t="shared" si="186"/>
        <v>212010</v>
      </c>
      <c r="AQ390" s="16">
        <f t="shared" si="187"/>
        <v>6316752</v>
      </c>
      <c r="AR390" s="16">
        <f t="shared" si="178"/>
        <v>379005.12</v>
      </c>
      <c r="AS390" s="16">
        <f t="shared" si="188"/>
        <v>41690.563199999997</v>
      </c>
      <c r="AT390" s="16">
        <f t="shared" si="189"/>
        <v>-7580.1023999999998</v>
      </c>
      <c r="AU390" s="16">
        <f t="shared" si="190"/>
        <v>6688177.0175999999</v>
      </c>
      <c r="AV390" s="16">
        <f t="shared" si="191"/>
        <v>6695757.1200000001</v>
      </c>
      <c r="AW390" s="16">
        <f t="shared" si="192"/>
        <v>229200</v>
      </c>
      <c r="AX390" s="16" t="s">
        <v>286</v>
      </c>
      <c r="AZ390" s="17">
        <f t="shared" si="177"/>
        <v>0</v>
      </c>
      <c r="BA390" s="16">
        <f t="shared" si="193"/>
        <v>5500800</v>
      </c>
      <c r="BB390" s="16">
        <f t="shared" si="194"/>
        <v>5500800</v>
      </c>
      <c r="BC390" s="15">
        <v>0.03</v>
      </c>
      <c r="BD390">
        <v>0.01</v>
      </c>
      <c r="BE390" s="37">
        <f t="shared" si="195"/>
        <v>529452</v>
      </c>
      <c r="BF390" s="38">
        <f t="shared" si="196"/>
        <v>326610</v>
      </c>
      <c r="BG390" s="37">
        <f t="shared" si="176"/>
        <v>269850</v>
      </c>
      <c r="BH390" s="37">
        <f t="shared" si="197"/>
        <v>286500</v>
      </c>
      <c r="BI390">
        <v>269850</v>
      </c>
      <c r="BL390" s="8">
        <f t="shared" si="198"/>
        <v>0</v>
      </c>
      <c r="BM390" s="7" t="str">
        <f t="shared" si="179"/>
        <v>Terdaftar BPJS Kes &amp; Naker</v>
      </c>
      <c r="BN390" s="11">
        <f t="shared" si="180"/>
        <v>326610</v>
      </c>
      <c r="BO390" s="11">
        <f t="shared" si="181"/>
        <v>260142.00000000003</v>
      </c>
      <c r="BP390" s="9">
        <f t="shared" si="199"/>
        <v>0</v>
      </c>
      <c r="BQ390" t="str">
        <f>_xlfn.XLOOKUP(X390,'[2]NON TETAP'!$H:$H,'[2]NON TETAP'!$I:$I)</f>
        <v>GRAMEDIA ASRI MEDIA</v>
      </c>
    </row>
    <row r="391" spans="1:69" x14ac:dyDescent="0.3">
      <c r="A391" s="2">
        <v>390</v>
      </c>
      <c r="B391" s="4" t="s">
        <v>1807</v>
      </c>
      <c r="C391" s="6" t="s">
        <v>241</v>
      </c>
      <c r="D391" s="6"/>
      <c r="E391" s="6" t="s">
        <v>73</v>
      </c>
      <c r="F391" s="6" t="s">
        <v>73</v>
      </c>
      <c r="G391" s="6"/>
      <c r="H391" s="6"/>
      <c r="I391" s="6"/>
      <c r="J391" s="6"/>
      <c r="K391" s="6">
        <v>800490</v>
      </c>
      <c r="L391" s="6"/>
      <c r="M391" s="6">
        <v>25051200399</v>
      </c>
      <c r="N391" s="46" t="s">
        <v>1806</v>
      </c>
      <c r="O391" s="6">
        <v>1905637678</v>
      </c>
      <c r="P391" s="78" t="s">
        <v>1805</v>
      </c>
      <c r="Q391" s="6">
        <v>10115</v>
      </c>
      <c r="R391" s="6">
        <v>27115</v>
      </c>
      <c r="S391" s="5" t="str">
        <f>VLOOKUP(T391,'[1]Kode Posisi'!$A$3:$B$45,2,)</f>
        <v>Outsourcing Cleaning Service</v>
      </c>
      <c r="T391" s="36" t="s">
        <v>47</v>
      </c>
      <c r="U391" s="44">
        <v>1231</v>
      </c>
      <c r="V391" s="44" t="s">
        <v>1804</v>
      </c>
      <c r="W391" s="49" t="s">
        <v>1803</v>
      </c>
      <c r="X391" s="49" t="s">
        <v>1802</v>
      </c>
      <c r="Y391" s="36" t="s">
        <v>52</v>
      </c>
      <c r="Z391" s="79">
        <v>5015294164</v>
      </c>
      <c r="AA391" s="36" t="s">
        <v>1801</v>
      </c>
      <c r="AB391" s="47">
        <v>5730000</v>
      </c>
      <c r="AC391" s="41">
        <v>5730000</v>
      </c>
      <c r="AD391" s="3">
        <v>5397000</v>
      </c>
      <c r="AE391" s="16">
        <f t="shared" si="182"/>
        <v>333000</v>
      </c>
      <c r="AF391" s="16">
        <v>0</v>
      </c>
      <c r="AG391" s="17">
        <v>0</v>
      </c>
      <c r="AI391" s="16">
        <v>0</v>
      </c>
      <c r="AK391" s="16">
        <v>0</v>
      </c>
      <c r="AL391" s="11">
        <f t="shared" si="183"/>
        <v>5730000</v>
      </c>
      <c r="AM391" s="16">
        <f t="shared" si="184"/>
        <v>586752</v>
      </c>
      <c r="AN391" s="16">
        <f t="shared" si="185"/>
        <v>229200</v>
      </c>
      <c r="AO391" s="16">
        <f t="shared" si="175"/>
        <v>357552</v>
      </c>
      <c r="AP391" s="16">
        <f t="shared" si="186"/>
        <v>212010</v>
      </c>
      <c r="AQ391" s="16">
        <f t="shared" si="187"/>
        <v>6316752</v>
      </c>
      <c r="AR391" s="16">
        <f t="shared" si="178"/>
        <v>379005.12</v>
      </c>
      <c r="AS391" s="16">
        <f t="shared" si="188"/>
        <v>41690.563199999997</v>
      </c>
      <c r="AT391" s="16">
        <f t="shared" si="189"/>
        <v>-7580.1023999999998</v>
      </c>
      <c r="AU391" s="16">
        <f t="shared" si="190"/>
        <v>6688177.0175999999</v>
      </c>
      <c r="AV391" s="16">
        <f t="shared" si="191"/>
        <v>6695757.1200000001</v>
      </c>
      <c r="AW391" s="16">
        <f t="shared" si="192"/>
        <v>229200</v>
      </c>
      <c r="AX391" s="16" t="s">
        <v>319</v>
      </c>
      <c r="AZ391" s="17">
        <f t="shared" si="177"/>
        <v>0</v>
      </c>
      <c r="BA391" s="16">
        <f t="shared" si="193"/>
        <v>5500800</v>
      </c>
      <c r="BB391" s="16">
        <f t="shared" si="194"/>
        <v>5500800</v>
      </c>
      <c r="BC391">
        <v>0.03</v>
      </c>
      <c r="BD391">
        <v>0.01</v>
      </c>
      <c r="BE391" s="37">
        <f t="shared" si="195"/>
        <v>529452</v>
      </c>
      <c r="BF391" s="38">
        <f t="shared" si="196"/>
        <v>326610</v>
      </c>
      <c r="BG391" s="37">
        <f t="shared" si="176"/>
        <v>269850</v>
      </c>
      <c r="BH391" s="37">
        <f t="shared" si="197"/>
        <v>286500</v>
      </c>
      <c r="BI391">
        <v>269850</v>
      </c>
      <c r="BJ391" s="2">
        <v>269850</v>
      </c>
      <c r="BL391" s="8">
        <f t="shared" si="198"/>
        <v>0</v>
      </c>
      <c r="BM391" s="7" t="str">
        <f t="shared" si="179"/>
        <v>Terdaftar BPJS Kes &amp; Naker</v>
      </c>
      <c r="BN391" s="11">
        <f t="shared" si="180"/>
        <v>326610</v>
      </c>
      <c r="BO391" s="11">
        <f t="shared" si="181"/>
        <v>260142.00000000003</v>
      </c>
      <c r="BP391" s="9">
        <f t="shared" si="199"/>
        <v>0</v>
      </c>
      <c r="BQ391" t="str">
        <f>_xlfn.XLOOKUP(X391,'[2]NON TETAP'!$H:$H,'[2]NON TETAP'!$I:$I)</f>
        <v>GRAMEDIA ASRI MEDIA</v>
      </c>
    </row>
    <row r="392" spans="1:69" x14ac:dyDescent="0.3">
      <c r="A392" s="2">
        <v>391</v>
      </c>
      <c r="B392" s="4" t="s">
        <v>1795</v>
      </c>
      <c r="C392" s="6" t="s">
        <v>241</v>
      </c>
      <c r="D392" s="6"/>
      <c r="E392" s="6" t="s">
        <v>73</v>
      </c>
      <c r="F392" s="6" t="s">
        <v>73</v>
      </c>
      <c r="G392" s="6" t="s">
        <v>1793</v>
      </c>
      <c r="H392" s="6"/>
      <c r="I392" s="6"/>
      <c r="J392" s="6"/>
      <c r="K392" s="6">
        <v>800491</v>
      </c>
      <c r="L392" s="6"/>
      <c r="M392" s="6" t="s">
        <v>1800</v>
      </c>
      <c r="N392" s="46" t="s">
        <v>1799</v>
      </c>
      <c r="O392" s="6">
        <v>1142709221</v>
      </c>
      <c r="P392" s="78" t="s">
        <v>1798</v>
      </c>
      <c r="Q392" s="6">
        <v>10113</v>
      </c>
      <c r="R392" s="6">
        <v>27113</v>
      </c>
      <c r="S392" s="5" t="str">
        <f>VLOOKUP(T392,'[1]Kode Posisi'!$A$3:$B$45,2,)</f>
        <v>Outsourcing Cleaning Service</v>
      </c>
      <c r="T392" s="36" t="s">
        <v>47</v>
      </c>
      <c r="U392" s="44" t="s">
        <v>1131</v>
      </c>
      <c r="V392" s="44" t="s">
        <v>1797</v>
      </c>
      <c r="W392" s="36" t="s">
        <v>1129</v>
      </c>
      <c r="X392" s="36" t="s">
        <v>1128</v>
      </c>
      <c r="Y392" s="36" t="s">
        <v>63</v>
      </c>
      <c r="Z392" s="79" t="s">
        <v>1796</v>
      </c>
      <c r="AA392" s="36" t="s">
        <v>1795</v>
      </c>
      <c r="AB392" s="47">
        <v>4193000</v>
      </c>
      <c r="AC392" s="41">
        <v>4193000</v>
      </c>
      <c r="AD392" s="3">
        <v>3917000</v>
      </c>
      <c r="AE392" s="16">
        <f t="shared" si="182"/>
        <v>276000</v>
      </c>
      <c r="AF392" s="16">
        <v>0</v>
      </c>
      <c r="AG392" s="17">
        <v>0</v>
      </c>
      <c r="AI392" s="16">
        <v>0</v>
      </c>
      <c r="AK392" s="16">
        <v>0</v>
      </c>
      <c r="AL392" s="11">
        <f t="shared" si="183"/>
        <v>4193000</v>
      </c>
      <c r="AM392" s="16">
        <f t="shared" si="184"/>
        <v>429363.19999999995</v>
      </c>
      <c r="AN392" s="16">
        <f t="shared" si="185"/>
        <v>167720</v>
      </c>
      <c r="AO392" s="16">
        <f t="shared" si="175"/>
        <v>261643.19999999998</v>
      </c>
      <c r="AP392" s="16">
        <f t="shared" si="186"/>
        <v>155141</v>
      </c>
      <c r="AQ392" s="16">
        <f t="shared" si="187"/>
        <v>4622363.2</v>
      </c>
      <c r="AR392" s="16">
        <f t="shared" si="178"/>
        <v>277341.79200000002</v>
      </c>
      <c r="AS392" s="16">
        <f t="shared" si="188"/>
        <v>30507.597120000002</v>
      </c>
      <c r="AT392" s="16">
        <f t="shared" si="189"/>
        <v>-5546.8358400000006</v>
      </c>
      <c r="AU392" s="16">
        <f t="shared" si="190"/>
        <v>4894158.1561600007</v>
      </c>
      <c r="AV392" s="16">
        <f t="shared" si="191"/>
        <v>4899704.9920000006</v>
      </c>
      <c r="AW392" s="16">
        <f t="shared" si="192"/>
        <v>167720</v>
      </c>
      <c r="AX392" s="16" t="s">
        <v>286</v>
      </c>
      <c r="AZ392" s="17">
        <f t="shared" si="177"/>
        <v>2900</v>
      </c>
      <c r="BA392" s="16">
        <f t="shared" si="193"/>
        <v>4025280</v>
      </c>
      <c r="BB392" s="16">
        <f t="shared" si="194"/>
        <v>4022380</v>
      </c>
      <c r="BC392">
        <v>0.03</v>
      </c>
      <c r="BD392">
        <v>0.01</v>
      </c>
      <c r="BE392" s="37">
        <f t="shared" si="195"/>
        <v>387433.2</v>
      </c>
      <c r="BF392" s="38">
        <f t="shared" si="196"/>
        <v>239001.00000000003</v>
      </c>
      <c r="BG392" s="37">
        <f t="shared" si="176"/>
        <v>195850</v>
      </c>
      <c r="BH392" s="37">
        <f t="shared" si="197"/>
        <v>209650</v>
      </c>
      <c r="BI392">
        <v>195850</v>
      </c>
      <c r="BL392" s="8">
        <f t="shared" si="198"/>
        <v>0</v>
      </c>
      <c r="BM392" s="7" t="str">
        <f t="shared" si="179"/>
        <v>Terdaftar BPJS Kes &amp; Naker</v>
      </c>
      <c r="BN392" s="11">
        <f t="shared" si="180"/>
        <v>239001</v>
      </c>
      <c r="BO392" s="11">
        <f t="shared" si="181"/>
        <v>190362.2</v>
      </c>
      <c r="BP392" s="9">
        <f t="shared" si="199"/>
        <v>0</v>
      </c>
      <c r="BQ392" t="str">
        <f>_xlfn.XLOOKUP(X392,'[2]NON TETAP'!$H:$H,'[2]NON TETAP'!$I:$I)</f>
        <v>GRAMEDIA ASRI MEDIA</v>
      </c>
    </row>
    <row r="393" spans="1:69" x14ac:dyDescent="0.3">
      <c r="A393" s="2">
        <v>392</v>
      </c>
      <c r="B393" s="4" t="s">
        <v>1794</v>
      </c>
      <c r="C393" s="6" t="s">
        <v>241</v>
      </c>
      <c r="D393" s="6"/>
      <c r="E393" s="6" t="s">
        <v>73</v>
      </c>
      <c r="F393" s="6" t="s">
        <v>73</v>
      </c>
      <c r="G393" s="6" t="s">
        <v>1793</v>
      </c>
      <c r="H393" s="6"/>
      <c r="I393" s="6"/>
      <c r="J393" s="6"/>
      <c r="K393" s="6">
        <v>800492</v>
      </c>
      <c r="L393" s="6"/>
      <c r="M393" s="6" t="s">
        <v>1792</v>
      </c>
      <c r="N393" s="46" t="s">
        <v>1791</v>
      </c>
      <c r="O393" s="6">
        <v>1308312009</v>
      </c>
      <c r="P393" s="78" t="s">
        <v>1790</v>
      </c>
      <c r="Q393" s="6">
        <v>10113</v>
      </c>
      <c r="R393" s="6">
        <v>27113</v>
      </c>
      <c r="S393" s="5" t="str">
        <f>VLOOKUP(T393,'[1]Kode Posisi'!$A$3:$B$45,2,)</f>
        <v>Outsourcing Cleaning Service</v>
      </c>
      <c r="T393" s="36" t="s">
        <v>47</v>
      </c>
      <c r="U393" s="44" t="s">
        <v>1131</v>
      </c>
      <c r="V393" s="44" t="s">
        <v>1789</v>
      </c>
      <c r="W393" s="36" t="s">
        <v>1129</v>
      </c>
      <c r="X393" s="36" t="s">
        <v>1128</v>
      </c>
      <c r="Y393" s="36" t="s">
        <v>52</v>
      </c>
      <c r="Z393" s="79">
        <v>6175294418</v>
      </c>
      <c r="AA393" s="36" t="s">
        <v>1788</v>
      </c>
      <c r="AB393" s="47">
        <v>4193000</v>
      </c>
      <c r="AC393" s="41">
        <v>4193000</v>
      </c>
      <c r="AD393" s="3">
        <v>3917000</v>
      </c>
      <c r="AE393" s="16">
        <f t="shared" si="182"/>
        <v>276000</v>
      </c>
      <c r="AF393" s="16">
        <v>0</v>
      </c>
      <c r="AG393" s="17">
        <v>0</v>
      </c>
      <c r="AI393" s="16">
        <v>0</v>
      </c>
      <c r="AK393" s="16">
        <v>0</v>
      </c>
      <c r="AL393" s="11">
        <f t="shared" si="183"/>
        <v>4193000</v>
      </c>
      <c r="AM393" s="16">
        <f t="shared" si="184"/>
        <v>429363.19999999995</v>
      </c>
      <c r="AN393" s="16">
        <f t="shared" si="185"/>
        <v>167720</v>
      </c>
      <c r="AO393" s="16">
        <f t="shared" si="175"/>
        <v>261643.19999999998</v>
      </c>
      <c r="AP393" s="16">
        <f t="shared" si="186"/>
        <v>155141</v>
      </c>
      <c r="AQ393" s="16">
        <f t="shared" si="187"/>
        <v>4622363.2</v>
      </c>
      <c r="AR393" s="16">
        <f t="shared" si="178"/>
        <v>277341.79200000002</v>
      </c>
      <c r="AS393" s="16">
        <f t="shared" si="188"/>
        <v>30507.597120000002</v>
      </c>
      <c r="AT393" s="16">
        <f t="shared" si="189"/>
        <v>-5546.8358400000006</v>
      </c>
      <c r="AU393" s="16">
        <f t="shared" si="190"/>
        <v>4894158.1561600007</v>
      </c>
      <c r="AV393" s="16">
        <f t="shared" si="191"/>
        <v>4899704.9920000006</v>
      </c>
      <c r="AW393" s="16">
        <f t="shared" si="192"/>
        <v>167720</v>
      </c>
      <c r="AX393" s="16" t="s">
        <v>235</v>
      </c>
      <c r="AZ393" s="17">
        <f t="shared" si="177"/>
        <v>0</v>
      </c>
      <c r="BA393" s="16">
        <f t="shared" si="193"/>
        <v>4025280</v>
      </c>
      <c r="BB393" s="16">
        <f t="shared" si="194"/>
        <v>4025280</v>
      </c>
      <c r="BC393">
        <v>0.03</v>
      </c>
      <c r="BD393">
        <v>0.01</v>
      </c>
      <c r="BE393" s="37">
        <f t="shared" si="195"/>
        <v>387433.2</v>
      </c>
      <c r="BF393" s="38">
        <f t="shared" si="196"/>
        <v>239001.00000000003</v>
      </c>
      <c r="BG393" s="37">
        <f t="shared" si="176"/>
        <v>195850</v>
      </c>
      <c r="BH393" s="37">
        <f t="shared" si="197"/>
        <v>209650</v>
      </c>
      <c r="BI393">
        <v>195850</v>
      </c>
      <c r="BJ393" s="2">
        <v>195850</v>
      </c>
      <c r="BL393" s="8">
        <f t="shared" si="198"/>
        <v>0</v>
      </c>
      <c r="BM393" s="7" t="str">
        <f t="shared" si="179"/>
        <v>Terdaftar BPJS Kes &amp; Naker</v>
      </c>
      <c r="BN393" s="11">
        <f t="shared" si="180"/>
        <v>239001</v>
      </c>
      <c r="BO393" s="11">
        <f t="shared" si="181"/>
        <v>190362.2</v>
      </c>
      <c r="BP393" s="9">
        <f t="shared" si="199"/>
        <v>0</v>
      </c>
      <c r="BQ393" t="str">
        <f>_xlfn.XLOOKUP(X393,'[2]NON TETAP'!$H:$H,'[2]NON TETAP'!$I:$I)</f>
        <v>GRAMEDIA ASRI MEDIA</v>
      </c>
    </row>
    <row r="394" spans="1:69" x14ac:dyDescent="0.3">
      <c r="A394" s="2">
        <v>393</v>
      </c>
      <c r="B394" s="4" t="s">
        <v>1787</v>
      </c>
      <c r="C394" s="6" t="s">
        <v>241</v>
      </c>
      <c r="D394" s="6"/>
      <c r="E394" s="6" t="s">
        <v>73</v>
      </c>
      <c r="F394" s="6" t="s">
        <v>73</v>
      </c>
      <c r="G394" s="6"/>
      <c r="H394" s="6"/>
      <c r="I394" s="6"/>
      <c r="J394" s="6"/>
      <c r="K394" s="6">
        <v>800493</v>
      </c>
      <c r="L394" s="6"/>
      <c r="M394" s="6" t="s">
        <v>1786</v>
      </c>
      <c r="N394" s="46" t="s">
        <v>1785</v>
      </c>
      <c r="O394" s="6">
        <v>1798118998</v>
      </c>
      <c r="P394" s="78" t="s">
        <v>1784</v>
      </c>
      <c r="Q394" s="6">
        <v>18108</v>
      </c>
      <c r="R394" s="6">
        <v>27190</v>
      </c>
      <c r="S394" s="5" t="str">
        <f>VLOOKUP(T394,'[1]Kode Posisi'!$A$3:$B$45,2,)</f>
        <v>Outsourcing Petugas Pemeliharaan Gedung</v>
      </c>
      <c r="T394" s="36" t="s">
        <v>247</v>
      </c>
      <c r="U394" s="44" t="s">
        <v>1751</v>
      </c>
      <c r="V394" s="44" t="s">
        <v>1783</v>
      </c>
      <c r="W394" s="36" t="s">
        <v>1749</v>
      </c>
      <c r="X394" s="36" t="s">
        <v>1757</v>
      </c>
      <c r="Y394" s="36" t="s">
        <v>52</v>
      </c>
      <c r="Z394" s="79">
        <v>8435496144</v>
      </c>
      <c r="AA394" s="36" t="s">
        <v>1782</v>
      </c>
      <c r="AB394" s="47">
        <v>4193000</v>
      </c>
      <c r="AC394" s="41">
        <v>4193000</v>
      </c>
      <c r="AD394" s="3">
        <v>3917000</v>
      </c>
      <c r="AE394" s="16">
        <f t="shared" si="182"/>
        <v>276000</v>
      </c>
      <c r="AF394" s="16">
        <v>0</v>
      </c>
      <c r="AG394" s="17">
        <v>0</v>
      </c>
      <c r="AI394" s="16">
        <v>0</v>
      </c>
      <c r="AK394" s="16">
        <v>0</v>
      </c>
      <c r="AL394" s="11">
        <f t="shared" si="183"/>
        <v>4193000</v>
      </c>
      <c r="AM394" s="16">
        <f t="shared" si="184"/>
        <v>429363.19999999995</v>
      </c>
      <c r="AN394" s="16">
        <f t="shared" si="185"/>
        <v>167720</v>
      </c>
      <c r="AO394" s="16">
        <f t="shared" si="175"/>
        <v>261643.19999999998</v>
      </c>
      <c r="AP394" s="16">
        <f t="shared" si="186"/>
        <v>155141</v>
      </c>
      <c r="AQ394" s="16">
        <f t="shared" si="187"/>
        <v>4622363.2</v>
      </c>
      <c r="AR394" s="16">
        <f t="shared" si="178"/>
        <v>277341.79200000002</v>
      </c>
      <c r="AS394" s="16">
        <f t="shared" si="188"/>
        <v>30507.597120000002</v>
      </c>
      <c r="AT394" s="16">
        <f t="shared" si="189"/>
        <v>-5546.8358400000006</v>
      </c>
      <c r="AU394" s="16">
        <f t="shared" si="190"/>
        <v>4894158.1561600007</v>
      </c>
      <c r="AV394" s="16">
        <f t="shared" si="191"/>
        <v>4899704.9920000006</v>
      </c>
      <c r="AW394" s="16">
        <f t="shared" si="192"/>
        <v>167720</v>
      </c>
      <c r="AX394" s="16" t="s">
        <v>235</v>
      </c>
      <c r="AZ394" s="17">
        <f t="shared" si="177"/>
        <v>0</v>
      </c>
      <c r="BA394" s="16">
        <f t="shared" si="193"/>
        <v>4025280</v>
      </c>
      <c r="BB394" s="16">
        <f t="shared" si="194"/>
        <v>4025280</v>
      </c>
      <c r="BC394">
        <v>0.03</v>
      </c>
      <c r="BD394">
        <v>0.01</v>
      </c>
      <c r="BE394" s="37">
        <f t="shared" si="195"/>
        <v>387433.2</v>
      </c>
      <c r="BF394" s="38">
        <f t="shared" si="196"/>
        <v>239001.00000000003</v>
      </c>
      <c r="BG394" s="37">
        <f t="shared" si="176"/>
        <v>195850</v>
      </c>
      <c r="BH394" s="37">
        <f t="shared" si="197"/>
        <v>209650</v>
      </c>
      <c r="BI394">
        <v>195850</v>
      </c>
      <c r="BL394" s="8">
        <f t="shared" si="198"/>
        <v>0</v>
      </c>
      <c r="BM394" s="7" t="str">
        <f t="shared" si="179"/>
        <v>Terdaftar BPJS Kes &amp; Naker</v>
      </c>
      <c r="BN394" s="11">
        <f t="shared" si="180"/>
        <v>239001</v>
      </c>
      <c r="BO394" s="11">
        <f t="shared" si="181"/>
        <v>190362.2</v>
      </c>
      <c r="BP394" s="9">
        <f t="shared" si="199"/>
        <v>0</v>
      </c>
      <c r="BQ394" t="s">
        <v>8</v>
      </c>
    </row>
    <row r="395" spans="1:69" x14ac:dyDescent="0.3">
      <c r="A395" s="2">
        <v>394</v>
      </c>
      <c r="B395" s="4" t="s">
        <v>1781</v>
      </c>
      <c r="C395" s="6" t="s">
        <v>241</v>
      </c>
      <c r="D395" s="6"/>
      <c r="E395" s="6" t="s">
        <v>73</v>
      </c>
      <c r="F395" s="6" t="s">
        <v>73</v>
      </c>
      <c r="G395" s="6"/>
      <c r="H395" s="6"/>
      <c r="I395" s="6"/>
      <c r="J395" s="6"/>
      <c r="K395" s="6">
        <v>800494</v>
      </c>
      <c r="L395" s="6"/>
      <c r="M395" s="6" t="s">
        <v>1780</v>
      </c>
      <c r="N395" s="46" t="s">
        <v>1779</v>
      </c>
      <c r="O395" s="6">
        <v>2950717522</v>
      </c>
      <c r="P395" s="78" t="s">
        <v>1778</v>
      </c>
      <c r="Q395" s="6">
        <v>18108</v>
      </c>
      <c r="R395" s="6">
        <v>27190</v>
      </c>
      <c r="S395" s="5" t="str">
        <f>VLOOKUP(T395,'[1]Kode Posisi'!$A$3:$B$45,2,)</f>
        <v>Outsourcing Petugas Pemeliharaan Gedung</v>
      </c>
      <c r="T395" s="36" t="s">
        <v>247</v>
      </c>
      <c r="U395" s="44" t="s">
        <v>1751</v>
      </c>
      <c r="V395" s="44" t="s">
        <v>1777</v>
      </c>
      <c r="W395" s="36" t="s">
        <v>1749</v>
      </c>
      <c r="X395" s="36" t="s">
        <v>1757</v>
      </c>
      <c r="Y395" s="36" t="s">
        <v>63</v>
      </c>
      <c r="Z395" s="79" t="s">
        <v>1776</v>
      </c>
      <c r="AA395" s="36" t="s">
        <v>1775</v>
      </c>
      <c r="AB395" s="47">
        <v>4193000</v>
      </c>
      <c r="AC395" s="41">
        <v>4193000</v>
      </c>
      <c r="AD395" s="3">
        <v>3917000</v>
      </c>
      <c r="AE395" s="16">
        <f t="shared" si="182"/>
        <v>276000</v>
      </c>
      <c r="AF395" s="16">
        <v>0</v>
      </c>
      <c r="AG395" s="17">
        <v>0</v>
      </c>
      <c r="AI395" s="16">
        <v>0</v>
      </c>
      <c r="AK395" s="16">
        <v>0</v>
      </c>
      <c r="AL395" s="11">
        <f t="shared" si="183"/>
        <v>4193000</v>
      </c>
      <c r="AM395" s="16">
        <f t="shared" si="184"/>
        <v>429363.19999999995</v>
      </c>
      <c r="AN395" s="16">
        <f t="shared" si="185"/>
        <v>167720</v>
      </c>
      <c r="AO395" s="16">
        <f t="shared" si="175"/>
        <v>261643.19999999998</v>
      </c>
      <c r="AP395" s="16">
        <f t="shared" si="186"/>
        <v>155141</v>
      </c>
      <c r="AQ395" s="16">
        <f t="shared" si="187"/>
        <v>4622363.2</v>
      </c>
      <c r="AR395" s="16">
        <f t="shared" si="178"/>
        <v>277341.79200000002</v>
      </c>
      <c r="AS395" s="16">
        <f t="shared" si="188"/>
        <v>30507.597120000002</v>
      </c>
      <c r="AT395" s="16">
        <f t="shared" si="189"/>
        <v>-5546.8358400000006</v>
      </c>
      <c r="AU395" s="16">
        <f t="shared" si="190"/>
        <v>4894158.1561600007</v>
      </c>
      <c r="AV395" s="16">
        <f t="shared" si="191"/>
        <v>4899704.9920000006</v>
      </c>
      <c r="AW395" s="16">
        <f t="shared" si="192"/>
        <v>167720</v>
      </c>
      <c r="AX395" s="16" t="s">
        <v>235</v>
      </c>
      <c r="AZ395" s="17">
        <f t="shared" si="177"/>
        <v>2900</v>
      </c>
      <c r="BA395" s="16">
        <f t="shared" si="193"/>
        <v>4025280</v>
      </c>
      <c r="BB395" s="16">
        <f t="shared" si="194"/>
        <v>4022380</v>
      </c>
      <c r="BC395">
        <v>0.03</v>
      </c>
      <c r="BD395">
        <v>0.01</v>
      </c>
      <c r="BE395" s="37">
        <f t="shared" si="195"/>
        <v>387433.2</v>
      </c>
      <c r="BF395" s="38">
        <f t="shared" si="196"/>
        <v>239001.00000000003</v>
      </c>
      <c r="BG395" s="37">
        <f t="shared" si="176"/>
        <v>195850</v>
      </c>
      <c r="BH395" s="37">
        <f t="shared" si="197"/>
        <v>209650</v>
      </c>
      <c r="BI395">
        <v>195850</v>
      </c>
      <c r="BL395" s="8">
        <f t="shared" si="198"/>
        <v>0</v>
      </c>
      <c r="BM395" s="7" t="str">
        <f t="shared" si="179"/>
        <v>Terdaftar BPJS Kes &amp; Naker</v>
      </c>
      <c r="BN395" s="11">
        <f t="shared" si="180"/>
        <v>239001</v>
      </c>
      <c r="BO395" s="11">
        <f t="shared" si="181"/>
        <v>190362.2</v>
      </c>
      <c r="BP395" s="9">
        <f t="shared" si="199"/>
        <v>0</v>
      </c>
      <c r="BQ395" t="s">
        <v>8</v>
      </c>
    </row>
    <row r="396" spans="1:69" x14ac:dyDescent="0.3">
      <c r="A396" s="2">
        <v>395</v>
      </c>
      <c r="B396" s="4" t="s">
        <v>1774</v>
      </c>
      <c r="C396" s="6" t="s">
        <v>241</v>
      </c>
      <c r="D396" s="6"/>
      <c r="E396" s="6" t="s">
        <v>73</v>
      </c>
      <c r="F396" s="6" t="s">
        <v>73</v>
      </c>
      <c r="G396" s="6"/>
      <c r="H396" s="6"/>
      <c r="I396" s="6"/>
      <c r="J396" s="6"/>
      <c r="K396" s="6">
        <v>800495</v>
      </c>
      <c r="L396" s="6"/>
      <c r="M396" s="6"/>
      <c r="N396" s="46" t="s">
        <v>1773</v>
      </c>
      <c r="O396" s="6">
        <v>316974429</v>
      </c>
      <c r="P396" s="78" t="s">
        <v>1772</v>
      </c>
      <c r="Q396" s="6">
        <v>10488</v>
      </c>
      <c r="R396" s="6">
        <v>27488</v>
      </c>
      <c r="S396" s="5" t="str">
        <f>VLOOKUP(T396,'[1]Kode Posisi'!$A$3:$B$45,2,)</f>
        <v>Outsourcing Cleaning Service</v>
      </c>
      <c r="T396" s="36" t="s">
        <v>47</v>
      </c>
      <c r="U396" s="44" t="s">
        <v>1751</v>
      </c>
      <c r="V396" s="44" t="s">
        <v>1771</v>
      </c>
      <c r="W396" s="36" t="s">
        <v>1749</v>
      </c>
      <c r="X396" s="36" t="s">
        <v>965</v>
      </c>
      <c r="Y396" s="36" t="s">
        <v>63</v>
      </c>
      <c r="Z396" s="79" t="s">
        <v>1770</v>
      </c>
      <c r="AA396" s="36" t="s">
        <v>1769</v>
      </c>
      <c r="AB396" s="47">
        <v>4193000</v>
      </c>
      <c r="AC396" s="41">
        <v>4193000</v>
      </c>
      <c r="AD396" s="3">
        <v>3917000</v>
      </c>
      <c r="AE396" s="16">
        <f t="shared" si="182"/>
        <v>276000</v>
      </c>
      <c r="AF396" s="16">
        <v>0</v>
      </c>
      <c r="AG396" s="17">
        <v>0</v>
      </c>
      <c r="AI396" s="16">
        <v>0</v>
      </c>
      <c r="AK396" s="16">
        <v>0</v>
      </c>
      <c r="AL396" s="11">
        <f t="shared" si="183"/>
        <v>4193000</v>
      </c>
      <c r="AM396" s="16">
        <f t="shared" si="184"/>
        <v>429363.19999999995</v>
      </c>
      <c r="AN396" s="16">
        <f t="shared" si="185"/>
        <v>167720</v>
      </c>
      <c r="AO396" s="16">
        <f t="shared" si="175"/>
        <v>261643.19999999998</v>
      </c>
      <c r="AP396" s="16">
        <f t="shared" si="186"/>
        <v>155141</v>
      </c>
      <c r="AQ396" s="16">
        <f t="shared" si="187"/>
        <v>4622363.2</v>
      </c>
      <c r="AR396" s="16">
        <f t="shared" si="178"/>
        <v>277341.79200000002</v>
      </c>
      <c r="AS396" s="16">
        <f t="shared" si="188"/>
        <v>30507.597120000002</v>
      </c>
      <c r="AT396" s="16">
        <f t="shared" si="189"/>
        <v>-5546.8358400000006</v>
      </c>
      <c r="AU396" s="16">
        <f t="shared" si="190"/>
        <v>4894158.1561600007</v>
      </c>
      <c r="AV396" s="16">
        <f t="shared" si="191"/>
        <v>4899704.9920000006</v>
      </c>
      <c r="AW396" s="16">
        <f t="shared" si="192"/>
        <v>167720</v>
      </c>
      <c r="AX396" s="16" t="s">
        <v>319</v>
      </c>
      <c r="AZ396" s="17">
        <f t="shared" si="177"/>
        <v>2900</v>
      </c>
      <c r="BA396" s="16">
        <f t="shared" si="193"/>
        <v>4025280</v>
      </c>
      <c r="BB396" s="16">
        <f t="shared" si="194"/>
        <v>4022380</v>
      </c>
      <c r="BC396" s="15">
        <v>0.03</v>
      </c>
      <c r="BD396">
        <v>0.01</v>
      </c>
      <c r="BE396" s="37">
        <f t="shared" si="195"/>
        <v>387433.2</v>
      </c>
      <c r="BF396" s="38">
        <f t="shared" si="196"/>
        <v>239001.00000000003</v>
      </c>
      <c r="BG396" s="37">
        <f t="shared" si="176"/>
        <v>195850</v>
      </c>
      <c r="BH396" s="37">
        <f t="shared" si="197"/>
        <v>209650</v>
      </c>
      <c r="BI396">
        <v>195850</v>
      </c>
      <c r="BL396" s="8">
        <f t="shared" si="198"/>
        <v>0</v>
      </c>
      <c r="BM396" s="7" t="str">
        <f t="shared" si="179"/>
        <v>Terdaftar BPJS Kes &amp; Naker</v>
      </c>
      <c r="BN396" s="11">
        <f t="shared" si="180"/>
        <v>239001</v>
      </c>
      <c r="BO396" s="11">
        <f t="shared" si="181"/>
        <v>190362.2</v>
      </c>
      <c r="BP396" s="9">
        <f t="shared" si="199"/>
        <v>0</v>
      </c>
      <c r="BQ396" t="str">
        <f>_xlfn.XLOOKUP(X396,'[2]NON TETAP'!$H:$H,'[2]NON TETAP'!$I:$I)</f>
        <v>GRAMEDIA ASRI MEDIA</v>
      </c>
    </row>
    <row r="397" spans="1:69" x14ac:dyDescent="0.3">
      <c r="A397" s="2">
        <v>396</v>
      </c>
      <c r="B397" s="4" t="s">
        <v>1768</v>
      </c>
      <c r="C397" s="6" t="s">
        <v>241</v>
      </c>
      <c r="D397" s="6"/>
      <c r="E397" s="6" t="s">
        <v>73</v>
      </c>
      <c r="F397" s="6" t="s">
        <v>73</v>
      </c>
      <c r="G397" s="6"/>
      <c r="H397" s="6"/>
      <c r="I397" s="6"/>
      <c r="J397" s="6"/>
      <c r="K397" s="6">
        <v>800496</v>
      </c>
      <c r="L397" s="6"/>
      <c r="M397" s="6" t="s">
        <v>1767</v>
      </c>
      <c r="N397" s="46" t="s">
        <v>1766</v>
      </c>
      <c r="O397" s="6">
        <v>316797276</v>
      </c>
      <c r="P397" s="78" t="s">
        <v>1765</v>
      </c>
      <c r="Q397" s="6">
        <v>10488</v>
      </c>
      <c r="R397" s="6">
        <v>27488</v>
      </c>
      <c r="S397" s="5" t="str">
        <f>VLOOKUP(T397,'[1]Kode Posisi'!$A$3:$B$45,2,)</f>
        <v>Outsourcing Cleaning Service</v>
      </c>
      <c r="T397" s="36" t="s">
        <v>47</v>
      </c>
      <c r="U397" s="44" t="s">
        <v>1751</v>
      </c>
      <c r="V397" s="44" t="s">
        <v>1764</v>
      </c>
      <c r="W397" s="36" t="s">
        <v>1749</v>
      </c>
      <c r="X397" s="36" t="s">
        <v>965</v>
      </c>
      <c r="Y397" s="36" t="s">
        <v>63</v>
      </c>
      <c r="Z397" s="79" t="s">
        <v>1763</v>
      </c>
      <c r="AA397" s="36" t="s">
        <v>1762</v>
      </c>
      <c r="AB397" s="47">
        <v>4193000</v>
      </c>
      <c r="AC397" s="41">
        <v>4193000</v>
      </c>
      <c r="AD397" s="3">
        <v>3917000</v>
      </c>
      <c r="AE397" s="16">
        <f t="shared" si="182"/>
        <v>276000</v>
      </c>
      <c r="AF397" s="16">
        <v>0</v>
      </c>
      <c r="AG397" s="17">
        <v>0</v>
      </c>
      <c r="AI397" s="16">
        <v>0</v>
      </c>
      <c r="AK397" s="16">
        <v>0</v>
      </c>
      <c r="AL397" s="11">
        <f t="shared" si="183"/>
        <v>4193000</v>
      </c>
      <c r="AM397" s="16">
        <f t="shared" si="184"/>
        <v>429363.19999999995</v>
      </c>
      <c r="AN397" s="16">
        <f t="shared" si="185"/>
        <v>167720</v>
      </c>
      <c r="AO397" s="16">
        <f t="shared" si="175"/>
        <v>261643.19999999998</v>
      </c>
      <c r="AP397" s="16">
        <f t="shared" si="186"/>
        <v>155141</v>
      </c>
      <c r="AQ397" s="16">
        <f t="shared" si="187"/>
        <v>4622363.2</v>
      </c>
      <c r="AR397" s="16">
        <f t="shared" si="178"/>
        <v>277341.79200000002</v>
      </c>
      <c r="AS397" s="16">
        <f t="shared" si="188"/>
        <v>30507.597120000002</v>
      </c>
      <c r="AT397" s="16">
        <f t="shared" si="189"/>
        <v>-5546.8358400000006</v>
      </c>
      <c r="AU397" s="16">
        <f t="shared" si="190"/>
        <v>4894158.1561600007</v>
      </c>
      <c r="AV397" s="16">
        <f t="shared" si="191"/>
        <v>4899704.9920000006</v>
      </c>
      <c r="AW397" s="16">
        <f t="shared" si="192"/>
        <v>167720</v>
      </c>
      <c r="AX397" s="16" t="s">
        <v>235</v>
      </c>
      <c r="AZ397" s="17">
        <f t="shared" si="177"/>
        <v>2900</v>
      </c>
      <c r="BA397" s="16">
        <f t="shared" si="193"/>
        <v>4025280</v>
      </c>
      <c r="BB397" s="16">
        <f t="shared" si="194"/>
        <v>4022380</v>
      </c>
      <c r="BC397">
        <v>0.03</v>
      </c>
      <c r="BD397">
        <v>0.01</v>
      </c>
      <c r="BE397" s="37">
        <f t="shared" si="195"/>
        <v>387433.2</v>
      </c>
      <c r="BF397" s="38">
        <f t="shared" si="196"/>
        <v>239001.00000000003</v>
      </c>
      <c r="BG397" s="37">
        <f t="shared" si="176"/>
        <v>195850</v>
      </c>
      <c r="BH397" s="37">
        <f t="shared" si="197"/>
        <v>209650</v>
      </c>
      <c r="BI397">
        <v>195850</v>
      </c>
      <c r="BJ397" s="2">
        <v>195850</v>
      </c>
      <c r="BL397" s="8">
        <f t="shared" si="198"/>
        <v>0</v>
      </c>
      <c r="BM397" s="7" t="str">
        <f t="shared" si="179"/>
        <v>Terdaftar BPJS Kes &amp; Naker</v>
      </c>
      <c r="BN397" s="11">
        <f t="shared" si="180"/>
        <v>239001</v>
      </c>
      <c r="BO397" s="11">
        <f t="shared" si="181"/>
        <v>190362.2</v>
      </c>
      <c r="BP397" s="9">
        <f t="shared" si="199"/>
        <v>0</v>
      </c>
      <c r="BQ397" t="str">
        <f>_xlfn.XLOOKUP(X397,'[2]NON TETAP'!$H:$H,'[2]NON TETAP'!$I:$I)</f>
        <v>GRAMEDIA ASRI MEDIA</v>
      </c>
    </row>
    <row r="398" spans="1:69" x14ac:dyDescent="0.3">
      <c r="A398" s="2">
        <v>397</v>
      </c>
      <c r="B398" s="4" t="s">
        <v>1761</v>
      </c>
      <c r="C398" s="6" t="s">
        <v>241</v>
      </c>
      <c r="D398" s="6"/>
      <c r="E398" s="6" t="s">
        <v>73</v>
      </c>
      <c r="F398" s="6" t="s">
        <v>73</v>
      </c>
      <c r="G398" s="6"/>
      <c r="H398" s="6"/>
      <c r="I398" s="6"/>
      <c r="J398" s="6"/>
      <c r="K398" s="6">
        <v>800497</v>
      </c>
      <c r="L398" s="6"/>
      <c r="M398" s="6"/>
      <c r="N398" s="46" t="s">
        <v>1760</v>
      </c>
      <c r="O398" s="6">
        <v>2622577926</v>
      </c>
      <c r="P398" s="78" t="s">
        <v>1759</v>
      </c>
      <c r="Q398" s="6">
        <v>18108</v>
      </c>
      <c r="R398" s="6">
        <v>27190</v>
      </c>
      <c r="S398" s="5" t="str">
        <f>VLOOKUP(T398,'[1]Kode Posisi'!$A$3:$B$45,2,)</f>
        <v>Outsourcing Petugas Pemeliharaan Gedung</v>
      </c>
      <c r="T398" s="36" t="s">
        <v>247</v>
      </c>
      <c r="U398" s="44" t="s">
        <v>1751</v>
      </c>
      <c r="V398" s="44" t="s">
        <v>1758</v>
      </c>
      <c r="W398" s="36" t="s">
        <v>1749</v>
      </c>
      <c r="X398" s="36" t="s">
        <v>1757</v>
      </c>
      <c r="Y398" s="36" t="s">
        <v>52</v>
      </c>
      <c r="Z398" s="79" t="s">
        <v>1756</v>
      </c>
      <c r="AA398" s="36" t="s">
        <v>1755</v>
      </c>
      <c r="AB398" s="47">
        <v>4193000</v>
      </c>
      <c r="AC398" s="41">
        <v>4193000</v>
      </c>
      <c r="AD398" s="3">
        <v>3917000</v>
      </c>
      <c r="AE398" s="16">
        <f t="shared" si="182"/>
        <v>276000</v>
      </c>
      <c r="AF398" s="16">
        <v>0</v>
      </c>
      <c r="AG398" s="17">
        <v>0</v>
      </c>
      <c r="AI398" s="16">
        <v>0</v>
      </c>
      <c r="AK398" s="16">
        <v>0</v>
      </c>
      <c r="AL398" s="11">
        <f t="shared" si="183"/>
        <v>4193000</v>
      </c>
      <c r="AM398" s="16">
        <f t="shared" si="184"/>
        <v>429363.19999999995</v>
      </c>
      <c r="AN398" s="16">
        <f t="shared" si="185"/>
        <v>167720</v>
      </c>
      <c r="AO398" s="16">
        <f t="shared" si="175"/>
        <v>261643.19999999998</v>
      </c>
      <c r="AP398" s="16">
        <f t="shared" si="186"/>
        <v>155141</v>
      </c>
      <c r="AQ398" s="16">
        <f t="shared" si="187"/>
        <v>4622363.2</v>
      </c>
      <c r="AR398" s="16">
        <f t="shared" si="178"/>
        <v>277341.79200000002</v>
      </c>
      <c r="AS398" s="16">
        <f t="shared" si="188"/>
        <v>30507.597120000002</v>
      </c>
      <c r="AT398" s="16">
        <f t="shared" si="189"/>
        <v>-5546.8358400000006</v>
      </c>
      <c r="AU398" s="16">
        <f t="shared" si="190"/>
        <v>4894158.1561600007</v>
      </c>
      <c r="AV398" s="16">
        <f t="shared" si="191"/>
        <v>4899704.9920000006</v>
      </c>
      <c r="AW398" s="16">
        <f t="shared" si="192"/>
        <v>167720</v>
      </c>
      <c r="AX398" s="16" t="s">
        <v>235</v>
      </c>
      <c r="AZ398" s="17">
        <f t="shared" si="177"/>
        <v>0</v>
      </c>
      <c r="BA398" s="16">
        <f t="shared" si="193"/>
        <v>4025280</v>
      </c>
      <c r="BB398" s="16">
        <f t="shared" si="194"/>
        <v>4025280</v>
      </c>
      <c r="BC398" s="15">
        <v>0.03</v>
      </c>
      <c r="BD398">
        <v>0.01</v>
      </c>
      <c r="BE398" s="37">
        <f t="shared" si="195"/>
        <v>387433.2</v>
      </c>
      <c r="BF398" s="38">
        <f t="shared" si="196"/>
        <v>239001.00000000003</v>
      </c>
      <c r="BG398" s="37">
        <f t="shared" si="176"/>
        <v>195850</v>
      </c>
      <c r="BH398" s="37">
        <f t="shared" si="197"/>
        <v>209650</v>
      </c>
      <c r="BI398">
        <v>195850</v>
      </c>
      <c r="BL398" s="8">
        <f t="shared" si="198"/>
        <v>0</v>
      </c>
      <c r="BM398" s="7" t="str">
        <f t="shared" si="179"/>
        <v>Terdaftar BPJS Kes &amp; Naker</v>
      </c>
      <c r="BN398" s="11">
        <f t="shared" si="180"/>
        <v>239001</v>
      </c>
      <c r="BO398" s="11">
        <f t="shared" si="181"/>
        <v>190362.2</v>
      </c>
      <c r="BP398" s="9">
        <f t="shared" si="199"/>
        <v>0</v>
      </c>
      <c r="BQ398" t="s">
        <v>8</v>
      </c>
    </row>
    <row r="399" spans="1:69" x14ac:dyDescent="0.3">
      <c r="A399" s="2">
        <v>398</v>
      </c>
      <c r="B399" s="4" t="s">
        <v>1754</v>
      </c>
      <c r="C399" s="6" t="s">
        <v>241</v>
      </c>
      <c r="D399" s="6"/>
      <c r="E399" s="6" t="s">
        <v>73</v>
      </c>
      <c r="F399" s="6" t="s">
        <v>73</v>
      </c>
      <c r="G399" s="6"/>
      <c r="H399" s="6"/>
      <c r="I399" s="6"/>
      <c r="J399" s="6"/>
      <c r="K399" s="6">
        <v>800498</v>
      </c>
      <c r="L399" s="6"/>
      <c r="M399" s="6"/>
      <c r="N399" s="46" t="s">
        <v>1753</v>
      </c>
      <c r="O399" s="6">
        <v>2219482438</v>
      </c>
      <c r="P399" s="78" t="s">
        <v>1752</v>
      </c>
      <c r="Q399" s="6">
        <v>10488</v>
      </c>
      <c r="R399" s="6">
        <v>27488</v>
      </c>
      <c r="S399" s="5" t="str">
        <f>VLOOKUP(T399,'[1]Kode Posisi'!$A$3:$B$45,2,)</f>
        <v>Outsourcing Cleaning Service</v>
      </c>
      <c r="T399" s="36" t="s">
        <v>47</v>
      </c>
      <c r="U399" s="44" t="s">
        <v>1751</v>
      </c>
      <c r="V399" s="44" t="s">
        <v>1750</v>
      </c>
      <c r="W399" s="36" t="s">
        <v>1749</v>
      </c>
      <c r="X399" s="36" t="s">
        <v>965</v>
      </c>
      <c r="Y399" s="36" t="s">
        <v>63</v>
      </c>
      <c r="Z399" s="79" t="s">
        <v>1748</v>
      </c>
      <c r="AA399" s="36" t="s">
        <v>1747</v>
      </c>
      <c r="AB399" s="47">
        <v>4193000</v>
      </c>
      <c r="AC399" s="41">
        <v>4193000</v>
      </c>
      <c r="AD399" s="3">
        <v>3917000</v>
      </c>
      <c r="AE399" s="16">
        <f t="shared" si="182"/>
        <v>276000</v>
      </c>
      <c r="AF399" s="16">
        <v>0</v>
      </c>
      <c r="AG399" s="17">
        <v>0</v>
      </c>
      <c r="AI399" s="16">
        <v>0</v>
      </c>
      <c r="AK399" s="16">
        <v>0</v>
      </c>
      <c r="AL399" s="11">
        <f t="shared" si="183"/>
        <v>4193000</v>
      </c>
      <c r="AM399" s="16">
        <f t="shared" si="184"/>
        <v>429363.19999999995</v>
      </c>
      <c r="AN399" s="16">
        <f t="shared" si="185"/>
        <v>167720</v>
      </c>
      <c r="AO399" s="16">
        <f t="shared" si="175"/>
        <v>261643.19999999998</v>
      </c>
      <c r="AP399" s="16">
        <f t="shared" si="186"/>
        <v>155141</v>
      </c>
      <c r="AQ399" s="16">
        <f t="shared" si="187"/>
        <v>4622363.2</v>
      </c>
      <c r="AR399" s="16">
        <f t="shared" si="178"/>
        <v>277341.79200000002</v>
      </c>
      <c r="AS399" s="16">
        <f t="shared" si="188"/>
        <v>30507.597120000002</v>
      </c>
      <c r="AT399" s="16">
        <f t="shared" si="189"/>
        <v>-5546.8358400000006</v>
      </c>
      <c r="AU399" s="16">
        <f t="shared" si="190"/>
        <v>4894158.1561600007</v>
      </c>
      <c r="AV399" s="16">
        <f t="shared" si="191"/>
        <v>4899704.9920000006</v>
      </c>
      <c r="AW399" s="16">
        <f t="shared" si="192"/>
        <v>167720</v>
      </c>
      <c r="AX399" s="16" t="s">
        <v>286</v>
      </c>
      <c r="AZ399" s="17">
        <f t="shared" si="177"/>
        <v>2900</v>
      </c>
      <c r="BA399" s="16">
        <f t="shared" si="193"/>
        <v>4025280</v>
      </c>
      <c r="BB399" s="16">
        <f t="shared" si="194"/>
        <v>4022380</v>
      </c>
      <c r="BC399" s="15">
        <v>0.03</v>
      </c>
      <c r="BD399">
        <v>0.01</v>
      </c>
      <c r="BE399" s="37">
        <f t="shared" si="195"/>
        <v>387433.2</v>
      </c>
      <c r="BF399" s="38">
        <f t="shared" si="196"/>
        <v>239001.00000000003</v>
      </c>
      <c r="BG399" s="37">
        <f t="shared" si="176"/>
        <v>195850</v>
      </c>
      <c r="BH399" s="37">
        <f t="shared" si="197"/>
        <v>209650</v>
      </c>
      <c r="BI399">
        <v>195850</v>
      </c>
      <c r="BL399" s="8">
        <f t="shared" si="198"/>
        <v>0</v>
      </c>
      <c r="BM399" s="7" t="str">
        <f t="shared" si="179"/>
        <v>Terdaftar BPJS Kes &amp; Naker</v>
      </c>
      <c r="BN399" s="11">
        <f t="shared" si="180"/>
        <v>239001</v>
      </c>
      <c r="BO399" s="11">
        <f t="shared" si="181"/>
        <v>190362.2</v>
      </c>
      <c r="BP399" s="9">
        <f t="shared" si="199"/>
        <v>0</v>
      </c>
      <c r="BQ399" t="str">
        <f>_xlfn.XLOOKUP(X399,'[2]NON TETAP'!$H:$H,'[2]NON TETAP'!$I:$I)</f>
        <v>GRAMEDIA ASRI MEDIA</v>
      </c>
    </row>
    <row r="400" spans="1:69" x14ac:dyDescent="0.3">
      <c r="A400" s="2">
        <v>399</v>
      </c>
      <c r="B400" s="4" t="s">
        <v>1746</v>
      </c>
      <c r="C400" s="6" t="s">
        <v>241</v>
      </c>
      <c r="D400" s="6"/>
      <c r="E400" s="6" t="s">
        <v>73</v>
      </c>
      <c r="F400" s="6" t="s">
        <v>73</v>
      </c>
      <c r="G400" s="6" t="s">
        <v>73</v>
      </c>
      <c r="H400" s="6"/>
      <c r="I400" s="6"/>
      <c r="J400" s="6"/>
      <c r="K400" s="6">
        <v>800499</v>
      </c>
      <c r="L400" s="6"/>
      <c r="M400" s="6"/>
      <c r="N400" s="46" t="s">
        <v>1745</v>
      </c>
      <c r="O400" s="6">
        <v>884570714</v>
      </c>
      <c r="P400" s="78" t="s">
        <v>1744</v>
      </c>
      <c r="Q400" s="6">
        <v>10149</v>
      </c>
      <c r="R400" s="6">
        <v>27149</v>
      </c>
      <c r="S400" s="5" t="str">
        <f>VLOOKUP(T400,'[1]Kode Posisi'!$A$3:$B$45,2,)</f>
        <v>Outsourcing Cleaning Service</v>
      </c>
      <c r="T400" s="36" t="s">
        <v>47</v>
      </c>
      <c r="U400" s="44" t="s">
        <v>1743</v>
      </c>
      <c r="V400" s="44" t="s">
        <v>1742</v>
      </c>
      <c r="W400" s="36" t="s">
        <v>113</v>
      </c>
      <c r="X400" s="36" t="s">
        <v>112</v>
      </c>
      <c r="Y400" s="36" t="s">
        <v>52</v>
      </c>
      <c r="Z400" s="79" t="s">
        <v>1741</v>
      </c>
      <c r="AA400" s="36" t="s">
        <v>1740</v>
      </c>
      <c r="AB400" s="47">
        <v>3206000</v>
      </c>
      <c r="AC400" s="41">
        <v>3206000</v>
      </c>
      <c r="AD400" s="3">
        <v>3025000</v>
      </c>
      <c r="AE400" s="16">
        <f t="shared" si="182"/>
        <v>181000</v>
      </c>
      <c r="AF400" s="16">
        <v>0</v>
      </c>
      <c r="AG400" s="17">
        <v>0</v>
      </c>
      <c r="AI400" s="16">
        <v>0</v>
      </c>
      <c r="AK400" s="16">
        <v>0</v>
      </c>
      <c r="AL400" s="11">
        <f t="shared" si="183"/>
        <v>3206000</v>
      </c>
      <c r="AM400" s="16">
        <f t="shared" si="184"/>
        <v>328294.40000000002</v>
      </c>
      <c r="AN400" s="16">
        <f t="shared" si="185"/>
        <v>128240</v>
      </c>
      <c r="AO400" s="16">
        <f t="shared" si="175"/>
        <v>200054.39999999999</v>
      </c>
      <c r="AP400" s="16">
        <f t="shared" si="186"/>
        <v>118622</v>
      </c>
      <c r="AQ400" s="16">
        <f t="shared" si="187"/>
        <v>3534294.4</v>
      </c>
      <c r="AR400" s="16">
        <f t="shared" si="178"/>
        <v>212057.66399999999</v>
      </c>
      <c r="AS400" s="16">
        <f t="shared" si="188"/>
        <v>23326.34304</v>
      </c>
      <c r="AT400" s="16">
        <f t="shared" si="189"/>
        <v>-4241.1532799999995</v>
      </c>
      <c r="AU400" s="16">
        <f t="shared" si="190"/>
        <v>3742110.9107199996</v>
      </c>
      <c r="AV400" s="16">
        <f t="shared" si="191"/>
        <v>3746352.0639999998</v>
      </c>
      <c r="AW400" s="16">
        <f t="shared" si="192"/>
        <v>128240</v>
      </c>
      <c r="AX400" s="16" t="s">
        <v>235</v>
      </c>
      <c r="AZ400" s="17">
        <f t="shared" ref="AZ400:AZ431" si="200">IF(Y400="BCA",0,2900)</f>
        <v>0</v>
      </c>
      <c r="BA400" s="16">
        <f t="shared" si="193"/>
        <v>3077760</v>
      </c>
      <c r="BB400" s="16">
        <f t="shared" si="194"/>
        <v>3077760</v>
      </c>
      <c r="BC400" s="15">
        <v>0.03</v>
      </c>
      <c r="BD400">
        <v>0.01</v>
      </c>
      <c r="BE400" s="37">
        <f t="shared" si="195"/>
        <v>296234.39999999997</v>
      </c>
      <c r="BF400" s="38">
        <f t="shared" si="196"/>
        <v>182742</v>
      </c>
      <c r="BG400" s="37">
        <f t="shared" si="176"/>
        <v>151250</v>
      </c>
      <c r="BH400" s="37">
        <f t="shared" si="197"/>
        <v>160300</v>
      </c>
      <c r="BI400">
        <v>151250</v>
      </c>
      <c r="BL400" s="8">
        <f t="shared" si="198"/>
        <v>0</v>
      </c>
      <c r="BM400" s="7" t="str">
        <f t="shared" si="179"/>
        <v>Terdaftar BPJS Kes &amp; Naker</v>
      </c>
      <c r="BN400" s="11">
        <f t="shared" si="180"/>
        <v>182742</v>
      </c>
      <c r="BO400" s="11">
        <f t="shared" si="181"/>
        <v>145552.40000000002</v>
      </c>
      <c r="BP400" s="9">
        <f t="shared" si="199"/>
        <v>0</v>
      </c>
      <c r="BQ400" t="str">
        <f>_xlfn.XLOOKUP(X400,'[2]NON TETAP'!$H:$H,'[2]NON TETAP'!$I:$I)</f>
        <v>GRAMEDIA ASRI MEDIA</v>
      </c>
    </row>
    <row r="401" spans="1:69" x14ac:dyDescent="0.3">
      <c r="A401" s="2">
        <v>400</v>
      </c>
      <c r="B401" s="4" t="s">
        <v>1739</v>
      </c>
      <c r="C401" s="6" t="s">
        <v>241</v>
      </c>
      <c r="D401" s="6"/>
      <c r="E401" s="6" t="s">
        <v>73</v>
      </c>
      <c r="F401" s="6" t="s">
        <v>73</v>
      </c>
      <c r="G401" s="6"/>
      <c r="H401" s="6"/>
      <c r="I401" s="6"/>
      <c r="J401" s="6"/>
      <c r="K401" s="6">
        <v>800500</v>
      </c>
      <c r="L401" s="6"/>
      <c r="M401" s="6" t="s">
        <v>1738</v>
      </c>
      <c r="N401" s="46" t="s">
        <v>1737</v>
      </c>
      <c r="O401" s="6">
        <v>1548049792</v>
      </c>
      <c r="P401" s="78" t="s">
        <v>1736</v>
      </c>
      <c r="Q401" s="6">
        <v>10148</v>
      </c>
      <c r="R401" s="6">
        <v>27148</v>
      </c>
      <c r="S401" s="5" t="str">
        <f>VLOOKUP(T401,'[1]Kode Posisi'!$A$3:$B$45,2,)</f>
        <v>Outsourcing Cleaning Service</v>
      </c>
      <c r="T401" s="36" t="s">
        <v>47</v>
      </c>
      <c r="U401" s="44" t="s">
        <v>1728</v>
      </c>
      <c r="V401" s="44" t="s">
        <v>1735</v>
      </c>
      <c r="W401" s="36" t="s">
        <v>131</v>
      </c>
      <c r="X401" s="36" t="s">
        <v>130</v>
      </c>
      <c r="Y401" s="36" t="s">
        <v>473</v>
      </c>
      <c r="Z401" s="79" t="s">
        <v>1734</v>
      </c>
      <c r="AA401" s="36" t="s">
        <v>1733</v>
      </c>
      <c r="AB401" s="47">
        <v>3984000</v>
      </c>
      <c r="AC401" s="41">
        <v>3984000</v>
      </c>
      <c r="AD401" s="3">
        <v>3725000</v>
      </c>
      <c r="AE401" s="16">
        <f t="shared" si="182"/>
        <v>259000</v>
      </c>
      <c r="AF401" s="16">
        <v>0</v>
      </c>
      <c r="AG401" s="17">
        <v>0</v>
      </c>
      <c r="AI401" s="16">
        <v>0</v>
      </c>
      <c r="AK401" s="16">
        <v>0</v>
      </c>
      <c r="AL401" s="11">
        <f t="shared" si="183"/>
        <v>3984000</v>
      </c>
      <c r="AM401" s="16">
        <f t="shared" si="184"/>
        <v>407961.59999999998</v>
      </c>
      <c r="AN401" s="16">
        <f t="shared" si="185"/>
        <v>159360</v>
      </c>
      <c r="AO401" s="16">
        <f t="shared" si="175"/>
        <v>248601.59999999998</v>
      </c>
      <c r="AP401" s="16">
        <f t="shared" si="186"/>
        <v>147408</v>
      </c>
      <c r="AQ401" s="16">
        <f t="shared" si="187"/>
        <v>4391961.5999999996</v>
      </c>
      <c r="AR401" s="16">
        <f t="shared" si="178"/>
        <v>263517.696</v>
      </c>
      <c r="AS401" s="16">
        <f t="shared" si="188"/>
        <v>28986.94656</v>
      </c>
      <c r="AT401" s="16">
        <f t="shared" si="189"/>
        <v>-5270.3539200000005</v>
      </c>
      <c r="AU401" s="16">
        <f t="shared" si="190"/>
        <v>4650208.9420800004</v>
      </c>
      <c r="AV401" s="16">
        <f t="shared" si="191"/>
        <v>4655479.2960000001</v>
      </c>
      <c r="AW401" s="16">
        <f t="shared" si="192"/>
        <v>159360</v>
      </c>
      <c r="AX401" s="16" t="s">
        <v>235</v>
      </c>
      <c r="AZ401" s="17">
        <f t="shared" si="200"/>
        <v>2900</v>
      </c>
      <c r="BA401" s="16">
        <f t="shared" si="193"/>
        <v>3824640</v>
      </c>
      <c r="BB401" s="16">
        <f t="shared" si="194"/>
        <v>3821740</v>
      </c>
      <c r="BC401">
        <v>0.03</v>
      </c>
      <c r="BD401">
        <v>0.01</v>
      </c>
      <c r="BE401" s="37">
        <f t="shared" si="195"/>
        <v>368121.59999999998</v>
      </c>
      <c r="BF401" s="38">
        <f t="shared" si="196"/>
        <v>227088</v>
      </c>
      <c r="BG401" s="37">
        <f t="shared" si="176"/>
        <v>186250</v>
      </c>
      <c r="BH401" s="37">
        <f t="shared" si="197"/>
        <v>199200</v>
      </c>
      <c r="BI401">
        <v>186250</v>
      </c>
      <c r="BL401" s="8">
        <f t="shared" si="198"/>
        <v>0</v>
      </c>
      <c r="BM401" s="7" t="str">
        <f t="shared" si="179"/>
        <v>Terdaftar BPJS Kes &amp; Naker</v>
      </c>
      <c r="BN401" s="11">
        <f t="shared" si="180"/>
        <v>227088</v>
      </c>
      <c r="BO401" s="11">
        <f t="shared" si="181"/>
        <v>180873.60000000001</v>
      </c>
      <c r="BP401" s="9">
        <f t="shared" si="199"/>
        <v>0</v>
      </c>
      <c r="BQ401" t="str">
        <f>_xlfn.XLOOKUP(X401,'[2]NON TETAP'!$H:$H,'[2]NON TETAP'!$I:$I)</f>
        <v>GRAMEDIA ASRI MEDIA</v>
      </c>
    </row>
    <row r="402" spans="1:69" x14ac:dyDescent="0.3">
      <c r="A402" s="2">
        <v>401</v>
      </c>
      <c r="B402" s="4" t="s">
        <v>1732</v>
      </c>
      <c r="C402" s="6" t="s">
        <v>241</v>
      </c>
      <c r="D402" s="6"/>
      <c r="E402" s="6" t="s">
        <v>73</v>
      </c>
      <c r="F402" s="6" t="s">
        <v>73</v>
      </c>
      <c r="G402" s="6"/>
      <c r="H402" s="6"/>
      <c r="I402" s="6"/>
      <c r="J402" s="6"/>
      <c r="K402" s="6">
        <v>800501</v>
      </c>
      <c r="L402" s="6"/>
      <c r="M402" s="6" t="s">
        <v>1731</v>
      </c>
      <c r="N402" s="46" t="s">
        <v>1730</v>
      </c>
      <c r="O402" s="6">
        <v>3760714787</v>
      </c>
      <c r="P402" s="78" t="s">
        <v>1729</v>
      </c>
      <c r="Q402" s="6">
        <v>10148</v>
      </c>
      <c r="R402" s="6">
        <v>27148</v>
      </c>
      <c r="S402" s="5" t="str">
        <f>VLOOKUP(T402,'[1]Kode Posisi'!$A$3:$B$45,2,)</f>
        <v>Outsourcing Cleaning Service</v>
      </c>
      <c r="T402" s="36" t="s">
        <v>47</v>
      </c>
      <c r="U402" s="44" t="s">
        <v>1728</v>
      </c>
      <c r="V402" s="44" t="s">
        <v>1727</v>
      </c>
      <c r="W402" s="36" t="s">
        <v>131</v>
      </c>
      <c r="X402" s="36" t="s">
        <v>130</v>
      </c>
      <c r="Y402" s="36" t="s">
        <v>473</v>
      </c>
      <c r="Z402" s="79" t="s">
        <v>1726</v>
      </c>
      <c r="AA402" s="36" t="s">
        <v>1725</v>
      </c>
      <c r="AB402" s="47">
        <v>3984000</v>
      </c>
      <c r="AC402" s="41">
        <v>3984000</v>
      </c>
      <c r="AD402" s="3">
        <v>3725000</v>
      </c>
      <c r="AE402" s="16">
        <f t="shared" si="182"/>
        <v>259000</v>
      </c>
      <c r="AF402" s="16">
        <v>0</v>
      </c>
      <c r="AG402" s="17">
        <v>0</v>
      </c>
      <c r="AI402" s="16">
        <v>0</v>
      </c>
      <c r="AK402" s="16">
        <v>0</v>
      </c>
      <c r="AL402" s="11">
        <f t="shared" si="183"/>
        <v>3984000</v>
      </c>
      <c r="AM402" s="16">
        <f t="shared" si="184"/>
        <v>407961.59999999998</v>
      </c>
      <c r="AN402" s="16">
        <f t="shared" si="185"/>
        <v>159360</v>
      </c>
      <c r="AO402" s="16">
        <f t="shared" si="175"/>
        <v>248601.59999999998</v>
      </c>
      <c r="AP402" s="16">
        <f t="shared" si="186"/>
        <v>147408</v>
      </c>
      <c r="AQ402" s="16">
        <f t="shared" si="187"/>
        <v>4391961.5999999996</v>
      </c>
      <c r="AR402" s="16">
        <f t="shared" si="178"/>
        <v>263517.696</v>
      </c>
      <c r="AS402" s="16">
        <f t="shared" si="188"/>
        <v>28986.94656</v>
      </c>
      <c r="AT402" s="16">
        <f t="shared" si="189"/>
        <v>-5270.3539200000005</v>
      </c>
      <c r="AU402" s="16">
        <f t="shared" si="190"/>
        <v>4650208.9420800004</v>
      </c>
      <c r="AV402" s="16">
        <f t="shared" si="191"/>
        <v>4655479.2960000001</v>
      </c>
      <c r="AW402" s="16">
        <f t="shared" si="192"/>
        <v>159360</v>
      </c>
      <c r="AX402" s="16" t="s">
        <v>235</v>
      </c>
      <c r="AZ402" s="17">
        <f t="shared" si="200"/>
        <v>2900</v>
      </c>
      <c r="BA402" s="16">
        <f t="shared" si="193"/>
        <v>3824640</v>
      </c>
      <c r="BB402" s="16">
        <f t="shared" si="194"/>
        <v>3821740</v>
      </c>
      <c r="BC402">
        <v>0.03</v>
      </c>
      <c r="BD402">
        <v>0.01</v>
      </c>
      <c r="BE402" s="37">
        <f t="shared" si="195"/>
        <v>368121.59999999998</v>
      </c>
      <c r="BF402" s="38">
        <f t="shared" si="196"/>
        <v>227088</v>
      </c>
      <c r="BG402" s="37">
        <f t="shared" si="176"/>
        <v>186250</v>
      </c>
      <c r="BH402" s="37">
        <f t="shared" si="197"/>
        <v>199200</v>
      </c>
      <c r="BI402">
        <v>186250</v>
      </c>
      <c r="BL402" s="8">
        <f t="shared" si="198"/>
        <v>0</v>
      </c>
      <c r="BM402" s="7" t="str">
        <f t="shared" si="179"/>
        <v>Terdaftar BPJS Kes &amp; Naker</v>
      </c>
      <c r="BN402" s="11">
        <f t="shared" si="180"/>
        <v>227088</v>
      </c>
      <c r="BO402" s="11">
        <f t="shared" si="181"/>
        <v>180873.60000000001</v>
      </c>
      <c r="BP402" s="9">
        <f t="shared" si="199"/>
        <v>0</v>
      </c>
      <c r="BQ402" t="str">
        <f>_xlfn.XLOOKUP(X402,'[2]NON TETAP'!$H:$H,'[2]NON TETAP'!$I:$I)</f>
        <v>GRAMEDIA ASRI MEDIA</v>
      </c>
    </row>
    <row r="403" spans="1:69" x14ac:dyDescent="0.3">
      <c r="A403" s="2">
        <v>402</v>
      </c>
      <c r="B403" s="4" t="s">
        <v>1724</v>
      </c>
      <c r="C403" s="6" t="s">
        <v>241</v>
      </c>
      <c r="D403" s="6"/>
      <c r="E403" s="6" t="s">
        <v>73</v>
      </c>
      <c r="F403" s="6" t="s">
        <v>73</v>
      </c>
      <c r="G403" s="6" t="s">
        <v>73</v>
      </c>
      <c r="H403" s="6"/>
      <c r="I403" s="6"/>
      <c r="J403" s="6"/>
      <c r="K403" s="6">
        <v>800504</v>
      </c>
      <c r="L403" s="6"/>
      <c r="M403" s="6"/>
      <c r="N403" s="46" t="s">
        <v>1723</v>
      </c>
      <c r="O403" s="6">
        <v>1326264298</v>
      </c>
      <c r="P403" s="78" t="s">
        <v>1722</v>
      </c>
      <c r="Q403" s="6">
        <v>10161</v>
      </c>
      <c r="R403" s="6">
        <v>27161</v>
      </c>
      <c r="S403" s="5" t="str">
        <f>VLOOKUP(T403,'[1]Kode Posisi'!$A$3:$B$45,2,)</f>
        <v>Outsourcing Cleaning Service</v>
      </c>
      <c r="T403" s="36" t="s">
        <v>47</v>
      </c>
      <c r="U403" s="44" t="s">
        <v>1227</v>
      </c>
      <c r="V403" s="44" t="s">
        <v>1721</v>
      </c>
      <c r="W403" s="49" t="s">
        <v>1225</v>
      </c>
      <c r="X403" s="49" t="s">
        <v>427</v>
      </c>
      <c r="Y403" s="36" t="s">
        <v>52</v>
      </c>
      <c r="Z403" s="79">
        <v>2670044346</v>
      </c>
      <c r="AA403" s="36" t="s">
        <v>1720</v>
      </c>
      <c r="AB403" s="47">
        <v>5248000</v>
      </c>
      <c r="AC403" s="41">
        <v>5248000</v>
      </c>
      <c r="AD403" s="3">
        <v>4975000</v>
      </c>
      <c r="AE403" s="16">
        <f t="shared" si="182"/>
        <v>273000</v>
      </c>
      <c r="AF403" s="16">
        <v>0</v>
      </c>
      <c r="AG403" s="17">
        <v>0</v>
      </c>
      <c r="AI403" s="16">
        <v>0</v>
      </c>
      <c r="AK403" s="16">
        <v>0</v>
      </c>
      <c r="AL403" s="11">
        <f t="shared" si="183"/>
        <v>5248000</v>
      </c>
      <c r="AM403" s="16">
        <f t="shared" si="184"/>
        <v>537395.19999999995</v>
      </c>
      <c r="AN403" s="16">
        <f t="shared" si="185"/>
        <v>209920</v>
      </c>
      <c r="AO403" s="16">
        <f t="shared" si="175"/>
        <v>327475.20000000001</v>
      </c>
      <c r="AP403" s="16">
        <f t="shared" si="186"/>
        <v>194176</v>
      </c>
      <c r="AQ403" s="16">
        <f t="shared" si="187"/>
        <v>5785395.2000000002</v>
      </c>
      <c r="AR403" s="16">
        <f t="shared" si="178"/>
        <v>347123.712</v>
      </c>
      <c r="AS403" s="16">
        <f t="shared" si="188"/>
        <v>38183.608319999999</v>
      </c>
      <c r="AT403" s="16">
        <f t="shared" si="189"/>
        <v>-6942.4742400000005</v>
      </c>
      <c r="AU403" s="16">
        <f t="shared" si="190"/>
        <v>6125576.4377600001</v>
      </c>
      <c r="AV403" s="16">
        <f t="shared" si="191"/>
        <v>6132518.9120000005</v>
      </c>
      <c r="AW403" s="16">
        <f t="shared" si="192"/>
        <v>209920</v>
      </c>
      <c r="AX403" s="16" t="s">
        <v>243</v>
      </c>
      <c r="AZ403" s="17">
        <f t="shared" si="200"/>
        <v>0</v>
      </c>
      <c r="BA403" s="16">
        <f t="shared" si="193"/>
        <v>5038080</v>
      </c>
      <c r="BB403" s="16">
        <f t="shared" si="194"/>
        <v>5038080</v>
      </c>
      <c r="BC403" s="15">
        <v>0.03</v>
      </c>
      <c r="BD403">
        <v>0.01</v>
      </c>
      <c r="BE403" s="37">
        <f t="shared" si="195"/>
        <v>484915.19999999995</v>
      </c>
      <c r="BF403" s="38">
        <f t="shared" si="196"/>
        <v>299136</v>
      </c>
      <c r="BG403" s="37">
        <f t="shared" si="176"/>
        <v>248750</v>
      </c>
      <c r="BH403" s="37">
        <f t="shared" si="197"/>
        <v>262400</v>
      </c>
      <c r="BI403">
        <v>248750</v>
      </c>
      <c r="BL403" s="8">
        <f t="shared" si="198"/>
        <v>0</v>
      </c>
      <c r="BM403" s="7" t="str">
        <f t="shared" si="179"/>
        <v>Terdaftar BPJS Kes &amp; Naker</v>
      </c>
      <c r="BN403" s="11">
        <f t="shared" si="180"/>
        <v>299136</v>
      </c>
      <c r="BO403" s="11">
        <f t="shared" si="181"/>
        <v>238259.20000000001</v>
      </c>
      <c r="BP403" s="9">
        <f t="shared" si="199"/>
        <v>0</v>
      </c>
      <c r="BQ403" t="str">
        <f>_xlfn.XLOOKUP(X403,'[2]NON TETAP'!$H:$H,'[2]NON TETAP'!$I:$I)</f>
        <v>GRAMEDIA ASRI MEDIA</v>
      </c>
    </row>
    <row r="404" spans="1:69" x14ac:dyDescent="0.3">
      <c r="A404" s="2">
        <v>403</v>
      </c>
      <c r="B404" s="4" t="s">
        <v>1715</v>
      </c>
      <c r="C404" s="6" t="s">
        <v>241</v>
      </c>
      <c r="D404" s="6"/>
      <c r="E404" s="6" t="s">
        <v>73</v>
      </c>
      <c r="F404" s="6" t="s">
        <v>73</v>
      </c>
      <c r="G404" s="6"/>
      <c r="H404" s="6"/>
      <c r="I404" s="6"/>
      <c r="J404" s="6"/>
      <c r="K404" s="6">
        <v>800505</v>
      </c>
      <c r="L404" s="6"/>
      <c r="M404" s="6" t="s">
        <v>1719</v>
      </c>
      <c r="N404" s="46" t="s">
        <v>1718</v>
      </c>
      <c r="O404" s="6">
        <v>2363979734</v>
      </c>
      <c r="P404" s="78" t="s">
        <v>1717</v>
      </c>
      <c r="Q404" s="6">
        <v>18108</v>
      </c>
      <c r="R404" s="6">
        <v>27190</v>
      </c>
      <c r="S404" s="5" t="str">
        <f>VLOOKUP(T404,'[1]Kode Posisi'!$A$3:$B$45,2,)</f>
        <v>Outsourcing Petugas Pemeliharaan Gedung</v>
      </c>
      <c r="T404" s="36" t="s">
        <v>247</v>
      </c>
      <c r="U404" s="44" t="s">
        <v>1227</v>
      </c>
      <c r="V404" s="44" t="s">
        <v>1716</v>
      </c>
      <c r="W404" s="49" t="s">
        <v>1225</v>
      </c>
      <c r="X404" s="36" t="s">
        <v>426</v>
      </c>
      <c r="Y404" s="36" t="s">
        <v>52</v>
      </c>
      <c r="Z404" s="79">
        <v>6760482500</v>
      </c>
      <c r="AA404" s="36" t="s">
        <v>1715</v>
      </c>
      <c r="AB404" s="47">
        <v>5248000</v>
      </c>
      <c r="AC404" s="41">
        <v>5248000</v>
      </c>
      <c r="AD404" s="3">
        <v>4975000</v>
      </c>
      <c r="AE404" s="16">
        <f t="shared" si="182"/>
        <v>273000</v>
      </c>
      <c r="AF404" s="16">
        <v>0</v>
      </c>
      <c r="AG404" s="17">
        <v>0</v>
      </c>
      <c r="AI404" s="16">
        <v>963367.05202312139</v>
      </c>
      <c r="AK404" s="16">
        <v>0</v>
      </c>
      <c r="AL404" s="11">
        <f t="shared" si="183"/>
        <v>6211367.0520231212</v>
      </c>
      <c r="AM404" s="16">
        <f t="shared" si="184"/>
        <v>537395.19999999995</v>
      </c>
      <c r="AN404" s="16">
        <f t="shared" si="185"/>
        <v>209920</v>
      </c>
      <c r="AO404" s="16">
        <f t="shared" si="175"/>
        <v>327475.20000000001</v>
      </c>
      <c r="AP404" s="16">
        <f t="shared" si="186"/>
        <v>194176</v>
      </c>
      <c r="AQ404" s="16">
        <f t="shared" si="187"/>
        <v>6748762.2520231213</v>
      </c>
      <c r="AR404" s="16">
        <f t="shared" si="178"/>
        <v>404925.73512138729</v>
      </c>
      <c r="AS404" s="16">
        <f t="shared" si="188"/>
        <v>44541.830863352603</v>
      </c>
      <c r="AT404" s="16">
        <f t="shared" si="189"/>
        <v>-8098.5147024277458</v>
      </c>
      <c r="AU404" s="16">
        <f t="shared" si="190"/>
        <v>7145589.4724420803</v>
      </c>
      <c r="AV404" s="16">
        <f t="shared" si="191"/>
        <v>7153687.9871445084</v>
      </c>
      <c r="AW404" s="16">
        <f t="shared" si="192"/>
        <v>209920</v>
      </c>
      <c r="AX404" s="16" t="s">
        <v>235</v>
      </c>
      <c r="AZ404" s="17">
        <f t="shared" si="200"/>
        <v>0</v>
      </c>
      <c r="BA404" s="16">
        <f t="shared" si="193"/>
        <v>6001447.0520231212</v>
      </c>
      <c r="BB404" s="16">
        <f t="shared" si="194"/>
        <v>6001447.0520231212</v>
      </c>
      <c r="BC404">
        <v>0.03</v>
      </c>
      <c r="BD404">
        <v>0.01</v>
      </c>
      <c r="BE404" s="37">
        <f t="shared" si="195"/>
        <v>484915.19999999995</v>
      </c>
      <c r="BF404" s="38">
        <f t="shared" si="196"/>
        <v>299136</v>
      </c>
      <c r="BG404" s="37">
        <f t="shared" si="176"/>
        <v>248750</v>
      </c>
      <c r="BH404" s="37">
        <f t="shared" si="197"/>
        <v>262400</v>
      </c>
      <c r="BI404">
        <v>248750</v>
      </c>
      <c r="BL404" s="8">
        <f t="shared" si="198"/>
        <v>963367.05202312139</v>
      </c>
      <c r="BM404" s="7" t="str">
        <f t="shared" si="179"/>
        <v>Terdaftar BPJS Kes &amp; Naker</v>
      </c>
      <c r="BN404" s="11">
        <f t="shared" si="180"/>
        <v>299136</v>
      </c>
      <c r="BO404" s="11">
        <f t="shared" si="181"/>
        <v>238259.20000000001</v>
      </c>
      <c r="BP404" s="9">
        <f t="shared" si="199"/>
        <v>0</v>
      </c>
      <c r="BQ404" t="s">
        <v>8</v>
      </c>
    </row>
    <row r="405" spans="1:69" x14ac:dyDescent="0.3">
      <c r="A405" s="2">
        <v>404</v>
      </c>
      <c r="B405" s="4" t="s">
        <v>1710</v>
      </c>
      <c r="C405" s="6" t="s">
        <v>241</v>
      </c>
      <c r="D405" s="6"/>
      <c r="E405" s="6" t="s">
        <v>73</v>
      </c>
      <c r="F405" s="6" t="s">
        <v>73</v>
      </c>
      <c r="G405" s="6" t="s">
        <v>73</v>
      </c>
      <c r="H405" s="6"/>
      <c r="I405" s="6"/>
      <c r="J405" s="6"/>
      <c r="K405" s="6">
        <v>800506</v>
      </c>
      <c r="L405" s="6"/>
      <c r="M405" s="6" t="s">
        <v>1714</v>
      </c>
      <c r="N405" s="46" t="s">
        <v>1713</v>
      </c>
      <c r="O405" s="6">
        <v>3315680818</v>
      </c>
      <c r="P405" s="78" t="s">
        <v>1712</v>
      </c>
      <c r="Q405" s="6">
        <v>10161</v>
      </c>
      <c r="R405" s="6">
        <v>27161</v>
      </c>
      <c r="S405" s="5" t="str">
        <f>VLOOKUP(T405,'[1]Kode Posisi'!$A$3:$B$45,2,)</f>
        <v>Outsourcing Cleaning Service</v>
      </c>
      <c r="T405" s="36" t="s">
        <v>47</v>
      </c>
      <c r="U405" s="44" t="s">
        <v>1227</v>
      </c>
      <c r="V405" s="44" t="s">
        <v>1711</v>
      </c>
      <c r="W405" s="49" t="s">
        <v>1225</v>
      </c>
      <c r="X405" s="49" t="s">
        <v>427</v>
      </c>
      <c r="Y405" s="36" t="s">
        <v>52</v>
      </c>
      <c r="Z405" s="79">
        <v>5050182012</v>
      </c>
      <c r="AA405" s="36" t="s">
        <v>1710</v>
      </c>
      <c r="AB405" s="47">
        <v>5248000</v>
      </c>
      <c r="AC405" s="41">
        <v>5248000</v>
      </c>
      <c r="AD405" s="3">
        <v>4975000</v>
      </c>
      <c r="AE405" s="16">
        <f t="shared" si="182"/>
        <v>273000</v>
      </c>
      <c r="AF405" s="16">
        <v>0</v>
      </c>
      <c r="AG405" s="17">
        <v>0</v>
      </c>
      <c r="AI405" s="16">
        <v>0</v>
      </c>
      <c r="AK405" s="16">
        <v>0</v>
      </c>
      <c r="AL405" s="11">
        <f t="shared" si="183"/>
        <v>5248000</v>
      </c>
      <c r="AM405" s="16">
        <f t="shared" si="184"/>
        <v>537395.19999999995</v>
      </c>
      <c r="AN405" s="16">
        <f t="shared" si="185"/>
        <v>209920</v>
      </c>
      <c r="AO405" s="16">
        <f t="shared" si="175"/>
        <v>327475.20000000001</v>
      </c>
      <c r="AP405" s="16">
        <f t="shared" si="186"/>
        <v>194176</v>
      </c>
      <c r="AQ405" s="16">
        <f t="shared" si="187"/>
        <v>5785395.2000000002</v>
      </c>
      <c r="AR405" s="16">
        <f t="shared" si="178"/>
        <v>347123.712</v>
      </c>
      <c r="AS405" s="16">
        <f t="shared" si="188"/>
        <v>38183.608319999999</v>
      </c>
      <c r="AT405" s="16">
        <f t="shared" si="189"/>
        <v>-6942.4742400000005</v>
      </c>
      <c r="AU405" s="16">
        <f t="shared" si="190"/>
        <v>6125576.4377600001</v>
      </c>
      <c r="AV405" s="16">
        <f t="shared" si="191"/>
        <v>6132518.9120000005</v>
      </c>
      <c r="AW405" s="16">
        <f t="shared" si="192"/>
        <v>209920</v>
      </c>
      <c r="AX405" s="16" t="s">
        <v>235</v>
      </c>
      <c r="AZ405" s="17">
        <f t="shared" si="200"/>
        <v>0</v>
      </c>
      <c r="BA405" s="16">
        <f t="shared" si="193"/>
        <v>5038080</v>
      </c>
      <c r="BB405" s="16">
        <f t="shared" si="194"/>
        <v>5038080</v>
      </c>
      <c r="BC405">
        <v>0.03</v>
      </c>
      <c r="BD405">
        <v>0.01</v>
      </c>
      <c r="BE405" s="37">
        <f t="shared" si="195"/>
        <v>484915.19999999995</v>
      </c>
      <c r="BF405" s="38">
        <f t="shared" si="196"/>
        <v>299136</v>
      </c>
      <c r="BG405" s="37">
        <f t="shared" si="176"/>
        <v>248750</v>
      </c>
      <c r="BH405" s="37">
        <f t="shared" si="197"/>
        <v>262400</v>
      </c>
      <c r="BI405">
        <v>248750</v>
      </c>
      <c r="BL405" s="8">
        <f t="shared" si="198"/>
        <v>0</v>
      </c>
      <c r="BM405" s="7" t="str">
        <f t="shared" si="179"/>
        <v>Terdaftar BPJS Kes &amp; Naker</v>
      </c>
      <c r="BN405" s="11">
        <f t="shared" si="180"/>
        <v>299136</v>
      </c>
      <c r="BO405" s="11">
        <f t="shared" si="181"/>
        <v>238259.20000000001</v>
      </c>
      <c r="BP405" s="9">
        <f t="shared" si="199"/>
        <v>0</v>
      </c>
      <c r="BQ405" t="str">
        <f>_xlfn.XLOOKUP(X405,'[2]NON TETAP'!$H:$H,'[2]NON TETAP'!$I:$I)</f>
        <v>GRAMEDIA ASRI MEDIA</v>
      </c>
    </row>
    <row r="406" spans="1:69" x14ac:dyDescent="0.3">
      <c r="A406" s="2">
        <v>405</v>
      </c>
      <c r="B406" s="4" t="s">
        <v>1709</v>
      </c>
      <c r="C406" s="6" t="s">
        <v>241</v>
      </c>
      <c r="D406" s="6"/>
      <c r="E406" s="6" t="s">
        <v>73</v>
      </c>
      <c r="F406" s="6" t="s">
        <v>73</v>
      </c>
      <c r="G406" s="6" t="s">
        <v>73</v>
      </c>
      <c r="H406" s="6"/>
      <c r="I406" s="6"/>
      <c r="J406" s="6"/>
      <c r="K406" s="6">
        <v>800507</v>
      </c>
      <c r="L406" s="6"/>
      <c r="M406" s="6"/>
      <c r="N406" s="46" t="s">
        <v>1708</v>
      </c>
      <c r="O406" s="6">
        <v>369818076</v>
      </c>
      <c r="P406" s="78" t="s">
        <v>1707</v>
      </c>
      <c r="Q406" s="6">
        <v>10161</v>
      </c>
      <c r="R406" s="6">
        <v>27161</v>
      </c>
      <c r="S406" s="5" t="str">
        <f>VLOOKUP(T406,'[1]Kode Posisi'!$A$3:$B$45,2,)</f>
        <v>Outsourcing Cleaning Service</v>
      </c>
      <c r="T406" s="36" t="s">
        <v>47</v>
      </c>
      <c r="U406" s="44" t="s">
        <v>1227</v>
      </c>
      <c r="V406" s="44" t="s">
        <v>1706</v>
      </c>
      <c r="W406" s="49" t="s">
        <v>1225</v>
      </c>
      <c r="X406" s="49" t="s">
        <v>427</v>
      </c>
      <c r="Y406" s="36" t="s">
        <v>52</v>
      </c>
      <c r="Z406" s="79">
        <v>1600029718</v>
      </c>
      <c r="AA406" s="36" t="s">
        <v>1705</v>
      </c>
      <c r="AB406" s="47">
        <v>5248000</v>
      </c>
      <c r="AC406" s="41">
        <v>5248000</v>
      </c>
      <c r="AD406" s="3">
        <v>4975000</v>
      </c>
      <c r="AE406" s="16">
        <f t="shared" si="182"/>
        <v>273000</v>
      </c>
      <c r="AF406" s="16">
        <v>0</v>
      </c>
      <c r="AG406" s="17">
        <v>0</v>
      </c>
      <c r="AI406" s="16">
        <v>0</v>
      </c>
      <c r="AK406" s="16">
        <v>0</v>
      </c>
      <c r="AL406" s="11">
        <f t="shared" si="183"/>
        <v>5248000</v>
      </c>
      <c r="AM406" s="16">
        <f t="shared" si="184"/>
        <v>537395.19999999995</v>
      </c>
      <c r="AN406" s="16">
        <f t="shared" si="185"/>
        <v>209920</v>
      </c>
      <c r="AO406" s="16">
        <f t="shared" si="175"/>
        <v>327475.20000000001</v>
      </c>
      <c r="AP406" s="16">
        <f t="shared" si="186"/>
        <v>194176</v>
      </c>
      <c r="AQ406" s="16">
        <f t="shared" si="187"/>
        <v>5785395.2000000002</v>
      </c>
      <c r="AR406" s="16">
        <f t="shared" si="178"/>
        <v>347123.712</v>
      </c>
      <c r="AS406" s="16">
        <f t="shared" si="188"/>
        <v>38183.608319999999</v>
      </c>
      <c r="AT406" s="16">
        <f t="shared" si="189"/>
        <v>-6942.4742400000005</v>
      </c>
      <c r="AU406" s="16">
        <f t="shared" si="190"/>
        <v>6125576.4377600001</v>
      </c>
      <c r="AV406" s="16">
        <f t="shared" si="191"/>
        <v>6132518.9120000005</v>
      </c>
      <c r="AW406" s="16">
        <f t="shared" si="192"/>
        <v>209920</v>
      </c>
      <c r="AX406" s="16" t="s">
        <v>319</v>
      </c>
      <c r="AZ406" s="17">
        <f t="shared" si="200"/>
        <v>0</v>
      </c>
      <c r="BA406" s="16">
        <f t="shared" si="193"/>
        <v>5038080</v>
      </c>
      <c r="BB406" s="16">
        <f t="shared" si="194"/>
        <v>5038080</v>
      </c>
      <c r="BC406" s="15">
        <v>0.03</v>
      </c>
      <c r="BD406">
        <v>0.01</v>
      </c>
      <c r="BE406" s="37">
        <f t="shared" si="195"/>
        <v>484915.19999999995</v>
      </c>
      <c r="BF406" s="38">
        <f t="shared" si="196"/>
        <v>299136</v>
      </c>
      <c r="BG406" s="37">
        <f t="shared" si="176"/>
        <v>248750</v>
      </c>
      <c r="BH406" s="37">
        <f t="shared" si="197"/>
        <v>262400</v>
      </c>
      <c r="BI406">
        <v>248750</v>
      </c>
      <c r="BL406" s="8">
        <f t="shared" si="198"/>
        <v>0</v>
      </c>
      <c r="BM406" s="7" t="str">
        <f t="shared" si="179"/>
        <v>Terdaftar BPJS Kes &amp; Naker</v>
      </c>
      <c r="BN406" s="11">
        <f t="shared" si="180"/>
        <v>299136</v>
      </c>
      <c r="BO406" s="11">
        <f t="shared" si="181"/>
        <v>238259.20000000001</v>
      </c>
      <c r="BP406" s="9">
        <f t="shared" si="199"/>
        <v>0</v>
      </c>
      <c r="BQ406" t="str">
        <f>_xlfn.XLOOKUP(X406,'[2]NON TETAP'!$H:$H,'[2]NON TETAP'!$I:$I)</f>
        <v>GRAMEDIA ASRI MEDIA</v>
      </c>
    </row>
    <row r="407" spans="1:69" x14ac:dyDescent="0.3">
      <c r="A407" s="2">
        <v>406</v>
      </c>
      <c r="B407" s="4" t="s">
        <v>1699</v>
      </c>
      <c r="C407" s="6" t="s">
        <v>241</v>
      </c>
      <c r="D407" s="6"/>
      <c r="E407" s="6" t="s">
        <v>73</v>
      </c>
      <c r="F407" s="6" t="s">
        <v>73</v>
      </c>
      <c r="G407" s="6"/>
      <c r="H407" s="6"/>
      <c r="I407" s="6"/>
      <c r="J407" s="6"/>
      <c r="K407" s="6">
        <v>800508</v>
      </c>
      <c r="L407" s="6"/>
      <c r="M407" s="6" t="s">
        <v>1704</v>
      </c>
      <c r="N407" s="46" t="s">
        <v>1703</v>
      </c>
      <c r="O407" s="6">
        <v>2032194069</v>
      </c>
      <c r="P407" s="78" t="s">
        <v>1702</v>
      </c>
      <c r="Q407" s="6">
        <v>10176</v>
      </c>
      <c r="R407" s="6">
        <v>27176</v>
      </c>
      <c r="S407" s="5" t="str">
        <f>VLOOKUP(T407,'[1]Kode Posisi'!$A$3:$B$45,2,)</f>
        <v>Outsourcing Cleaning Service</v>
      </c>
      <c r="T407" s="36" t="s">
        <v>47</v>
      </c>
      <c r="U407" s="44" t="s">
        <v>1221</v>
      </c>
      <c r="V407" s="44" t="s">
        <v>1701</v>
      </c>
      <c r="W407" s="36" t="s">
        <v>1219</v>
      </c>
      <c r="X407" s="36" t="s">
        <v>1218</v>
      </c>
      <c r="Y407" s="36" t="s">
        <v>63</v>
      </c>
      <c r="Z407" s="79" t="s">
        <v>1700</v>
      </c>
      <c r="AA407" s="36" t="s">
        <v>1699</v>
      </c>
      <c r="AB407" s="47">
        <v>4743000</v>
      </c>
      <c r="AC407" s="41">
        <v>4743000</v>
      </c>
      <c r="AD407" s="3">
        <v>4461000</v>
      </c>
      <c r="AE407" s="16">
        <f t="shared" si="182"/>
        <v>282000</v>
      </c>
      <c r="AF407" s="16">
        <v>0</v>
      </c>
      <c r="AG407" s="17">
        <v>0</v>
      </c>
      <c r="AI407" s="16">
        <v>0</v>
      </c>
      <c r="AK407" s="16">
        <v>0</v>
      </c>
      <c r="AL407" s="11">
        <f t="shared" si="183"/>
        <v>4743000</v>
      </c>
      <c r="AM407" s="16">
        <f t="shared" si="184"/>
        <v>485683.20000000001</v>
      </c>
      <c r="AN407" s="16">
        <f t="shared" si="185"/>
        <v>189720</v>
      </c>
      <c r="AO407" s="16">
        <f t="shared" si="175"/>
        <v>295963.2</v>
      </c>
      <c r="AP407" s="16">
        <f t="shared" si="186"/>
        <v>175491</v>
      </c>
      <c r="AQ407" s="16">
        <f t="shared" si="187"/>
        <v>5228683.2</v>
      </c>
      <c r="AR407" s="16">
        <f t="shared" si="178"/>
        <v>313720.99200000003</v>
      </c>
      <c r="AS407" s="16">
        <f t="shared" si="188"/>
        <v>34509.309120000005</v>
      </c>
      <c r="AT407" s="16">
        <f t="shared" si="189"/>
        <v>-6274.4198400000005</v>
      </c>
      <c r="AU407" s="16">
        <f t="shared" si="190"/>
        <v>5536129.7721600002</v>
      </c>
      <c r="AV407" s="16">
        <f t="shared" si="191"/>
        <v>5542404.1919999998</v>
      </c>
      <c r="AW407" s="16">
        <f t="shared" si="192"/>
        <v>189720</v>
      </c>
      <c r="AX407" s="16" t="s">
        <v>235</v>
      </c>
      <c r="AZ407" s="17">
        <f t="shared" si="200"/>
        <v>2900</v>
      </c>
      <c r="BA407" s="16">
        <f t="shared" si="193"/>
        <v>4553280</v>
      </c>
      <c r="BB407" s="16">
        <f t="shared" si="194"/>
        <v>4550380</v>
      </c>
      <c r="BC407">
        <v>0.03</v>
      </c>
      <c r="BD407">
        <v>0.01</v>
      </c>
      <c r="BE407" s="37">
        <f t="shared" si="195"/>
        <v>438253.19999999995</v>
      </c>
      <c r="BF407" s="38">
        <f t="shared" si="196"/>
        <v>270351</v>
      </c>
      <c r="BG407" s="37">
        <f t="shared" si="176"/>
        <v>223050</v>
      </c>
      <c r="BH407" s="37">
        <f t="shared" si="197"/>
        <v>237150</v>
      </c>
      <c r="BI407">
        <v>223050</v>
      </c>
      <c r="BL407" s="8">
        <f t="shared" si="198"/>
        <v>0</v>
      </c>
      <c r="BM407" s="7" t="str">
        <f t="shared" si="179"/>
        <v>Terdaftar BPJS Kes &amp; Naker</v>
      </c>
      <c r="BN407" s="11">
        <f t="shared" si="180"/>
        <v>270351</v>
      </c>
      <c r="BO407" s="11">
        <f t="shared" si="181"/>
        <v>215332.2</v>
      </c>
      <c r="BP407" s="9">
        <f t="shared" si="199"/>
        <v>0</v>
      </c>
      <c r="BQ407" t="str">
        <f>_xlfn.XLOOKUP(X407,'[2]NON TETAP'!$H:$H,'[2]NON TETAP'!$I:$I)</f>
        <v>GRAMEDIA ASRI MEDIA</v>
      </c>
    </row>
    <row r="408" spans="1:69" x14ac:dyDescent="0.3">
      <c r="A408" s="2">
        <v>407</v>
      </c>
      <c r="B408" s="4" t="s">
        <v>1693</v>
      </c>
      <c r="C408" s="6" t="s">
        <v>241</v>
      </c>
      <c r="D408" s="6"/>
      <c r="E408" s="6" t="s">
        <v>73</v>
      </c>
      <c r="F408" s="6" t="s">
        <v>73</v>
      </c>
      <c r="G408" s="6"/>
      <c r="H408" s="6"/>
      <c r="I408" s="6"/>
      <c r="J408" s="6"/>
      <c r="K408" s="6">
        <v>800509</v>
      </c>
      <c r="L408" s="6"/>
      <c r="M408" s="6" t="s">
        <v>1698</v>
      </c>
      <c r="N408" s="46" t="s">
        <v>1697</v>
      </c>
      <c r="O408" s="6">
        <v>1148848007</v>
      </c>
      <c r="P408" s="78" t="s">
        <v>1696</v>
      </c>
      <c r="Q408" s="6">
        <v>10210</v>
      </c>
      <c r="R408" s="6">
        <v>27210</v>
      </c>
      <c r="S408" s="5" t="str">
        <f>VLOOKUP(T408,'[1]Kode Posisi'!$A$3:$B$45,2,)</f>
        <v>Outsourcing Cleaning Service</v>
      </c>
      <c r="T408" s="36" t="s">
        <v>47</v>
      </c>
      <c r="U408" s="44" t="s">
        <v>1684</v>
      </c>
      <c r="V408" s="44" t="s">
        <v>1695</v>
      </c>
      <c r="W408" s="36" t="s">
        <v>1682</v>
      </c>
      <c r="X408" s="36" t="s">
        <v>1681</v>
      </c>
      <c r="Y408" s="36" t="s">
        <v>63</v>
      </c>
      <c r="Z408" s="79" t="s">
        <v>1694</v>
      </c>
      <c r="AA408" s="36" t="s">
        <v>1693</v>
      </c>
      <c r="AB408" s="47">
        <v>4035000</v>
      </c>
      <c r="AC408" s="41">
        <v>4035000</v>
      </c>
      <c r="AD408" s="3">
        <v>3877000</v>
      </c>
      <c r="AE408" s="16">
        <f t="shared" si="182"/>
        <v>158000</v>
      </c>
      <c r="AF408" s="16">
        <v>0</v>
      </c>
      <c r="AG408" s="17">
        <v>0</v>
      </c>
      <c r="AI408" s="16">
        <v>0</v>
      </c>
      <c r="AK408" s="16">
        <v>0</v>
      </c>
      <c r="AL408" s="11">
        <f t="shared" si="183"/>
        <v>4035000</v>
      </c>
      <c r="AM408" s="16">
        <f t="shared" si="184"/>
        <v>413184</v>
      </c>
      <c r="AN408" s="16">
        <f t="shared" si="185"/>
        <v>161400</v>
      </c>
      <c r="AO408" s="16">
        <f t="shared" si="175"/>
        <v>251784</v>
      </c>
      <c r="AP408" s="16">
        <f t="shared" si="186"/>
        <v>149295</v>
      </c>
      <c r="AQ408" s="16">
        <f t="shared" si="187"/>
        <v>4448184</v>
      </c>
      <c r="AR408" s="16">
        <f t="shared" si="178"/>
        <v>266891.03999999998</v>
      </c>
      <c r="AS408" s="16">
        <f t="shared" si="188"/>
        <v>29358.014399999996</v>
      </c>
      <c r="AT408" s="16">
        <f t="shared" si="189"/>
        <v>-5337.8207999999995</v>
      </c>
      <c r="AU408" s="16">
        <f t="shared" si="190"/>
        <v>4709737.2192000002</v>
      </c>
      <c r="AV408" s="16">
        <f t="shared" si="191"/>
        <v>4715075.04</v>
      </c>
      <c r="AW408" s="16">
        <f t="shared" si="192"/>
        <v>161400</v>
      </c>
      <c r="AX408" s="16" t="s">
        <v>286</v>
      </c>
      <c r="AZ408" s="17">
        <f t="shared" si="200"/>
        <v>2900</v>
      </c>
      <c r="BA408" s="16">
        <f t="shared" si="193"/>
        <v>3873600</v>
      </c>
      <c r="BB408" s="16">
        <f t="shared" si="194"/>
        <v>3870700</v>
      </c>
      <c r="BC408">
        <v>0.03</v>
      </c>
      <c r="BD408">
        <v>0.01</v>
      </c>
      <c r="BE408" s="37">
        <f t="shared" si="195"/>
        <v>372834</v>
      </c>
      <c r="BF408" s="38">
        <f t="shared" si="196"/>
        <v>229995</v>
      </c>
      <c r="BG408" s="37">
        <f t="shared" si="176"/>
        <v>193850</v>
      </c>
      <c r="BH408" s="37">
        <f t="shared" si="197"/>
        <v>201750</v>
      </c>
      <c r="BI408">
        <v>193850</v>
      </c>
      <c r="BL408" s="8">
        <f t="shared" si="198"/>
        <v>0</v>
      </c>
      <c r="BM408" s="7" t="str">
        <f t="shared" si="179"/>
        <v>Terdaftar BPJS Kes &amp; Naker</v>
      </c>
      <c r="BN408" s="11">
        <f t="shared" si="180"/>
        <v>229995</v>
      </c>
      <c r="BO408" s="11">
        <f t="shared" si="181"/>
        <v>183189</v>
      </c>
      <c r="BP408" s="9">
        <f t="shared" si="199"/>
        <v>0</v>
      </c>
      <c r="BQ408" t="str">
        <f>_xlfn.XLOOKUP(X408,'[2]NON TETAP'!$H:$H,'[2]NON TETAP'!$I:$I)</f>
        <v>WIDIA ASRI MEDIA</v>
      </c>
    </row>
    <row r="409" spans="1:69" x14ac:dyDescent="0.3">
      <c r="A409" s="2">
        <v>408</v>
      </c>
      <c r="B409" s="4" t="s">
        <v>1688</v>
      </c>
      <c r="C409" s="6" t="s">
        <v>241</v>
      </c>
      <c r="D409" s="6"/>
      <c r="E409" s="6" t="s">
        <v>73</v>
      </c>
      <c r="F409" s="6" t="s">
        <v>73</v>
      </c>
      <c r="G409" s="6"/>
      <c r="H409" s="6"/>
      <c r="I409" s="6"/>
      <c r="J409" s="6"/>
      <c r="K409" s="6">
        <v>800510</v>
      </c>
      <c r="L409" s="6"/>
      <c r="M409" s="6" t="s">
        <v>1692</v>
      </c>
      <c r="N409" s="46" t="s">
        <v>1691</v>
      </c>
      <c r="O409" s="6">
        <v>1855076321</v>
      </c>
      <c r="P409" s="78" t="s">
        <v>1690</v>
      </c>
      <c r="Q409" s="6">
        <v>10210</v>
      </c>
      <c r="R409" s="6">
        <v>27210</v>
      </c>
      <c r="S409" s="5" t="str">
        <f>VLOOKUP(T409,'[1]Kode Posisi'!$A$3:$B$45,2,)</f>
        <v>Outsourcing Cleaning Service</v>
      </c>
      <c r="T409" s="36" t="s">
        <v>47</v>
      </c>
      <c r="U409" s="44" t="s">
        <v>1684</v>
      </c>
      <c r="V409" s="44" t="s">
        <v>1689</v>
      </c>
      <c r="W409" s="36" t="s">
        <v>1682</v>
      </c>
      <c r="X409" s="36" t="s">
        <v>1681</v>
      </c>
      <c r="Y409" s="36" t="s">
        <v>52</v>
      </c>
      <c r="Z409" s="79">
        <v>8535332718</v>
      </c>
      <c r="AA409" s="36" t="s">
        <v>1688</v>
      </c>
      <c r="AB409" s="47">
        <v>4035000</v>
      </c>
      <c r="AC409" s="41">
        <v>4035000</v>
      </c>
      <c r="AD409" s="3">
        <v>3877000</v>
      </c>
      <c r="AE409" s="16">
        <f t="shared" ref="AE409:AE440" si="201">AB409-AD409</f>
        <v>158000</v>
      </c>
      <c r="AF409" s="16">
        <v>0</v>
      </c>
      <c r="AG409" s="17">
        <v>0</v>
      </c>
      <c r="AI409" s="16">
        <v>0</v>
      </c>
      <c r="AK409" s="16">
        <v>0</v>
      </c>
      <c r="AL409" s="11">
        <f t="shared" si="183"/>
        <v>4035000</v>
      </c>
      <c r="AM409" s="16">
        <f t="shared" si="184"/>
        <v>413184</v>
      </c>
      <c r="AN409" s="16">
        <f t="shared" si="185"/>
        <v>161400</v>
      </c>
      <c r="AO409" s="16">
        <f t="shared" si="175"/>
        <v>251784</v>
      </c>
      <c r="AP409" s="16">
        <f t="shared" si="186"/>
        <v>149295</v>
      </c>
      <c r="AQ409" s="16">
        <f t="shared" si="187"/>
        <v>4448184</v>
      </c>
      <c r="AR409" s="16">
        <f t="shared" si="178"/>
        <v>266891.03999999998</v>
      </c>
      <c r="AS409" s="16">
        <f t="shared" si="188"/>
        <v>29358.014399999996</v>
      </c>
      <c r="AT409" s="16">
        <f t="shared" si="189"/>
        <v>-5337.8207999999995</v>
      </c>
      <c r="AU409" s="16">
        <f t="shared" si="190"/>
        <v>4709737.2192000002</v>
      </c>
      <c r="AV409" s="16">
        <f t="shared" si="191"/>
        <v>4715075.04</v>
      </c>
      <c r="AW409" s="16">
        <f t="shared" si="192"/>
        <v>161400</v>
      </c>
      <c r="AX409" s="16" t="s">
        <v>235</v>
      </c>
      <c r="AZ409" s="17">
        <f t="shared" si="200"/>
        <v>0</v>
      </c>
      <c r="BA409" s="16">
        <f t="shared" si="193"/>
        <v>3873600</v>
      </c>
      <c r="BB409" s="16">
        <f t="shared" si="194"/>
        <v>3873600</v>
      </c>
      <c r="BC409">
        <v>0.03</v>
      </c>
      <c r="BD409">
        <v>0.01</v>
      </c>
      <c r="BE409" s="37">
        <f t="shared" si="195"/>
        <v>372834</v>
      </c>
      <c r="BF409" s="38">
        <f t="shared" si="196"/>
        <v>229995</v>
      </c>
      <c r="BG409" s="37">
        <f t="shared" si="176"/>
        <v>193850</v>
      </c>
      <c r="BH409" s="37">
        <f t="shared" si="197"/>
        <v>201750</v>
      </c>
      <c r="BI409">
        <v>193850</v>
      </c>
      <c r="BL409" s="8">
        <f t="shared" si="198"/>
        <v>0</v>
      </c>
      <c r="BM409" s="7" t="str">
        <f t="shared" si="179"/>
        <v>Terdaftar BPJS Kes &amp; Naker</v>
      </c>
      <c r="BN409" s="11">
        <f t="shared" si="180"/>
        <v>229995</v>
      </c>
      <c r="BO409" s="11">
        <f t="shared" si="181"/>
        <v>183189</v>
      </c>
      <c r="BP409" s="9">
        <f t="shared" si="199"/>
        <v>0</v>
      </c>
      <c r="BQ409" t="str">
        <f>_xlfn.XLOOKUP(X409,'[2]NON TETAP'!$H:$H,'[2]NON TETAP'!$I:$I)</f>
        <v>WIDIA ASRI MEDIA</v>
      </c>
    </row>
    <row r="410" spans="1:69" x14ac:dyDescent="0.3">
      <c r="A410" s="2">
        <v>409</v>
      </c>
      <c r="B410" s="4" t="s">
        <v>1679</v>
      </c>
      <c r="C410" s="6" t="s">
        <v>241</v>
      </c>
      <c r="D410" s="6"/>
      <c r="E410" s="6" t="s">
        <v>73</v>
      </c>
      <c r="F410" s="6" t="s">
        <v>73</v>
      </c>
      <c r="G410" s="6"/>
      <c r="H410" s="6"/>
      <c r="I410" s="6"/>
      <c r="J410" s="6"/>
      <c r="K410" s="6">
        <v>800511</v>
      </c>
      <c r="L410" s="6"/>
      <c r="M410" s="6" t="s">
        <v>1687</v>
      </c>
      <c r="N410" s="46" t="s">
        <v>1686</v>
      </c>
      <c r="O410" s="6">
        <v>2228873589</v>
      </c>
      <c r="P410" s="78" t="s">
        <v>1685</v>
      </c>
      <c r="Q410" s="6">
        <v>10210</v>
      </c>
      <c r="R410" s="6">
        <v>27210</v>
      </c>
      <c r="S410" s="5" t="str">
        <f>VLOOKUP(T410,'[1]Kode Posisi'!$A$3:$B$45,2,)</f>
        <v>Outsourcing Cleaning Service</v>
      </c>
      <c r="T410" s="36" t="s">
        <v>47</v>
      </c>
      <c r="U410" s="44" t="s">
        <v>1684</v>
      </c>
      <c r="V410" s="44" t="s">
        <v>1683</v>
      </c>
      <c r="W410" s="36" t="s">
        <v>1682</v>
      </c>
      <c r="X410" s="36" t="s">
        <v>1681</v>
      </c>
      <c r="Y410" s="36" t="s">
        <v>63</v>
      </c>
      <c r="Z410" s="79" t="s">
        <v>1680</v>
      </c>
      <c r="AA410" s="36" t="s">
        <v>1679</v>
      </c>
      <c r="AB410" s="47">
        <v>4035000</v>
      </c>
      <c r="AC410" s="41">
        <v>4035000</v>
      </c>
      <c r="AD410" s="3">
        <v>3877000</v>
      </c>
      <c r="AE410" s="16">
        <f t="shared" si="201"/>
        <v>158000</v>
      </c>
      <c r="AF410" s="16">
        <v>0</v>
      </c>
      <c r="AG410" s="17">
        <v>0</v>
      </c>
      <c r="AI410" s="16">
        <v>0</v>
      </c>
      <c r="AK410" s="16">
        <v>0</v>
      </c>
      <c r="AL410" s="11">
        <f t="shared" si="183"/>
        <v>4035000</v>
      </c>
      <c r="AM410" s="16">
        <f t="shared" si="184"/>
        <v>413184</v>
      </c>
      <c r="AN410" s="16">
        <f t="shared" si="185"/>
        <v>161400</v>
      </c>
      <c r="AO410" s="16">
        <f t="shared" si="175"/>
        <v>251784</v>
      </c>
      <c r="AP410" s="16">
        <f t="shared" si="186"/>
        <v>149295</v>
      </c>
      <c r="AQ410" s="16">
        <f t="shared" si="187"/>
        <v>4448184</v>
      </c>
      <c r="AR410" s="16">
        <f t="shared" si="178"/>
        <v>266891.03999999998</v>
      </c>
      <c r="AS410" s="16">
        <f t="shared" si="188"/>
        <v>29358.014399999996</v>
      </c>
      <c r="AT410" s="16">
        <f t="shared" si="189"/>
        <v>-5337.8207999999995</v>
      </c>
      <c r="AU410" s="16">
        <f t="shared" si="190"/>
        <v>4709737.2192000002</v>
      </c>
      <c r="AV410" s="16">
        <f t="shared" si="191"/>
        <v>4715075.04</v>
      </c>
      <c r="AW410" s="16">
        <f t="shared" si="192"/>
        <v>161400</v>
      </c>
      <c r="AX410" s="16" t="s">
        <v>235</v>
      </c>
      <c r="AZ410" s="17">
        <f t="shared" si="200"/>
        <v>2900</v>
      </c>
      <c r="BA410" s="16">
        <f t="shared" si="193"/>
        <v>3873600</v>
      </c>
      <c r="BB410" s="16">
        <f t="shared" si="194"/>
        <v>3870700</v>
      </c>
      <c r="BC410">
        <v>0.03</v>
      </c>
      <c r="BD410">
        <v>0.01</v>
      </c>
      <c r="BE410" s="37">
        <f t="shared" si="195"/>
        <v>372834</v>
      </c>
      <c r="BF410" s="38">
        <f t="shared" si="196"/>
        <v>229995</v>
      </c>
      <c r="BG410" s="37">
        <f t="shared" si="176"/>
        <v>193850</v>
      </c>
      <c r="BH410" s="37">
        <f t="shared" si="197"/>
        <v>201750</v>
      </c>
      <c r="BI410">
        <v>193850</v>
      </c>
      <c r="BL410" s="8">
        <f t="shared" si="198"/>
        <v>0</v>
      </c>
      <c r="BM410" s="7" t="str">
        <f t="shared" si="179"/>
        <v>Terdaftar BPJS Kes &amp; Naker</v>
      </c>
      <c r="BN410" s="11">
        <f t="shared" si="180"/>
        <v>229995</v>
      </c>
      <c r="BO410" s="11">
        <f t="shared" si="181"/>
        <v>183189</v>
      </c>
      <c r="BP410" s="9">
        <f t="shared" si="199"/>
        <v>0</v>
      </c>
      <c r="BQ410" t="str">
        <f>_xlfn.XLOOKUP(X410,'[2]NON TETAP'!$H:$H,'[2]NON TETAP'!$I:$I)</f>
        <v>WIDIA ASRI MEDIA</v>
      </c>
    </row>
    <row r="411" spans="1:69" x14ac:dyDescent="0.3">
      <c r="A411" s="2">
        <v>410</v>
      </c>
      <c r="B411" s="4" t="s">
        <v>1678</v>
      </c>
      <c r="C411" s="6" t="s">
        <v>241</v>
      </c>
      <c r="D411" s="6"/>
      <c r="E411" s="6" t="s">
        <v>73</v>
      </c>
      <c r="F411" s="6" t="s">
        <v>73</v>
      </c>
      <c r="G411" s="6" t="s">
        <v>73</v>
      </c>
      <c r="H411" s="6"/>
      <c r="I411" s="6"/>
      <c r="J411" s="6"/>
      <c r="K411" s="6">
        <v>800512</v>
      </c>
      <c r="L411" s="6"/>
      <c r="M411" s="6" t="s">
        <v>1677</v>
      </c>
      <c r="N411" s="46" t="s">
        <v>1676</v>
      </c>
      <c r="O411" s="6">
        <v>227881754</v>
      </c>
      <c r="P411" s="78" t="s">
        <v>1675</v>
      </c>
      <c r="Q411" s="6">
        <v>10239</v>
      </c>
      <c r="R411" s="6">
        <v>27239</v>
      </c>
      <c r="S411" s="5" t="str">
        <f>VLOOKUP(T411,'[1]Kode Posisi'!$A$3:$B$45,2,)</f>
        <v>Outsourcing Cleaning Service</v>
      </c>
      <c r="T411" s="36" t="s">
        <v>47</v>
      </c>
      <c r="U411" s="44" t="s">
        <v>1262</v>
      </c>
      <c r="V411" s="44" t="s">
        <v>1674</v>
      </c>
      <c r="W411" s="36" t="s">
        <v>1008</v>
      </c>
      <c r="X411" s="36" t="s">
        <v>1260</v>
      </c>
      <c r="Y411" s="36" t="s">
        <v>198</v>
      </c>
      <c r="Z411" s="46" t="s">
        <v>1673</v>
      </c>
      <c r="AA411" s="36" t="s">
        <v>1672</v>
      </c>
      <c r="AB411" s="47">
        <v>3899000</v>
      </c>
      <c r="AC411" s="47">
        <v>3899000</v>
      </c>
      <c r="AD411" s="3">
        <v>3899000</v>
      </c>
      <c r="AE411" s="16">
        <f t="shared" si="201"/>
        <v>0</v>
      </c>
      <c r="AF411" s="16">
        <v>0</v>
      </c>
      <c r="AG411" s="17">
        <v>0</v>
      </c>
      <c r="AI411" s="16">
        <v>0</v>
      </c>
      <c r="AK411" s="16">
        <v>0</v>
      </c>
      <c r="AL411" s="11">
        <f t="shared" si="183"/>
        <v>3899000</v>
      </c>
      <c r="AM411" s="16">
        <f t="shared" si="184"/>
        <v>399257.59999999998</v>
      </c>
      <c r="AN411" s="16">
        <f t="shared" si="185"/>
        <v>155960</v>
      </c>
      <c r="AO411" s="16">
        <f t="shared" si="175"/>
        <v>243297.59999999998</v>
      </c>
      <c r="AP411" s="16">
        <f t="shared" si="186"/>
        <v>144263</v>
      </c>
      <c r="AQ411" s="16">
        <f t="shared" si="187"/>
        <v>4298257.5999999996</v>
      </c>
      <c r="AR411" s="16">
        <f t="shared" si="178"/>
        <v>257895.45599999998</v>
      </c>
      <c r="AS411" s="16">
        <f t="shared" si="188"/>
        <v>28368.500159999996</v>
      </c>
      <c r="AT411" s="16">
        <f t="shared" si="189"/>
        <v>-5157.9091199999993</v>
      </c>
      <c r="AU411" s="16">
        <f t="shared" si="190"/>
        <v>4550995.1468799999</v>
      </c>
      <c r="AV411" s="16">
        <f t="shared" si="191"/>
        <v>4556153.0559999999</v>
      </c>
      <c r="AW411" s="16">
        <f t="shared" si="192"/>
        <v>155960</v>
      </c>
      <c r="AX411" s="16" t="s">
        <v>235</v>
      </c>
      <c r="AZ411" s="17">
        <f t="shared" si="200"/>
        <v>2900</v>
      </c>
      <c r="BA411" s="16">
        <f t="shared" si="193"/>
        <v>3743040</v>
      </c>
      <c r="BB411" s="16">
        <f t="shared" si="194"/>
        <v>3740140</v>
      </c>
      <c r="BC411">
        <v>0.03</v>
      </c>
      <c r="BD411">
        <v>0.01</v>
      </c>
      <c r="BE411" s="37">
        <f t="shared" si="195"/>
        <v>360267.6</v>
      </c>
      <c r="BF411" s="38">
        <f t="shared" si="196"/>
        <v>222243</v>
      </c>
      <c r="BG411" s="37">
        <f t="shared" si="176"/>
        <v>194950</v>
      </c>
      <c r="BH411" s="37">
        <f t="shared" si="197"/>
        <v>194950</v>
      </c>
      <c r="BI411">
        <v>194950</v>
      </c>
      <c r="BL411" s="8">
        <f t="shared" si="198"/>
        <v>0</v>
      </c>
      <c r="BM411" s="7" t="str">
        <f t="shared" si="179"/>
        <v>Terdaftar BPJS Kes &amp; Naker</v>
      </c>
      <c r="BN411" s="11">
        <f t="shared" si="180"/>
        <v>222243</v>
      </c>
      <c r="BO411" s="11">
        <f t="shared" si="181"/>
        <v>177014.6</v>
      </c>
      <c r="BP411" s="9">
        <f t="shared" si="199"/>
        <v>0</v>
      </c>
      <c r="BQ411" t="str">
        <f>_xlfn.XLOOKUP(X411,'[2]NON TETAP'!$H:$H,'[2]NON TETAP'!$I:$I)</f>
        <v>GRAMEDIA ASRI MEDIA</v>
      </c>
    </row>
    <row r="412" spans="1:69" x14ac:dyDescent="0.3">
      <c r="A412" s="2">
        <v>411</v>
      </c>
      <c r="B412" s="4" t="s">
        <v>1671</v>
      </c>
      <c r="C412" s="6" t="s">
        <v>241</v>
      </c>
      <c r="D412" s="6"/>
      <c r="E412" s="6" t="s">
        <v>73</v>
      </c>
      <c r="F412" s="6" t="s">
        <v>73</v>
      </c>
      <c r="G412" s="6" t="s">
        <v>73</v>
      </c>
      <c r="H412" s="6"/>
      <c r="I412" s="6"/>
      <c r="J412" s="6"/>
      <c r="K412" s="6">
        <v>800513</v>
      </c>
      <c r="L412" s="6"/>
      <c r="M412" s="6" t="s">
        <v>1670</v>
      </c>
      <c r="N412" s="46" t="s">
        <v>1669</v>
      </c>
      <c r="O412" s="6">
        <v>2256966437</v>
      </c>
      <c r="P412" s="78" t="s">
        <v>1668</v>
      </c>
      <c r="Q412" s="6">
        <v>10239</v>
      </c>
      <c r="R412" s="6">
        <v>27239</v>
      </c>
      <c r="S412" s="5" t="str">
        <f>VLOOKUP(T412,'[1]Kode Posisi'!$A$3:$B$45,2,)</f>
        <v>Outsourcing Cleaning Service</v>
      </c>
      <c r="T412" s="36" t="s">
        <v>47</v>
      </c>
      <c r="U412" s="44" t="s">
        <v>1262</v>
      </c>
      <c r="V412" s="44" t="s">
        <v>1667</v>
      </c>
      <c r="W412" s="36" t="s">
        <v>1008</v>
      </c>
      <c r="X412" s="36" t="s">
        <v>1260</v>
      </c>
      <c r="Y412" s="36" t="s">
        <v>198</v>
      </c>
      <c r="Z412" s="46" t="s">
        <v>1666</v>
      </c>
      <c r="AA412" s="36" t="s">
        <v>1665</v>
      </c>
      <c r="AB412" s="47">
        <v>3899000</v>
      </c>
      <c r="AC412" s="47">
        <v>3899000</v>
      </c>
      <c r="AD412" s="3">
        <v>3899000</v>
      </c>
      <c r="AE412" s="16">
        <f t="shared" si="201"/>
        <v>0</v>
      </c>
      <c r="AF412" s="16">
        <v>0</v>
      </c>
      <c r="AG412" s="17">
        <v>0</v>
      </c>
      <c r="AI412" s="16">
        <v>0</v>
      </c>
      <c r="AK412" s="16">
        <v>0</v>
      </c>
      <c r="AL412" s="11">
        <f t="shared" si="183"/>
        <v>3899000</v>
      </c>
      <c r="AM412" s="16">
        <f t="shared" si="184"/>
        <v>399257.59999999998</v>
      </c>
      <c r="AN412" s="16">
        <f t="shared" si="185"/>
        <v>155960</v>
      </c>
      <c r="AO412" s="16">
        <f t="shared" si="175"/>
        <v>243297.59999999998</v>
      </c>
      <c r="AP412" s="16">
        <f t="shared" si="186"/>
        <v>144263</v>
      </c>
      <c r="AQ412" s="16">
        <f t="shared" si="187"/>
        <v>4298257.5999999996</v>
      </c>
      <c r="AR412" s="16">
        <f t="shared" si="178"/>
        <v>257895.45599999998</v>
      </c>
      <c r="AS412" s="16">
        <f t="shared" si="188"/>
        <v>28368.500159999996</v>
      </c>
      <c r="AT412" s="16">
        <f t="shared" si="189"/>
        <v>-5157.9091199999993</v>
      </c>
      <c r="AU412" s="16">
        <f t="shared" si="190"/>
        <v>4550995.1468799999</v>
      </c>
      <c r="AV412" s="16">
        <f t="shared" si="191"/>
        <v>4556153.0559999999</v>
      </c>
      <c r="AW412" s="16">
        <f t="shared" si="192"/>
        <v>155960</v>
      </c>
      <c r="AX412" s="16" t="s">
        <v>235</v>
      </c>
      <c r="AZ412" s="17">
        <f t="shared" si="200"/>
        <v>2900</v>
      </c>
      <c r="BA412" s="16">
        <f t="shared" si="193"/>
        <v>3743040</v>
      </c>
      <c r="BB412" s="16">
        <f t="shared" si="194"/>
        <v>3740140</v>
      </c>
      <c r="BC412">
        <v>0.03</v>
      </c>
      <c r="BD412">
        <v>0.01</v>
      </c>
      <c r="BE412" s="37">
        <f t="shared" si="195"/>
        <v>360267.6</v>
      </c>
      <c r="BF412" s="38">
        <f t="shared" si="196"/>
        <v>222243</v>
      </c>
      <c r="BG412" s="37">
        <f t="shared" si="176"/>
        <v>194950</v>
      </c>
      <c r="BH412" s="37">
        <f t="shared" si="197"/>
        <v>194950</v>
      </c>
      <c r="BI412">
        <v>194950</v>
      </c>
      <c r="BL412" s="8">
        <f t="shared" si="198"/>
        <v>0</v>
      </c>
      <c r="BM412" s="7" t="str">
        <f t="shared" si="179"/>
        <v>Terdaftar BPJS Kes &amp; Naker</v>
      </c>
      <c r="BN412" s="11">
        <f t="shared" si="180"/>
        <v>222243</v>
      </c>
      <c r="BO412" s="11">
        <f t="shared" si="181"/>
        <v>177014.6</v>
      </c>
      <c r="BP412" s="9">
        <f t="shared" si="199"/>
        <v>0</v>
      </c>
      <c r="BQ412" t="str">
        <f>_xlfn.XLOOKUP(X412,'[2]NON TETAP'!$H:$H,'[2]NON TETAP'!$I:$I)</f>
        <v>GRAMEDIA ASRI MEDIA</v>
      </c>
    </row>
    <row r="413" spans="1:69" x14ac:dyDescent="0.3">
      <c r="A413" s="2">
        <v>412</v>
      </c>
      <c r="B413" s="4" t="s">
        <v>1659</v>
      </c>
      <c r="C413" s="6" t="s">
        <v>241</v>
      </c>
      <c r="D413" s="6"/>
      <c r="E413" s="6" t="s">
        <v>73</v>
      </c>
      <c r="F413" s="6" t="s">
        <v>73</v>
      </c>
      <c r="G413" s="6" t="s">
        <v>73</v>
      </c>
      <c r="H413" s="6"/>
      <c r="I413" s="6"/>
      <c r="J413" s="6"/>
      <c r="K413" s="6">
        <v>800514</v>
      </c>
      <c r="L413" s="6"/>
      <c r="M413" s="6" t="s">
        <v>1664</v>
      </c>
      <c r="N413" s="46" t="s">
        <v>1663</v>
      </c>
      <c r="O413" s="6">
        <v>1859699428</v>
      </c>
      <c r="P413" s="78" t="s">
        <v>1662</v>
      </c>
      <c r="Q413" s="6">
        <v>10239</v>
      </c>
      <c r="R413" s="6">
        <v>27239</v>
      </c>
      <c r="S413" s="5" t="str">
        <f>VLOOKUP(T413,'[1]Kode Posisi'!$A$3:$B$45,2,)</f>
        <v>Outsourcing Cleaning Service</v>
      </c>
      <c r="T413" s="36" t="s">
        <v>47</v>
      </c>
      <c r="U413" s="44" t="s">
        <v>1262</v>
      </c>
      <c r="V413" s="44" t="s">
        <v>1661</v>
      </c>
      <c r="W413" s="36" t="s">
        <v>1008</v>
      </c>
      <c r="X413" s="36" t="s">
        <v>1260</v>
      </c>
      <c r="Y413" s="36" t="s">
        <v>198</v>
      </c>
      <c r="Z413" s="46" t="s">
        <v>1660</v>
      </c>
      <c r="AA413" s="36" t="s">
        <v>1659</v>
      </c>
      <c r="AB413" s="47">
        <v>3899000</v>
      </c>
      <c r="AC413" s="47">
        <v>3899000</v>
      </c>
      <c r="AD413" s="3">
        <v>3899000</v>
      </c>
      <c r="AE413" s="16">
        <f t="shared" si="201"/>
        <v>0</v>
      </c>
      <c r="AF413" s="16">
        <v>0</v>
      </c>
      <c r="AG413" s="17">
        <v>0</v>
      </c>
      <c r="AI413" s="16">
        <v>0</v>
      </c>
      <c r="AK413" s="16">
        <v>0</v>
      </c>
      <c r="AL413" s="11">
        <f t="shared" si="183"/>
        <v>3899000</v>
      </c>
      <c r="AM413" s="16">
        <f t="shared" si="184"/>
        <v>399257.59999999998</v>
      </c>
      <c r="AN413" s="16">
        <f t="shared" si="185"/>
        <v>155960</v>
      </c>
      <c r="AO413" s="16">
        <f t="shared" si="175"/>
        <v>243297.59999999998</v>
      </c>
      <c r="AP413" s="16">
        <f t="shared" si="186"/>
        <v>144263</v>
      </c>
      <c r="AQ413" s="16">
        <f t="shared" si="187"/>
        <v>4298257.5999999996</v>
      </c>
      <c r="AR413" s="16">
        <f t="shared" si="178"/>
        <v>257895.45599999998</v>
      </c>
      <c r="AS413" s="16">
        <f t="shared" si="188"/>
        <v>28368.500159999996</v>
      </c>
      <c r="AT413" s="16">
        <f t="shared" si="189"/>
        <v>-5157.9091199999993</v>
      </c>
      <c r="AU413" s="16">
        <f t="shared" si="190"/>
        <v>4550995.1468799999</v>
      </c>
      <c r="AV413" s="16">
        <f t="shared" si="191"/>
        <v>4556153.0559999999</v>
      </c>
      <c r="AW413" s="16">
        <f t="shared" si="192"/>
        <v>155960</v>
      </c>
      <c r="AX413" s="16" t="s">
        <v>319</v>
      </c>
      <c r="AZ413" s="17">
        <f t="shared" si="200"/>
        <v>2900</v>
      </c>
      <c r="BA413" s="16">
        <f t="shared" si="193"/>
        <v>3743040</v>
      </c>
      <c r="BB413" s="16">
        <f t="shared" si="194"/>
        <v>3740140</v>
      </c>
      <c r="BC413">
        <v>0.03</v>
      </c>
      <c r="BD413">
        <v>0.01</v>
      </c>
      <c r="BE413" s="37">
        <f t="shared" si="195"/>
        <v>360267.6</v>
      </c>
      <c r="BF413" s="38">
        <f t="shared" si="196"/>
        <v>222243</v>
      </c>
      <c r="BG413" s="37">
        <f t="shared" si="176"/>
        <v>194950</v>
      </c>
      <c r="BH413" s="37">
        <f t="shared" si="197"/>
        <v>194950</v>
      </c>
      <c r="BI413">
        <v>194950</v>
      </c>
      <c r="BL413" s="8">
        <f t="shared" si="198"/>
        <v>0</v>
      </c>
      <c r="BM413" s="7" t="str">
        <f t="shared" si="179"/>
        <v>Terdaftar BPJS Kes &amp; Naker</v>
      </c>
      <c r="BN413" s="11">
        <f t="shared" si="180"/>
        <v>222243</v>
      </c>
      <c r="BO413" s="11">
        <f t="shared" si="181"/>
        <v>177014.6</v>
      </c>
      <c r="BP413" s="9">
        <f t="shared" si="199"/>
        <v>0</v>
      </c>
      <c r="BQ413" t="str">
        <f>_xlfn.XLOOKUP(X413,'[2]NON TETAP'!$H:$H,'[2]NON TETAP'!$I:$I)</f>
        <v>GRAMEDIA ASRI MEDIA</v>
      </c>
    </row>
    <row r="414" spans="1:69" x14ac:dyDescent="0.3">
      <c r="A414" s="2">
        <v>413</v>
      </c>
      <c r="B414" s="4" t="s">
        <v>1653</v>
      </c>
      <c r="C414" s="6" t="s">
        <v>241</v>
      </c>
      <c r="D414" s="6"/>
      <c r="E414" s="6" t="s">
        <v>73</v>
      </c>
      <c r="F414" s="6" t="s">
        <v>73</v>
      </c>
      <c r="G414" s="6" t="s">
        <v>73</v>
      </c>
      <c r="H414" s="6"/>
      <c r="I414" s="6"/>
      <c r="J414" s="6"/>
      <c r="K414" s="6">
        <v>800515</v>
      </c>
      <c r="L414" s="6"/>
      <c r="M414" s="6" t="s">
        <v>1658</v>
      </c>
      <c r="N414" s="46" t="s">
        <v>1657</v>
      </c>
      <c r="O414" s="6">
        <v>228091937</v>
      </c>
      <c r="P414" s="78" t="s">
        <v>1656</v>
      </c>
      <c r="Q414" s="6">
        <v>10239</v>
      </c>
      <c r="R414" s="6">
        <v>27239</v>
      </c>
      <c r="S414" s="5" t="str">
        <f>VLOOKUP(T414,'[1]Kode Posisi'!$A$3:$B$45,2,)</f>
        <v>Outsourcing Cleaning Service</v>
      </c>
      <c r="T414" s="36" t="s">
        <v>47</v>
      </c>
      <c r="U414" s="44" t="s">
        <v>1262</v>
      </c>
      <c r="V414" s="44" t="s">
        <v>1655</v>
      </c>
      <c r="W414" s="36" t="s">
        <v>1008</v>
      </c>
      <c r="X414" s="36" t="s">
        <v>1260</v>
      </c>
      <c r="Y414" s="36" t="s">
        <v>198</v>
      </c>
      <c r="Z414" s="46" t="s">
        <v>1654</v>
      </c>
      <c r="AA414" s="36" t="s">
        <v>1653</v>
      </c>
      <c r="AB414" s="47">
        <v>3899000</v>
      </c>
      <c r="AC414" s="47">
        <v>3899000</v>
      </c>
      <c r="AD414" s="3">
        <v>3899000</v>
      </c>
      <c r="AE414" s="16">
        <f t="shared" si="201"/>
        <v>0</v>
      </c>
      <c r="AF414" s="16">
        <v>0</v>
      </c>
      <c r="AG414" s="17">
        <v>0</v>
      </c>
      <c r="AI414" s="16">
        <v>0</v>
      </c>
      <c r="AK414" s="16">
        <v>0</v>
      </c>
      <c r="AL414" s="11">
        <f t="shared" si="183"/>
        <v>3899000</v>
      </c>
      <c r="AM414" s="16">
        <f t="shared" si="184"/>
        <v>399257.59999999998</v>
      </c>
      <c r="AN414" s="16">
        <f t="shared" si="185"/>
        <v>155960</v>
      </c>
      <c r="AO414" s="16">
        <f t="shared" si="175"/>
        <v>243297.59999999998</v>
      </c>
      <c r="AP414" s="16">
        <f t="shared" si="186"/>
        <v>144263</v>
      </c>
      <c r="AQ414" s="16">
        <f t="shared" si="187"/>
        <v>4298257.5999999996</v>
      </c>
      <c r="AR414" s="16">
        <f t="shared" si="178"/>
        <v>257895.45599999998</v>
      </c>
      <c r="AS414" s="16">
        <f t="shared" si="188"/>
        <v>28368.500159999996</v>
      </c>
      <c r="AT414" s="16">
        <f t="shared" si="189"/>
        <v>-5157.9091199999993</v>
      </c>
      <c r="AU414" s="16">
        <f t="shared" si="190"/>
        <v>4550995.1468799999</v>
      </c>
      <c r="AV414" s="16">
        <f t="shared" si="191"/>
        <v>4556153.0559999999</v>
      </c>
      <c r="AW414" s="16">
        <f t="shared" si="192"/>
        <v>155960</v>
      </c>
      <c r="AX414" s="16" t="s">
        <v>235</v>
      </c>
      <c r="AZ414" s="17">
        <f t="shared" si="200"/>
        <v>2900</v>
      </c>
      <c r="BA414" s="16">
        <f t="shared" si="193"/>
        <v>3743040</v>
      </c>
      <c r="BB414" s="16">
        <f t="shared" si="194"/>
        <v>3740140</v>
      </c>
      <c r="BC414">
        <v>0.03</v>
      </c>
      <c r="BD414">
        <v>0.01</v>
      </c>
      <c r="BE414" s="37">
        <f t="shared" si="195"/>
        <v>360267.6</v>
      </c>
      <c r="BF414" s="38">
        <f t="shared" si="196"/>
        <v>222243</v>
      </c>
      <c r="BG414" s="37">
        <f t="shared" si="176"/>
        <v>194950</v>
      </c>
      <c r="BH414" s="37">
        <f t="shared" si="197"/>
        <v>194950</v>
      </c>
      <c r="BI414">
        <v>194950</v>
      </c>
      <c r="BL414" s="8">
        <f t="shared" si="198"/>
        <v>0</v>
      </c>
      <c r="BM414" s="7" t="str">
        <f t="shared" si="179"/>
        <v>Terdaftar BPJS Kes &amp; Naker</v>
      </c>
      <c r="BN414" s="11">
        <f t="shared" si="180"/>
        <v>222243</v>
      </c>
      <c r="BO414" s="11">
        <f t="shared" si="181"/>
        <v>177014.6</v>
      </c>
      <c r="BP414" s="9">
        <f t="shared" si="199"/>
        <v>0</v>
      </c>
      <c r="BQ414" t="str">
        <f>_xlfn.XLOOKUP(X414,'[2]NON TETAP'!$H:$H,'[2]NON TETAP'!$I:$I)</f>
        <v>GRAMEDIA ASRI MEDIA</v>
      </c>
    </row>
    <row r="415" spans="1:69" x14ac:dyDescent="0.3">
      <c r="A415" s="2">
        <v>414</v>
      </c>
      <c r="B415" s="4" t="s">
        <v>1652</v>
      </c>
      <c r="C415" s="6" t="s">
        <v>241</v>
      </c>
      <c r="D415" s="6"/>
      <c r="E415" s="6" t="s">
        <v>73</v>
      </c>
      <c r="F415" s="6" t="s">
        <v>73</v>
      </c>
      <c r="G415" s="6" t="s">
        <v>73</v>
      </c>
      <c r="H415" s="6"/>
      <c r="I415" s="6"/>
      <c r="J415" s="6"/>
      <c r="K415" s="6">
        <v>800516</v>
      </c>
      <c r="L415" s="6"/>
      <c r="M415" s="6" t="s">
        <v>1651</v>
      </c>
      <c r="N415" s="46" t="s">
        <v>1650</v>
      </c>
      <c r="O415" s="6">
        <v>2872447839</v>
      </c>
      <c r="P415" s="78" t="s">
        <v>1649</v>
      </c>
      <c r="Q415" s="6">
        <v>10239</v>
      </c>
      <c r="R415" s="6">
        <v>27239</v>
      </c>
      <c r="S415" s="5" t="str">
        <f>VLOOKUP(T415,'[1]Kode Posisi'!$A$3:$B$45,2,)</f>
        <v>Outsourcing Cleaning Service</v>
      </c>
      <c r="T415" s="36" t="s">
        <v>47</v>
      </c>
      <c r="U415" s="44" t="s">
        <v>1262</v>
      </c>
      <c r="V415" s="44" t="s">
        <v>1648</v>
      </c>
      <c r="W415" s="36" t="s">
        <v>1008</v>
      </c>
      <c r="X415" s="36" t="s">
        <v>1260</v>
      </c>
      <c r="Y415" s="36" t="s">
        <v>198</v>
      </c>
      <c r="Z415" s="46" t="s">
        <v>1647</v>
      </c>
      <c r="AA415" s="36" t="s">
        <v>1646</v>
      </c>
      <c r="AB415" s="47">
        <v>3899000</v>
      </c>
      <c r="AC415" s="47">
        <v>3899000</v>
      </c>
      <c r="AD415" s="3">
        <v>3899000</v>
      </c>
      <c r="AE415" s="16">
        <f t="shared" si="201"/>
        <v>0</v>
      </c>
      <c r="AF415" s="16">
        <v>0</v>
      </c>
      <c r="AG415" s="17">
        <v>0</v>
      </c>
      <c r="AI415" s="16">
        <v>0</v>
      </c>
      <c r="AK415" s="16">
        <v>0</v>
      </c>
      <c r="AL415" s="11">
        <f t="shared" si="183"/>
        <v>3899000</v>
      </c>
      <c r="AM415" s="16">
        <f t="shared" si="184"/>
        <v>399257.59999999998</v>
      </c>
      <c r="AN415" s="16">
        <f t="shared" si="185"/>
        <v>155960</v>
      </c>
      <c r="AO415" s="16">
        <f t="shared" si="175"/>
        <v>243297.59999999998</v>
      </c>
      <c r="AP415" s="16">
        <f t="shared" si="186"/>
        <v>144263</v>
      </c>
      <c r="AQ415" s="16">
        <f t="shared" si="187"/>
        <v>4298257.5999999996</v>
      </c>
      <c r="AR415" s="16">
        <f t="shared" si="178"/>
        <v>257895.45599999998</v>
      </c>
      <c r="AS415" s="16">
        <f t="shared" si="188"/>
        <v>28368.500159999996</v>
      </c>
      <c r="AT415" s="16">
        <f t="shared" si="189"/>
        <v>-5157.9091199999993</v>
      </c>
      <c r="AU415" s="16">
        <f t="shared" si="190"/>
        <v>4550995.1468799999</v>
      </c>
      <c r="AV415" s="16">
        <f t="shared" si="191"/>
        <v>4556153.0559999999</v>
      </c>
      <c r="AW415" s="16">
        <f t="shared" si="192"/>
        <v>155960</v>
      </c>
      <c r="AX415" s="16" t="s">
        <v>235</v>
      </c>
      <c r="AZ415" s="17">
        <f t="shared" si="200"/>
        <v>2900</v>
      </c>
      <c r="BA415" s="16">
        <f t="shared" si="193"/>
        <v>3743040</v>
      </c>
      <c r="BB415" s="16">
        <f t="shared" si="194"/>
        <v>3740140</v>
      </c>
      <c r="BC415">
        <v>0.03</v>
      </c>
      <c r="BD415">
        <v>0.01</v>
      </c>
      <c r="BE415" s="37">
        <f t="shared" si="195"/>
        <v>360267.6</v>
      </c>
      <c r="BF415" s="38">
        <f t="shared" si="196"/>
        <v>222243</v>
      </c>
      <c r="BG415" s="37">
        <f t="shared" si="176"/>
        <v>194950</v>
      </c>
      <c r="BH415" s="37">
        <f t="shared" si="197"/>
        <v>194950</v>
      </c>
      <c r="BI415">
        <v>194950</v>
      </c>
      <c r="BJ415" s="2">
        <v>194950</v>
      </c>
      <c r="BL415" s="8">
        <f t="shared" si="198"/>
        <v>0</v>
      </c>
      <c r="BM415" s="7" t="str">
        <f t="shared" si="179"/>
        <v>Terdaftar BPJS Kes &amp; Naker</v>
      </c>
      <c r="BN415" s="11">
        <f t="shared" si="180"/>
        <v>222243</v>
      </c>
      <c r="BO415" s="11">
        <f t="shared" si="181"/>
        <v>177014.6</v>
      </c>
      <c r="BP415" s="9">
        <f t="shared" si="199"/>
        <v>0</v>
      </c>
      <c r="BQ415" t="str">
        <f>_xlfn.XLOOKUP(X415,'[2]NON TETAP'!$H:$H,'[2]NON TETAP'!$I:$I)</f>
        <v>GRAMEDIA ASRI MEDIA</v>
      </c>
    </row>
    <row r="416" spans="1:69" x14ac:dyDescent="0.3">
      <c r="A416" s="2">
        <v>415</v>
      </c>
      <c r="B416" s="4" t="s">
        <v>1640</v>
      </c>
      <c r="C416" s="6" t="s">
        <v>241</v>
      </c>
      <c r="D416" s="6"/>
      <c r="E416" s="6" t="s">
        <v>73</v>
      </c>
      <c r="F416" s="6" t="s">
        <v>73</v>
      </c>
      <c r="G416" s="6" t="s">
        <v>73</v>
      </c>
      <c r="H416" s="6"/>
      <c r="I416" s="6"/>
      <c r="J416" s="6"/>
      <c r="K416" s="6">
        <v>800517</v>
      </c>
      <c r="L416" s="6"/>
      <c r="M416" s="6" t="s">
        <v>1645</v>
      </c>
      <c r="N416" s="46" t="s">
        <v>1644</v>
      </c>
      <c r="O416" s="6">
        <v>1820936395</v>
      </c>
      <c r="P416" s="78" t="s">
        <v>1643</v>
      </c>
      <c r="Q416" s="6">
        <v>10104</v>
      </c>
      <c r="R416" s="6">
        <v>27104</v>
      </c>
      <c r="S416" s="5" t="str">
        <f>VLOOKUP(T416,'[1]Kode Posisi'!$A$3:$B$45,2,)</f>
        <v>Outsourcing Cleaning Service</v>
      </c>
      <c r="T416" s="36" t="s">
        <v>47</v>
      </c>
      <c r="U416" s="44" t="s">
        <v>1632</v>
      </c>
      <c r="V416" s="44" t="s">
        <v>1642</v>
      </c>
      <c r="W416" s="36" t="s">
        <v>1630</v>
      </c>
      <c r="X416" s="36" t="s">
        <v>14</v>
      </c>
      <c r="Y416" s="36" t="s">
        <v>52</v>
      </c>
      <c r="Z416" s="79" t="s">
        <v>1641</v>
      </c>
      <c r="AA416" s="36" t="s">
        <v>1640</v>
      </c>
      <c r="AB416" s="47">
        <v>4738000</v>
      </c>
      <c r="AC416" s="41">
        <v>4738000</v>
      </c>
      <c r="AD416" s="3">
        <v>4483000</v>
      </c>
      <c r="AE416" s="16">
        <f t="shared" si="201"/>
        <v>255000</v>
      </c>
      <c r="AF416" s="16">
        <v>0</v>
      </c>
      <c r="AG416" s="17">
        <v>0</v>
      </c>
      <c r="AI416" s="16">
        <v>0</v>
      </c>
      <c r="AK416" s="16">
        <v>0</v>
      </c>
      <c r="AL416" s="11">
        <f t="shared" si="183"/>
        <v>4738000</v>
      </c>
      <c r="AM416" s="16">
        <f t="shared" si="184"/>
        <v>485171.20000000001</v>
      </c>
      <c r="AN416" s="16">
        <f t="shared" si="185"/>
        <v>189520</v>
      </c>
      <c r="AO416" s="16">
        <f t="shared" si="175"/>
        <v>295651.20000000001</v>
      </c>
      <c r="AP416" s="16">
        <f t="shared" si="186"/>
        <v>175306</v>
      </c>
      <c r="AQ416" s="16">
        <f t="shared" si="187"/>
        <v>5223171.2</v>
      </c>
      <c r="AR416" s="16">
        <f t="shared" si="178"/>
        <v>313390.272</v>
      </c>
      <c r="AS416" s="16">
        <f t="shared" si="188"/>
        <v>34472.929920000002</v>
      </c>
      <c r="AT416" s="16">
        <f t="shared" si="189"/>
        <v>-6267.8054400000001</v>
      </c>
      <c r="AU416" s="16">
        <f t="shared" si="190"/>
        <v>5530293.6665599998</v>
      </c>
      <c r="AV416" s="16">
        <f t="shared" si="191"/>
        <v>5536561.4720000001</v>
      </c>
      <c r="AW416" s="16">
        <f t="shared" si="192"/>
        <v>189520</v>
      </c>
      <c r="AX416" s="16" t="s">
        <v>91</v>
      </c>
      <c r="AZ416" s="17">
        <f t="shared" si="200"/>
        <v>0</v>
      </c>
      <c r="BA416" s="16">
        <f t="shared" si="193"/>
        <v>4548480</v>
      </c>
      <c r="BB416" s="16">
        <f t="shared" si="194"/>
        <v>4548480</v>
      </c>
      <c r="BC416">
        <v>0.03</v>
      </c>
      <c r="BD416">
        <v>0.01</v>
      </c>
      <c r="BE416" s="37">
        <f t="shared" si="195"/>
        <v>437791.19999999995</v>
      </c>
      <c r="BF416" s="38">
        <f t="shared" si="196"/>
        <v>270066</v>
      </c>
      <c r="BG416" s="37">
        <f t="shared" si="176"/>
        <v>224150</v>
      </c>
      <c r="BH416" s="37">
        <f t="shared" si="197"/>
        <v>236900</v>
      </c>
      <c r="BI416">
        <v>224150</v>
      </c>
      <c r="BL416" s="8">
        <f t="shared" si="198"/>
        <v>0</v>
      </c>
      <c r="BM416" s="7" t="str">
        <f t="shared" si="179"/>
        <v>Terdaftar BPJS Kes &amp; Naker</v>
      </c>
      <c r="BN416" s="11">
        <f t="shared" si="180"/>
        <v>270066</v>
      </c>
      <c r="BO416" s="11">
        <f t="shared" si="181"/>
        <v>215105.2</v>
      </c>
      <c r="BP416" s="9">
        <f t="shared" si="199"/>
        <v>0</v>
      </c>
      <c r="BQ416" t="str">
        <f>_xlfn.XLOOKUP(X416,'[2]NON TETAP'!$H:$H,'[2]NON TETAP'!$I:$I)</f>
        <v>GRAMEDIA ASRI MEDIA</v>
      </c>
    </row>
    <row r="417" spans="1:69" x14ac:dyDescent="0.3">
      <c r="A417" s="2">
        <v>416</v>
      </c>
      <c r="B417" s="4" t="s">
        <v>1635</v>
      </c>
      <c r="C417" s="6" t="s">
        <v>241</v>
      </c>
      <c r="D417" s="6"/>
      <c r="E417" s="6" t="s">
        <v>73</v>
      </c>
      <c r="F417" s="6" t="s">
        <v>73</v>
      </c>
      <c r="G417" s="6" t="s">
        <v>73</v>
      </c>
      <c r="H417" s="6"/>
      <c r="I417" s="6"/>
      <c r="J417" s="6"/>
      <c r="K417" s="6">
        <v>800518</v>
      </c>
      <c r="L417" s="6"/>
      <c r="M417" s="6"/>
      <c r="N417" s="46" t="s">
        <v>1639</v>
      </c>
      <c r="O417" s="6">
        <v>1819059232</v>
      </c>
      <c r="P417" s="78" t="s">
        <v>1638</v>
      </c>
      <c r="Q417" s="6">
        <v>10104</v>
      </c>
      <c r="R417" s="6">
        <v>27104</v>
      </c>
      <c r="S417" s="5" t="str">
        <f>VLOOKUP(T417,'[1]Kode Posisi'!$A$3:$B$45,2,)</f>
        <v>Outsourcing Cleaning Service</v>
      </c>
      <c r="T417" s="36" t="s">
        <v>47</v>
      </c>
      <c r="U417" s="44" t="s">
        <v>1632</v>
      </c>
      <c r="V417" s="44" t="s">
        <v>1637</v>
      </c>
      <c r="W417" s="36" t="s">
        <v>1630</v>
      </c>
      <c r="X417" s="36" t="s">
        <v>14</v>
      </c>
      <c r="Y417" s="36" t="s">
        <v>52</v>
      </c>
      <c r="Z417" s="79" t="s">
        <v>1636</v>
      </c>
      <c r="AA417" s="36" t="s">
        <v>1635</v>
      </c>
      <c r="AB417" s="47">
        <v>4738000</v>
      </c>
      <c r="AC417" s="41">
        <v>4738000</v>
      </c>
      <c r="AD417" s="3">
        <v>4483000</v>
      </c>
      <c r="AE417" s="16">
        <f t="shared" si="201"/>
        <v>255000</v>
      </c>
      <c r="AF417" s="16">
        <v>0</v>
      </c>
      <c r="AG417" s="17">
        <v>0</v>
      </c>
      <c r="AI417" s="16">
        <v>0</v>
      </c>
      <c r="AK417" s="16">
        <v>0</v>
      </c>
      <c r="AL417" s="11">
        <f t="shared" si="183"/>
        <v>4738000</v>
      </c>
      <c r="AM417" s="16">
        <f t="shared" si="184"/>
        <v>485171.20000000001</v>
      </c>
      <c r="AN417" s="16">
        <f t="shared" si="185"/>
        <v>189520</v>
      </c>
      <c r="AO417" s="16">
        <f t="shared" si="175"/>
        <v>295651.20000000001</v>
      </c>
      <c r="AP417" s="16">
        <f t="shared" si="186"/>
        <v>175306</v>
      </c>
      <c r="AQ417" s="16">
        <f t="shared" si="187"/>
        <v>5223171.2</v>
      </c>
      <c r="AR417" s="16">
        <f t="shared" si="178"/>
        <v>313390.272</v>
      </c>
      <c r="AS417" s="16">
        <f t="shared" si="188"/>
        <v>34472.929920000002</v>
      </c>
      <c r="AT417" s="16">
        <f t="shared" si="189"/>
        <v>-6267.8054400000001</v>
      </c>
      <c r="AU417" s="16">
        <f t="shared" si="190"/>
        <v>5530293.6665599998</v>
      </c>
      <c r="AV417" s="16">
        <f t="shared" si="191"/>
        <v>5536561.4720000001</v>
      </c>
      <c r="AW417" s="16">
        <f t="shared" si="192"/>
        <v>189520</v>
      </c>
      <c r="AX417" s="16" t="s">
        <v>286</v>
      </c>
      <c r="AZ417" s="17">
        <f t="shared" si="200"/>
        <v>0</v>
      </c>
      <c r="BA417" s="16">
        <f t="shared" si="193"/>
        <v>4548480</v>
      </c>
      <c r="BB417" s="16">
        <f t="shared" si="194"/>
        <v>4548480</v>
      </c>
      <c r="BC417" s="15">
        <v>0.03</v>
      </c>
      <c r="BD417">
        <v>0.01</v>
      </c>
      <c r="BE417" s="37">
        <f t="shared" si="195"/>
        <v>437791.19999999995</v>
      </c>
      <c r="BF417" s="38">
        <f t="shared" si="196"/>
        <v>270066</v>
      </c>
      <c r="BG417" s="37">
        <f t="shared" si="176"/>
        <v>224150</v>
      </c>
      <c r="BH417" s="37">
        <f t="shared" si="197"/>
        <v>236900</v>
      </c>
      <c r="BI417">
        <v>224150</v>
      </c>
      <c r="BL417" s="8">
        <f t="shared" si="198"/>
        <v>0</v>
      </c>
      <c r="BM417" s="7" t="str">
        <f t="shared" si="179"/>
        <v>Terdaftar BPJS Kes &amp; Naker</v>
      </c>
      <c r="BN417" s="11">
        <f t="shared" si="180"/>
        <v>270066</v>
      </c>
      <c r="BO417" s="11">
        <f t="shared" si="181"/>
        <v>215105.2</v>
      </c>
      <c r="BP417" s="9">
        <f t="shared" si="199"/>
        <v>0</v>
      </c>
      <c r="BQ417" t="str">
        <f>_xlfn.XLOOKUP(X417,'[2]NON TETAP'!$H:$H,'[2]NON TETAP'!$I:$I)</f>
        <v>GRAMEDIA ASRI MEDIA</v>
      </c>
    </row>
    <row r="418" spans="1:69" x14ac:dyDescent="0.3">
      <c r="A418" s="2">
        <v>417</v>
      </c>
      <c r="B418" s="4" t="s">
        <v>1628</v>
      </c>
      <c r="C418" s="6" t="s">
        <v>241</v>
      </c>
      <c r="D418" s="6"/>
      <c r="E418" s="6" t="s">
        <v>73</v>
      </c>
      <c r="F418" s="6" t="s">
        <v>73</v>
      </c>
      <c r="G418" s="6" t="s">
        <v>73</v>
      </c>
      <c r="H418" s="6"/>
      <c r="I418" s="6"/>
      <c r="J418" s="6"/>
      <c r="K418" s="6">
        <v>800519</v>
      </c>
      <c r="L418" s="6"/>
      <c r="M418" s="6"/>
      <c r="N418" s="46" t="s">
        <v>1634</v>
      </c>
      <c r="O418" s="6">
        <v>1666882776</v>
      </c>
      <c r="P418" s="78" t="s">
        <v>1633</v>
      </c>
      <c r="Q418" s="6">
        <v>10104</v>
      </c>
      <c r="R418" s="6">
        <v>27104</v>
      </c>
      <c r="S418" s="5" t="str">
        <f>VLOOKUP(T418,'[1]Kode Posisi'!$A$3:$B$45,2,)</f>
        <v>Outsourcing Cleaning Service</v>
      </c>
      <c r="T418" s="36" t="s">
        <v>47</v>
      </c>
      <c r="U418" s="44" t="s">
        <v>1632</v>
      </c>
      <c r="V418" s="44" t="s">
        <v>1631</v>
      </c>
      <c r="W418" s="36" t="s">
        <v>1630</v>
      </c>
      <c r="X418" s="36" t="s">
        <v>14</v>
      </c>
      <c r="Y418" s="36" t="s">
        <v>52</v>
      </c>
      <c r="Z418" s="79" t="s">
        <v>1629</v>
      </c>
      <c r="AA418" s="36" t="s">
        <v>1628</v>
      </c>
      <c r="AB418" s="47">
        <v>4738000</v>
      </c>
      <c r="AC418" s="41">
        <v>4738000</v>
      </c>
      <c r="AD418" s="3">
        <v>4483000</v>
      </c>
      <c r="AE418" s="16">
        <f t="shared" si="201"/>
        <v>255000</v>
      </c>
      <c r="AF418" s="16">
        <v>0</v>
      </c>
      <c r="AG418" s="17">
        <v>0</v>
      </c>
      <c r="AI418" s="16">
        <v>362786.12716763007</v>
      </c>
      <c r="AK418" s="16">
        <v>0</v>
      </c>
      <c r="AL418" s="11">
        <f t="shared" si="183"/>
        <v>5100786.12716763</v>
      </c>
      <c r="AM418" s="16">
        <f t="shared" si="184"/>
        <v>485171.20000000001</v>
      </c>
      <c r="AN418" s="16">
        <f t="shared" si="185"/>
        <v>189520</v>
      </c>
      <c r="AO418" s="16">
        <f t="shared" si="175"/>
        <v>295651.20000000001</v>
      </c>
      <c r="AP418" s="16">
        <f t="shared" si="186"/>
        <v>175306</v>
      </c>
      <c r="AQ418" s="16">
        <f t="shared" si="187"/>
        <v>5585957.3271676302</v>
      </c>
      <c r="AR418" s="16">
        <f t="shared" si="178"/>
        <v>335157.43963005778</v>
      </c>
      <c r="AS418" s="16">
        <f t="shared" si="188"/>
        <v>36867.318359306359</v>
      </c>
      <c r="AT418" s="16">
        <f t="shared" si="189"/>
        <v>-6703.1487926011559</v>
      </c>
      <c r="AU418" s="16">
        <f t="shared" si="190"/>
        <v>5914411.6180050867</v>
      </c>
      <c r="AV418" s="16">
        <f t="shared" si="191"/>
        <v>5921114.7667976879</v>
      </c>
      <c r="AW418" s="16">
        <f t="shared" si="192"/>
        <v>189520</v>
      </c>
      <c r="AX418" s="16" t="s">
        <v>286</v>
      </c>
      <c r="AZ418" s="17">
        <f t="shared" si="200"/>
        <v>0</v>
      </c>
      <c r="BA418" s="16">
        <f t="shared" si="193"/>
        <v>4911266.12716763</v>
      </c>
      <c r="BB418" s="16">
        <f t="shared" si="194"/>
        <v>4911266.12716763</v>
      </c>
      <c r="BC418" s="15">
        <v>0.03</v>
      </c>
      <c r="BD418">
        <v>0.01</v>
      </c>
      <c r="BE418" s="37">
        <f t="shared" si="195"/>
        <v>437791.19999999995</v>
      </c>
      <c r="BF418" s="38">
        <f t="shared" si="196"/>
        <v>270066</v>
      </c>
      <c r="BG418" s="37">
        <f t="shared" si="176"/>
        <v>224150</v>
      </c>
      <c r="BH418" s="37">
        <f t="shared" si="197"/>
        <v>236900</v>
      </c>
      <c r="BI418">
        <v>224150</v>
      </c>
      <c r="BL418" s="8">
        <f t="shared" si="198"/>
        <v>362786.12716763007</v>
      </c>
      <c r="BM418" s="7" t="str">
        <f t="shared" si="179"/>
        <v>Terdaftar BPJS Kes &amp; Naker</v>
      </c>
      <c r="BN418" s="11">
        <f t="shared" si="180"/>
        <v>270066</v>
      </c>
      <c r="BO418" s="11">
        <f t="shared" si="181"/>
        <v>215105.2</v>
      </c>
      <c r="BP418" s="9">
        <f t="shared" si="199"/>
        <v>0</v>
      </c>
      <c r="BQ418" t="str">
        <f>_xlfn.XLOOKUP(X418,'[2]NON TETAP'!$H:$H,'[2]NON TETAP'!$I:$I)</f>
        <v>GRAMEDIA ASRI MEDIA</v>
      </c>
    </row>
    <row r="419" spans="1:69" x14ac:dyDescent="0.3">
      <c r="A419" s="2">
        <v>418</v>
      </c>
      <c r="B419" s="4" t="s">
        <v>1627</v>
      </c>
      <c r="C419" s="6" t="s">
        <v>241</v>
      </c>
      <c r="D419" s="6"/>
      <c r="E419" s="6" t="s">
        <v>73</v>
      </c>
      <c r="F419" s="6" t="s">
        <v>73</v>
      </c>
      <c r="G419" s="6" t="s">
        <v>73</v>
      </c>
      <c r="H419" s="6"/>
      <c r="I419" s="6"/>
      <c r="J419" s="6"/>
      <c r="K419" s="6">
        <v>800520</v>
      </c>
      <c r="L419" s="6"/>
      <c r="M419" s="6" t="s">
        <v>1626</v>
      </c>
      <c r="N419" s="46" t="s">
        <v>1625</v>
      </c>
      <c r="O419" s="6">
        <v>1656202476</v>
      </c>
      <c r="P419" s="78" t="s">
        <v>1624</v>
      </c>
      <c r="Q419" s="6">
        <v>10372</v>
      </c>
      <c r="R419" s="6">
        <v>27372</v>
      </c>
      <c r="S419" s="5" t="str">
        <f>VLOOKUP(T419,'[1]Kode Posisi'!$A$3:$B$45,2,)</f>
        <v>Outsourcing Cleaning Service</v>
      </c>
      <c r="T419" s="36" t="s">
        <v>47</v>
      </c>
      <c r="U419" s="44" t="s">
        <v>1594</v>
      </c>
      <c r="V419" s="44" t="s">
        <v>1623</v>
      </c>
      <c r="W419" s="36" t="s">
        <v>1592</v>
      </c>
      <c r="X419" s="36" t="s">
        <v>480</v>
      </c>
      <c r="Y419" s="36" t="s">
        <v>473</v>
      </c>
      <c r="Z419" s="79" t="s">
        <v>1622</v>
      </c>
      <c r="AA419" s="36" t="s">
        <v>1621</v>
      </c>
      <c r="AB419" s="47">
        <v>6000000</v>
      </c>
      <c r="AC419" s="41">
        <v>6000000</v>
      </c>
      <c r="AD419" s="3">
        <v>5691000</v>
      </c>
      <c r="AE419" s="16">
        <f t="shared" si="201"/>
        <v>309000</v>
      </c>
      <c r="AF419" s="16">
        <v>0</v>
      </c>
      <c r="AG419" s="17">
        <v>0</v>
      </c>
      <c r="AI419" s="16">
        <v>0</v>
      </c>
      <c r="AK419" s="16">
        <v>0</v>
      </c>
      <c r="AL419" s="11">
        <f t="shared" si="183"/>
        <v>6000000</v>
      </c>
      <c r="AM419" s="16">
        <f t="shared" si="184"/>
        <v>614400</v>
      </c>
      <c r="AN419" s="16">
        <f t="shared" si="185"/>
        <v>240000</v>
      </c>
      <c r="AO419" s="16">
        <f t="shared" si="175"/>
        <v>374400</v>
      </c>
      <c r="AP419" s="16">
        <f t="shared" si="186"/>
        <v>222000</v>
      </c>
      <c r="AQ419" s="16">
        <f t="shared" si="187"/>
        <v>6614400</v>
      </c>
      <c r="AR419" s="16">
        <f t="shared" si="178"/>
        <v>396864</v>
      </c>
      <c r="AS419" s="16">
        <f t="shared" si="188"/>
        <v>43655.040000000001</v>
      </c>
      <c r="AT419" s="16">
        <f t="shared" si="189"/>
        <v>-7937.28</v>
      </c>
      <c r="AU419" s="16">
        <f t="shared" si="190"/>
        <v>7003326.7199999997</v>
      </c>
      <c r="AV419" s="16">
        <f t="shared" si="191"/>
        <v>7011264</v>
      </c>
      <c r="AW419" s="16">
        <f t="shared" si="192"/>
        <v>240000</v>
      </c>
      <c r="AX419" s="16" t="s">
        <v>286</v>
      </c>
      <c r="AZ419" s="17">
        <f t="shared" si="200"/>
        <v>2900</v>
      </c>
      <c r="BA419" s="16">
        <f t="shared" si="193"/>
        <v>5760000</v>
      </c>
      <c r="BB419" s="16">
        <f t="shared" si="194"/>
        <v>5757100</v>
      </c>
      <c r="BC419">
        <v>0.03</v>
      </c>
      <c r="BD419">
        <v>0.01</v>
      </c>
      <c r="BE419" s="37">
        <f t="shared" si="195"/>
        <v>554400</v>
      </c>
      <c r="BF419" s="38">
        <f t="shared" si="196"/>
        <v>342000</v>
      </c>
      <c r="BG419" s="37">
        <f t="shared" si="176"/>
        <v>284550</v>
      </c>
      <c r="BH419" s="37">
        <f t="shared" si="197"/>
        <v>300000</v>
      </c>
      <c r="BI419">
        <v>284550</v>
      </c>
      <c r="BL419" s="8">
        <f t="shared" si="198"/>
        <v>0</v>
      </c>
      <c r="BM419" s="7" t="str">
        <f t="shared" si="179"/>
        <v>Terdaftar BPJS Kes &amp; Naker</v>
      </c>
      <c r="BN419" s="11">
        <f t="shared" si="180"/>
        <v>342000</v>
      </c>
      <c r="BO419" s="11">
        <f t="shared" si="181"/>
        <v>272400</v>
      </c>
      <c r="BP419" s="9">
        <f t="shared" si="199"/>
        <v>0</v>
      </c>
      <c r="BQ419" t="str">
        <f>_xlfn.XLOOKUP(X419,'[2]NON TETAP'!$H:$H,'[2]NON TETAP'!$I:$I)</f>
        <v>GRAMEDIA ASRI MEDIA</v>
      </c>
    </row>
    <row r="420" spans="1:69" x14ac:dyDescent="0.3">
      <c r="A420" s="2">
        <v>419</v>
      </c>
      <c r="B420" s="4" t="s">
        <v>1620</v>
      </c>
      <c r="C420" s="6" t="s">
        <v>241</v>
      </c>
      <c r="D420" s="6"/>
      <c r="E420" s="6" t="s">
        <v>73</v>
      </c>
      <c r="F420" s="6" t="s">
        <v>73</v>
      </c>
      <c r="G420" s="6" t="s">
        <v>73</v>
      </c>
      <c r="H420" s="6"/>
      <c r="I420" s="6"/>
      <c r="J420" s="6"/>
      <c r="K420" s="6">
        <v>800521</v>
      </c>
      <c r="L420" s="6"/>
      <c r="M420" s="6"/>
      <c r="N420" s="46" t="s">
        <v>1619</v>
      </c>
      <c r="O420" s="6">
        <v>2100772787</v>
      </c>
      <c r="P420" s="78" t="s">
        <v>1618</v>
      </c>
      <c r="Q420" s="6">
        <v>10372</v>
      </c>
      <c r="R420" s="6">
        <v>27372</v>
      </c>
      <c r="S420" s="5" t="str">
        <f>VLOOKUP(T420,'[1]Kode Posisi'!$A$3:$B$45,2,)</f>
        <v>Outsourcing Cleaning Service</v>
      </c>
      <c r="T420" s="36" t="s">
        <v>47</v>
      </c>
      <c r="U420" s="44" t="s">
        <v>1594</v>
      </c>
      <c r="V420" s="44" t="s">
        <v>1617</v>
      </c>
      <c r="W420" s="36" t="s">
        <v>1592</v>
      </c>
      <c r="X420" s="36" t="s">
        <v>480</v>
      </c>
      <c r="Y420" s="36" t="s">
        <v>473</v>
      </c>
      <c r="Z420" s="79" t="s">
        <v>1616</v>
      </c>
      <c r="AA420" s="36" t="s">
        <v>1615</v>
      </c>
      <c r="AB420" s="47">
        <v>6000000</v>
      </c>
      <c r="AC420" s="41">
        <v>6000000</v>
      </c>
      <c r="AD420" s="3">
        <v>5691000</v>
      </c>
      <c r="AE420" s="16">
        <f t="shared" si="201"/>
        <v>309000</v>
      </c>
      <c r="AF420" s="16">
        <v>0</v>
      </c>
      <c r="AG420" s="17">
        <v>0</v>
      </c>
      <c r="AI420" s="16">
        <v>0</v>
      </c>
      <c r="AK420" s="16">
        <v>0</v>
      </c>
      <c r="AL420" s="11">
        <f t="shared" si="183"/>
        <v>6000000</v>
      </c>
      <c r="AM420" s="16">
        <f t="shared" si="184"/>
        <v>614400</v>
      </c>
      <c r="AN420" s="16">
        <f t="shared" si="185"/>
        <v>240000</v>
      </c>
      <c r="AO420" s="16">
        <f t="shared" si="175"/>
        <v>374400</v>
      </c>
      <c r="AP420" s="16">
        <f t="shared" si="186"/>
        <v>222000</v>
      </c>
      <c r="AQ420" s="16">
        <f t="shared" si="187"/>
        <v>6614400</v>
      </c>
      <c r="AR420" s="16">
        <f t="shared" si="178"/>
        <v>396864</v>
      </c>
      <c r="AS420" s="16">
        <f t="shared" si="188"/>
        <v>43655.040000000001</v>
      </c>
      <c r="AT420" s="16">
        <f t="shared" si="189"/>
        <v>-7937.28</v>
      </c>
      <c r="AU420" s="16">
        <f t="shared" si="190"/>
        <v>7003326.7199999997</v>
      </c>
      <c r="AV420" s="16">
        <f t="shared" si="191"/>
        <v>7011264</v>
      </c>
      <c r="AW420" s="16">
        <f t="shared" si="192"/>
        <v>240000</v>
      </c>
      <c r="AX420" s="16" t="s">
        <v>91</v>
      </c>
      <c r="AZ420" s="17">
        <f t="shared" si="200"/>
        <v>2900</v>
      </c>
      <c r="BA420" s="16">
        <f t="shared" si="193"/>
        <v>5760000</v>
      </c>
      <c r="BB420" s="16">
        <f t="shared" si="194"/>
        <v>5757100</v>
      </c>
      <c r="BC420" s="15">
        <v>0.03</v>
      </c>
      <c r="BD420">
        <v>0.01</v>
      </c>
      <c r="BE420" s="37">
        <f t="shared" si="195"/>
        <v>554400</v>
      </c>
      <c r="BF420" s="38">
        <f t="shared" si="196"/>
        <v>342000</v>
      </c>
      <c r="BG420" s="37">
        <f t="shared" si="176"/>
        <v>284550</v>
      </c>
      <c r="BH420" s="37">
        <f t="shared" si="197"/>
        <v>300000</v>
      </c>
      <c r="BI420">
        <v>284550</v>
      </c>
      <c r="BL420" s="8">
        <f t="shared" si="198"/>
        <v>0</v>
      </c>
      <c r="BM420" s="7" t="str">
        <f t="shared" si="179"/>
        <v>Terdaftar BPJS Kes &amp; Naker</v>
      </c>
      <c r="BN420" s="11">
        <f t="shared" si="180"/>
        <v>342000</v>
      </c>
      <c r="BO420" s="11">
        <f t="shared" si="181"/>
        <v>272400</v>
      </c>
      <c r="BP420" s="9">
        <f t="shared" si="199"/>
        <v>0</v>
      </c>
      <c r="BQ420" t="str">
        <f>_xlfn.XLOOKUP(X420,'[2]NON TETAP'!$H:$H,'[2]NON TETAP'!$I:$I)</f>
        <v>GRAMEDIA ASRI MEDIA</v>
      </c>
    </row>
    <row r="421" spans="1:69" x14ac:dyDescent="0.3">
      <c r="A421" s="2">
        <v>420</v>
      </c>
      <c r="B421" s="4" t="s">
        <v>1610</v>
      </c>
      <c r="C421" s="6" t="s">
        <v>241</v>
      </c>
      <c r="D421" s="6"/>
      <c r="E421" s="6" t="s">
        <v>73</v>
      </c>
      <c r="F421" s="6" t="s">
        <v>73</v>
      </c>
      <c r="G421" s="6" t="s">
        <v>73</v>
      </c>
      <c r="H421" s="6"/>
      <c r="I421" s="6"/>
      <c r="J421" s="6"/>
      <c r="K421" s="6">
        <v>800522</v>
      </c>
      <c r="L421" s="6"/>
      <c r="M421" s="6"/>
      <c r="N421" s="46" t="s">
        <v>1614</v>
      </c>
      <c r="O421" s="6">
        <v>2235475451</v>
      </c>
      <c r="P421" s="78" t="s">
        <v>1613</v>
      </c>
      <c r="Q421" s="6">
        <v>10372</v>
      </c>
      <c r="R421" s="6">
        <v>27372</v>
      </c>
      <c r="S421" s="5" t="str">
        <f>VLOOKUP(T421,'[1]Kode Posisi'!$A$3:$B$45,2,)</f>
        <v>Outsourcing Cleaning Service</v>
      </c>
      <c r="T421" s="36" t="s">
        <v>47</v>
      </c>
      <c r="U421" s="44" t="s">
        <v>1594</v>
      </c>
      <c r="V421" s="44" t="s">
        <v>1612</v>
      </c>
      <c r="W421" s="36" t="s">
        <v>1592</v>
      </c>
      <c r="X421" s="36" t="s">
        <v>480</v>
      </c>
      <c r="Y421" s="36" t="s">
        <v>473</v>
      </c>
      <c r="Z421" s="79" t="s">
        <v>1611</v>
      </c>
      <c r="AA421" s="36" t="s">
        <v>1610</v>
      </c>
      <c r="AB421" s="47">
        <v>6000000</v>
      </c>
      <c r="AC421" s="41">
        <v>6000000</v>
      </c>
      <c r="AD421" s="3">
        <v>5691000</v>
      </c>
      <c r="AE421" s="16">
        <f t="shared" si="201"/>
        <v>309000</v>
      </c>
      <c r="AF421" s="16">
        <v>0</v>
      </c>
      <c r="AG421" s="17">
        <v>0</v>
      </c>
      <c r="AI421" s="16">
        <v>0</v>
      </c>
      <c r="AK421" s="16">
        <v>0</v>
      </c>
      <c r="AL421" s="11">
        <f t="shared" si="183"/>
        <v>6000000</v>
      </c>
      <c r="AM421" s="16">
        <f t="shared" si="184"/>
        <v>614400</v>
      </c>
      <c r="AN421" s="16">
        <f t="shared" si="185"/>
        <v>240000</v>
      </c>
      <c r="AO421" s="16">
        <f t="shared" si="175"/>
        <v>374400</v>
      </c>
      <c r="AP421" s="16">
        <f t="shared" si="186"/>
        <v>222000</v>
      </c>
      <c r="AQ421" s="16">
        <f t="shared" si="187"/>
        <v>6614400</v>
      </c>
      <c r="AR421" s="16">
        <f t="shared" si="178"/>
        <v>396864</v>
      </c>
      <c r="AS421" s="16">
        <f t="shared" si="188"/>
        <v>43655.040000000001</v>
      </c>
      <c r="AT421" s="16">
        <f t="shared" si="189"/>
        <v>-7937.28</v>
      </c>
      <c r="AU421" s="16">
        <f t="shared" si="190"/>
        <v>7003326.7199999997</v>
      </c>
      <c r="AV421" s="16">
        <f t="shared" si="191"/>
        <v>7011264</v>
      </c>
      <c r="AW421" s="16">
        <f t="shared" si="192"/>
        <v>240000</v>
      </c>
      <c r="AX421" s="16" t="s">
        <v>319</v>
      </c>
      <c r="AZ421" s="17">
        <f t="shared" si="200"/>
        <v>2900</v>
      </c>
      <c r="BA421" s="16">
        <f t="shared" si="193"/>
        <v>5760000</v>
      </c>
      <c r="BB421" s="16">
        <f t="shared" si="194"/>
        <v>5757100</v>
      </c>
      <c r="BC421" s="15">
        <v>0.03</v>
      </c>
      <c r="BD421">
        <v>0.01</v>
      </c>
      <c r="BE421" s="37">
        <f t="shared" si="195"/>
        <v>554400</v>
      </c>
      <c r="BF421" s="38">
        <f t="shared" si="196"/>
        <v>342000</v>
      </c>
      <c r="BG421" s="37">
        <f t="shared" si="176"/>
        <v>284550</v>
      </c>
      <c r="BH421" s="37">
        <f t="shared" si="197"/>
        <v>300000</v>
      </c>
      <c r="BI421">
        <v>284550</v>
      </c>
      <c r="BL421" s="8">
        <f t="shared" si="198"/>
        <v>0</v>
      </c>
      <c r="BM421" s="7" t="str">
        <f t="shared" si="179"/>
        <v>Terdaftar BPJS Kes &amp; Naker</v>
      </c>
      <c r="BN421" s="11">
        <f t="shared" si="180"/>
        <v>342000</v>
      </c>
      <c r="BO421" s="11">
        <f t="shared" si="181"/>
        <v>272400</v>
      </c>
      <c r="BP421" s="9">
        <f t="shared" si="199"/>
        <v>0</v>
      </c>
      <c r="BQ421" t="str">
        <f>_xlfn.XLOOKUP(X421,'[2]NON TETAP'!$H:$H,'[2]NON TETAP'!$I:$I)</f>
        <v>GRAMEDIA ASRI MEDIA</v>
      </c>
    </row>
    <row r="422" spans="1:69" x14ac:dyDescent="0.3">
      <c r="A422" s="2">
        <v>421</v>
      </c>
      <c r="B422" s="4" t="s">
        <v>1609</v>
      </c>
      <c r="C422" s="6" t="s">
        <v>241</v>
      </c>
      <c r="D422" s="6"/>
      <c r="E422" s="6" t="s">
        <v>73</v>
      </c>
      <c r="F422" s="6" t="s">
        <v>73</v>
      </c>
      <c r="G422" s="6" t="s">
        <v>73</v>
      </c>
      <c r="H422" s="6"/>
      <c r="I422" s="6"/>
      <c r="J422" s="6"/>
      <c r="K422" s="6">
        <v>800523</v>
      </c>
      <c r="L422" s="6"/>
      <c r="M422" s="6"/>
      <c r="N422" s="46" t="s">
        <v>1608</v>
      </c>
      <c r="O422" s="6">
        <v>1788475342</v>
      </c>
      <c r="P422" s="78" t="s">
        <v>1607</v>
      </c>
      <c r="Q422" s="6">
        <v>10372</v>
      </c>
      <c r="R422" s="6">
        <v>27372</v>
      </c>
      <c r="S422" s="5" t="str">
        <f>VLOOKUP(T422,'[1]Kode Posisi'!$A$3:$B$45,2,)</f>
        <v>Outsourcing Cleaning Service</v>
      </c>
      <c r="T422" s="36" t="s">
        <v>47</v>
      </c>
      <c r="U422" s="44" t="s">
        <v>1594</v>
      </c>
      <c r="V422" s="44" t="s">
        <v>1606</v>
      </c>
      <c r="W422" s="36" t="s">
        <v>1592</v>
      </c>
      <c r="X422" s="36" t="s">
        <v>480</v>
      </c>
      <c r="Y422" s="36" t="s">
        <v>473</v>
      </c>
      <c r="Z422" s="79" t="s">
        <v>1605</v>
      </c>
      <c r="AA422" s="36" t="s">
        <v>1604</v>
      </c>
      <c r="AB422" s="47">
        <v>6000000</v>
      </c>
      <c r="AC422" s="41">
        <v>6000000</v>
      </c>
      <c r="AD422" s="3">
        <v>5691000</v>
      </c>
      <c r="AE422" s="16">
        <f t="shared" si="201"/>
        <v>309000</v>
      </c>
      <c r="AF422" s="16">
        <v>0</v>
      </c>
      <c r="AG422" s="17">
        <v>0</v>
      </c>
      <c r="AI422" s="16">
        <v>0</v>
      </c>
      <c r="AK422" s="16">
        <v>0</v>
      </c>
      <c r="AL422" s="11">
        <f t="shared" si="183"/>
        <v>6000000</v>
      </c>
      <c r="AM422" s="16">
        <f t="shared" si="184"/>
        <v>614400</v>
      </c>
      <c r="AN422" s="16">
        <f t="shared" si="185"/>
        <v>240000</v>
      </c>
      <c r="AO422" s="16">
        <f t="shared" si="175"/>
        <v>374400</v>
      </c>
      <c r="AP422" s="16">
        <f t="shared" si="186"/>
        <v>222000</v>
      </c>
      <c r="AQ422" s="16">
        <f t="shared" si="187"/>
        <v>6614400</v>
      </c>
      <c r="AR422" s="16">
        <f t="shared" si="178"/>
        <v>396864</v>
      </c>
      <c r="AS422" s="16">
        <f t="shared" si="188"/>
        <v>43655.040000000001</v>
      </c>
      <c r="AT422" s="16">
        <f t="shared" si="189"/>
        <v>-7937.28</v>
      </c>
      <c r="AU422" s="16">
        <f t="shared" si="190"/>
        <v>7003326.7199999997</v>
      </c>
      <c r="AV422" s="16">
        <f t="shared" si="191"/>
        <v>7011264</v>
      </c>
      <c r="AW422" s="16">
        <f t="shared" si="192"/>
        <v>240000</v>
      </c>
      <c r="AX422" s="16" t="s">
        <v>286</v>
      </c>
      <c r="AZ422" s="17">
        <f t="shared" si="200"/>
        <v>2900</v>
      </c>
      <c r="BA422" s="16">
        <f t="shared" si="193"/>
        <v>5760000</v>
      </c>
      <c r="BB422" s="16">
        <f t="shared" si="194"/>
        <v>5757100</v>
      </c>
      <c r="BC422" s="15">
        <v>0.03</v>
      </c>
      <c r="BD422">
        <v>0.01</v>
      </c>
      <c r="BE422" s="37">
        <f t="shared" si="195"/>
        <v>554400</v>
      </c>
      <c r="BF422" s="38">
        <f t="shared" si="196"/>
        <v>342000</v>
      </c>
      <c r="BG422" s="37">
        <f t="shared" si="176"/>
        <v>284550</v>
      </c>
      <c r="BH422" s="37">
        <f t="shared" si="197"/>
        <v>300000</v>
      </c>
      <c r="BI422">
        <v>284550</v>
      </c>
      <c r="BL422" s="8">
        <f t="shared" si="198"/>
        <v>0</v>
      </c>
      <c r="BM422" s="7" t="str">
        <f t="shared" si="179"/>
        <v>Terdaftar BPJS Kes &amp; Naker</v>
      </c>
      <c r="BN422" s="11">
        <f t="shared" si="180"/>
        <v>342000</v>
      </c>
      <c r="BO422" s="11">
        <f t="shared" si="181"/>
        <v>272400</v>
      </c>
      <c r="BP422" s="9">
        <f t="shared" si="199"/>
        <v>0</v>
      </c>
      <c r="BQ422" t="str">
        <f>_xlfn.XLOOKUP(X422,'[2]NON TETAP'!$H:$H,'[2]NON TETAP'!$I:$I)</f>
        <v>GRAMEDIA ASRI MEDIA</v>
      </c>
    </row>
    <row r="423" spans="1:69" x14ac:dyDescent="0.3">
      <c r="A423" s="2">
        <v>422</v>
      </c>
      <c r="B423" s="4" t="s">
        <v>1603</v>
      </c>
      <c r="C423" s="6" t="s">
        <v>241</v>
      </c>
      <c r="D423" s="6"/>
      <c r="E423" s="6" t="s">
        <v>73</v>
      </c>
      <c r="F423" s="6" t="s">
        <v>73</v>
      </c>
      <c r="G423" s="6" t="s">
        <v>73</v>
      </c>
      <c r="H423" s="6"/>
      <c r="I423" s="6"/>
      <c r="J423" s="6"/>
      <c r="K423" s="6">
        <v>800524</v>
      </c>
      <c r="L423" s="6"/>
      <c r="M423" s="6"/>
      <c r="N423" s="46" t="s">
        <v>1602</v>
      </c>
      <c r="O423" s="6">
        <v>1250503503</v>
      </c>
      <c r="P423" s="78" t="s">
        <v>1601</v>
      </c>
      <c r="Q423" s="6">
        <v>10372</v>
      </c>
      <c r="R423" s="6">
        <v>27372</v>
      </c>
      <c r="S423" s="5" t="str">
        <f>VLOOKUP(T423,'[1]Kode Posisi'!$A$3:$B$45,2,)</f>
        <v>Outsourcing Cleaning Service</v>
      </c>
      <c r="T423" s="36" t="s">
        <v>47</v>
      </c>
      <c r="U423" s="44" t="s">
        <v>1594</v>
      </c>
      <c r="V423" s="44" t="s">
        <v>1600</v>
      </c>
      <c r="W423" s="36" t="s">
        <v>1592</v>
      </c>
      <c r="X423" s="36" t="s">
        <v>480</v>
      </c>
      <c r="Y423" s="36" t="s">
        <v>473</v>
      </c>
      <c r="Z423" s="79" t="s">
        <v>1599</v>
      </c>
      <c r="AA423" s="36" t="s">
        <v>1598</v>
      </c>
      <c r="AB423" s="47">
        <v>6000000</v>
      </c>
      <c r="AC423" s="41">
        <v>6000000</v>
      </c>
      <c r="AD423" s="3">
        <v>5691000</v>
      </c>
      <c r="AE423" s="16">
        <f t="shared" si="201"/>
        <v>309000</v>
      </c>
      <c r="AF423" s="16">
        <v>0</v>
      </c>
      <c r="AG423" s="17">
        <v>0</v>
      </c>
      <c r="AI423" s="16">
        <v>0</v>
      </c>
      <c r="AK423" s="16">
        <v>0</v>
      </c>
      <c r="AL423" s="11">
        <f t="shared" si="183"/>
        <v>6000000</v>
      </c>
      <c r="AM423" s="16">
        <f t="shared" si="184"/>
        <v>614400</v>
      </c>
      <c r="AN423" s="16">
        <f t="shared" si="185"/>
        <v>240000</v>
      </c>
      <c r="AO423" s="16">
        <f t="shared" si="175"/>
        <v>374400</v>
      </c>
      <c r="AP423" s="16">
        <f t="shared" si="186"/>
        <v>222000</v>
      </c>
      <c r="AQ423" s="16">
        <f t="shared" si="187"/>
        <v>6614400</v>
      </c>
      <c r="AR423" s="16">
        <f t="shared" si="178"/>
        <v>396864</v>
      </c>
      <c r="AS423" s="16">
        <f t="shared" si="188"/>
        <v>43655.040000000001</v>
      </c>
      <c r="AT423" s="16">
        <f t="shared" si="189"/>
        <v>-7937.28</v>
      </c>
      <c r="AU423" s="16">
        <f t="shared" si="190"/>
        <v>7003326.7199999997</v>
      </c>
      <c r="AV423" s="16">
        <f t="shared" si="191"/>
        <v>7011264</v>
      </c>
      <c r="AW423" s="16">
        <f t="shared" si="192"/>
        <v>240000</v>
      </c>
      <c r="AX423" s="16" t="s">
        <v>235</v>
      </c>
      <c r="AZ423" s="17">
        <f t="shared" si="200"/>
        <v>2900</v>
      </c>
      <c r="BA423" s="16">
        <f t="shared" si="193"/>
        <v>5760000</v>
      </c>
      <c r="BB423" s="16">
        <f t="shared" si="194"/>
        <v>5757100</v>
      </c>
      <c r="BC423" s="15">
        <v>0.03</v>
      </c>
      <c r="BD423">
        <v>0.01</v>
      </c>
      <c r="BE423" s="37">
        <f t="shared" si="195"/>
        <v>554400</v>
      </c>
      <c r="BF423" s="38">
        <f t="shared" si="196"/>
        <v>342000</v>
      </c>
      <c r="BG423" s="37">
        <f t="shared" si="176"/>
        <v>284550</v>
      </c>
      <c r="BH423" s="37">
        <f t="shared" si="197"/>
        <v>300000</v>
      </c>
      <c r="BI423">
        <v>284550</v>
      </c>
      <c r="BL423" s="8">
        <f t="shared" si="198"/>
        <v>0</v>
      </c>
      <c r="BM423" s="7" t="str">
        <f t="shared" si="179"/>
        <v>Terdaftar BPJS Kes &amp; Naker</v>
      </c>
      <c r="BN423" s="11">
        <f t="shared" si="180"/>
        <v>342000</v>
      </c>
      <c r="BO423" s="11">
        <f t="shared" si="181"/>
        <v>272400</v>
      </c>
      <c r="BP423" s="9">
        <f t="shared" si="199"/>
        <v>0</v>
      </c>
      <c r="BQ423" t="str">
        <f>_xlfn.XLOOKUP(X423,'[2]NON TETAP'!$H:$H,'[2]NON TETAP'!$I:$I)</f>
        <v>GRAMEDIA ASRI MEDIA</v>
      </c>
    </row>
    <row r="424" spans="1:69" x14ac:dyDescent="0.3">
      <c r="A424" s="2">
        <v>423</v>
      </c>
      <c r="B424" s="4" t="s">
        <v>1597</v>
      </c>
      <c r="C424" s="6" t="s">
        <v>241</v>
      </c>
      <c r="D424" s="6"/>
      <c r="E424" s="6" t="s">
        <v>73</v>
      </c>
      <c r="F424" s="6" t="s">
        <v>73</v>
      </c>
      <c r="G424" s="6"/>
      <c r="H424" s="6"/>
      <c r="I424" s="6"/>
      <c r="J424" s="6"/>
      <c r="K424" s="6">
        <v>800525</v>
      </c>
      <c r="L424" s="6"/>
      <c r="M424" s="6"/>
      <c r="N424" s="46" t="s">
        <v>1596</v>
      </c>
      <c r="O424" s="6">
        <v>1619116738</v>
      </c>
      <c r="P424" s="78" t="s">
        <v>1595</v>
      </c>
      <c r="Q424" s="6">
        <v>18106</v>
      </c>
      <c r="R424" s="6">
        <v>27190</v>
      </c>
      <c r="S424" s="5" t="str">
        <f>VLOOKUP(T424,'[1]Kode Posisi'!$A$3:$B$45,2,)</f>
        <v>Outsourcing Petugas Pemeliharaan Gedung</v>
      </c>
      <c r="T424" s="36" t="s">
        <v>247</v>
      </c>
      <c r="U424" s="44" t="s">
        <v>1594</v>
      </c>
      <c r="V424" s="44" t="s">
        <v>1593</v>
      </c>
      <c r="W424" s="36" t="s">
        <v>1592</v>
      </c>
      <c r="X424" s="36" t="s">
        <v>1591</v>
      </c>
      <c r="Y424" s="36" t="s">
        <v>52</v>
      </c>
      <c r="Z424" s="79" t="s">
        <v>1590</v>
      </c>
      <c r="AA424" s="36" t="s">
        <v>1589</v>
      </c>
      <c r="AB424" s="47">
        <v>6000000</v>
      </c>
      <c r="AC424" s="41">
        <v>6000000</v>
      </c>
      <c r="AD424" s="3">
        <v>5691000</v>
      </c>
      <c r="AE424" s="16">
        <f t="shared" si="201"/>
        <v>309000</v>
      </c>
      <c r="AF424" s="16">
        <v>0</v>
      </c>
      <c r="AG424" s="17">
        <v>0</v>
      </c>
      <c r="AI424" s="16">
        <v>0</v>
      </c>
      <c r="AK424" s="16">
        <v>0</v>
      </c>
      <c r="AL424" s="11">
        <f t="shared" si="183"/>
        <v>6000000</v>
      </c>
      <c r="AM424" s="16">
        <f t="shared" si="184"/>
        <v>614400</v>
      </c>
      <c r="AN424" s="16">
        <f t="shared" si="185"/>
        <v>240000</v>
      </c>
      <c r="AO424" s="16">
        <f t="shared" si="175"/>
        <v>374400</v>
      </c>
      <c r="AP424" s="16">
        <f t="shared" si="186"/>
        <v>222000</v>
      </c>
      <c r="AQ424" s="16">
        <f t="shared" si="187"/>
        <v>6614400</v>
      </c>
      <c r="AR424" s="16">
        <f t="shared" si="178"/>
        <v>396864</v>
      </c>
      <c r="AS424" s="16">
        <f t="shared" si="188"/>
        <v>43655.040000000001</v>
      </c>
      <c r="AT424" s="16">
        <f t="shared" si="189"/>
        <v>-7937.28</v>
      </c>
      <c r="AU424" s="16">
        <f t="shared" si="190"/>
        <v>7003326.7199999997</v>
      </c>
      <c r="AV424" s="16">
        <f t="shared" si="191"/>
        <v>7011264</v>
      </c>
      <c r="AW424" s="16">
        <f t="shared" si="192"/>
        <v>240000</v>
      </c>
      <c r="AX424" s="16" t="s">
        <v>235</v>
      </c>
      <c r="AZ424" s="17">
        <f t="shared" si="200"/>
        <v>0</v>
      </c>
      <c r="BA424" s="16">
        <f t="shared" si="193"/>
        <v>5760000</v>
      </c>
      <c r="BB424" s="16">
        <f t="shared" si="194"/>
        <v>5760000</v>
      </c>
      <c r="BC424" s="15">
        <v>0.03</v>
      </c>
      <c r="BD424">
        <v>0.01</v>
      </c>
      <c r="BE424" s="37">
        <f t="shared" si="195"/>
        <v>554400</v>
      </c>
      <c r="BF424" s="38">
        <f t="shared" si="196"/>
        <v>342000</v>
      </c>
      <c r="BG424" s="37">
        <f t="shared" si="176"/>
        <v>284550</v>
      </c>
      <c r="BH424" s="37">
        <f t="shared" si="197"/>
        <v>300000</v>
      </c>
      <c r="BI424">
        <v>284550</v>
      </c>
      <c r="BL424" s="8">
        <f t="shared" si="198"/>
        <v>0</v>
      </c>
      <c r="BM424" s="7" t="str">
        <f t="shared" si="179"/>
        <v>Terdaftar BPJS Kes &amp; Naker</v>
      </c>
      <c r="BN424" s="11">
        <f t="shared" si="180"/>
        <v>342000</v>
      </c>
      <c r="BO424" s="11">
        <f t="shared" si="181"/>
        <v>272400</v>
      </c>
      <c r="BP424" s="9">
        <f t="shared" si="199"/>
        <v>0</v>
      </c>
      <c r="BQ424" t="s">
        <v>8</v>
      </c>
    </row>
    <row r="425" spans="1:69" x14ac:dyDescent="0.3">
      <c r="A425" s="2">
        <v>424</v>
      </c>
      <c r="B425" s="4" t="s">
        <v>1588</v>
      </c>
      <c r="C425" s="6" t="s">
        <v>241</v>
      </c>
      <c r="D425" s="6"/>
      <c r="E425" s="6" t="s">
        <v>73</v>
      </c>
      <c r="F425" s="6" t="s">
        <v>73</v>
      </c>
      <c r="G425" s="6"/>
      <c r="H425" s="6"/>
      <c r="I425" s="6"/>
      <c r="J425" s="6"/>
      <c r="K425" s="6">
        <v>800526</v>
      </c>
      <c r="L425" s="6"/>
      <c r="M425" s="6" t="s">
        <v>1587</v>
      </c>
      <c r="N425" s="46" t="s">
        <v>1586</v>
      </c>
      <c r="O425" s="6">
        <v>1152070694</v>
      </c>
      <c r="P425" s="80" t="s">
        <v>1585</v>
      </c>
      <c r="Q425" s="6">
        <v>10435</v>
      </c>
      <c r="R425" s="6">
        <v>27435</v>
      </c>
      <c r="S425" s="5" t="str">
        <f>VLOOKUP(T425,'[1]Kode Posisi'!$A$3:$B$45,2,)</f>
        <v>Outsourcing Cleaning Service</v>
      </c>
      <c r="T425" s="36" t="s">
        <v>47</v>
      </c>
      <c r="U425" s="44" t="s">
        <v>1545</v>
      </c>
      <c r="V425" s="44" t="s">
        <v>1584</v>
      </c>
      <c r="W425" s="36" t="s">
        <v>1543</v>
      </c>
      <c r="X425" s="36" t="s">
        <v>1558</v>
      </c>
      <c r="Y425" s="36" t="s">
        <v>473</v>
      </c>
      <c r="Z425" s="76" t="s">
        <v>1583</v>
      </c>
      <c r="AA425" s="36" t="s">
        <v>1582</v>
      </c>
      <c r="AB425" s="47">
        <v>5887000</v>
      </c>
      <c r="AC425" s="41">
        <v>5887000</v>
      </c>
      <c r="AD425" s="3">
        <v>5600000</v>
      </c>
      <c r="AE425" s="16">
        <f t="shared" si="201"/>
        <v>287000</v>
      </c>
      <c r="AF425" s="16">
        <v>0</v>
      </c>
      <c r="AG425" s="17">
        <v>0</v>
      </c>
      <c r="AI425" s="16">
        <v>0</v>
      </c>
      <c r="AK425" s="16">
        <v>0</v>
      </c>
      <c r="AL425" s="11">
        <f t="shared" si="183"/>
        <v>5887000</v>
      </c>
      <c r="AM425" s="16">
        <f t="shared" si="184"/>
        <v>602828.80000000005</v>
      </c>
      <c r="AN425" s="16">
        <f t="shared" si="185"/>
        <v>235480</v>
      </c>
      <c r="AO425" s="16">
        <f t="shared" si="175"/>
        <v>367348.8</v>
      </c>
      <c r="AP425" s="16">
        <f t="shared" si="186"/>
        <v>217819</v>
      </c>
      <c r="AQ425" s="16">
        <f t="shared" si="187"/>
        <v>6489828.7999999998</v>
      </c>
      <c r="AR425" s="16">
        <f t="shared" si="178"/>
        <v>389389.728</v>
      </c>
      <c r="AS425" s="16">
        <f t="shared" si="188"/>
        <v>42832.870080000001</v>
      </c>
      <c r="AT425" s="16">
        <f t="shared" si="189"/>
        <v>-7787.7945600000003</v>
      </c>
      <c r="AU425" s="16">
        <f t="shared" si="190"/>
        <v>6871430.7334399996</v>
      </c>
      <c r="AV425" s="16">
        <f t="shared" si="191"/>
        <v>6879218.5279999999</v>
      </c>
      <c r="AW425" s="16">
        <f t="shared" si="192"/>
        <v>235480</v>
      </c>
      <c r="AX425" s="16" t="s">
        <v>235</v>
      </c>
      <c r="AZ425" s="17">
        <f t="shared" si="200"/>
        <v>2900</v>
      </c>
      <c r="BA425" s="16">
        <f t="shared" si="193"/>
        <v>5651520</v>
      </c>
      <c r="BB425" s="16">
        <f t="shared" si="194"/>
        <v>5648620</v>
      </c>
      <c r="BC425">
        <v>0.03</v>
      </c>
      <c r="BD425">
        <v>0.01</v>
      </c>
      <c r="BE425" s="37">
        <f t="shared" si="195"/>
        <v>543958.79999999993</v>
      </c>
      <c r="BF425" s="38">
        <f t="shared" si="196"/>
        <v>335559</v>
      </c>
      <c r="BG425" s="37">
        <f t="shared" si="176"/>
        <v>280000</v>
      </c>
      <c r="BH425" s="37">
        <f t="shared" si="197"/>
        <v>294350</v>
      </c>
      <c r="BI425">
        <v>280000</v>
      </c>
      <c r="BJ425" s="2">
        <v>280000</v>
      </c>
      <c r="BL425" s="8">
        <f t="shared" si="198"/>
        <v>0</v>
      </c>
      <c r="BM425" s="7" t="str">
        <f t="shared" si="179"/>
        <v>Terdaftar BPJS Kes &amp; Naker</v>
      </c>
      <c r="BN425" s="11">
        <f t="shared" si="180"/>
        <v>335559</v>
      </c>
      <c r="BO425" s="11">
        <f t="shared" si="181"/>
        <v>267269.8</v>
      </c>
      <c r="BP425" s="9">
        <f t="shared" si="199"/>
        <v>0</v>
      </c>
      <c r="BQ425" t="str">
        <f>_xlfn.XLOOKUP(X425,'[2]NON TETAP'!$H:$H,'[2]NON TETAP'!$I:$I)</f>
        <v>GRAMEDIA ASRI MEDIA</v>
      </c>
    </row>
    <row r="426" spans="1:69" x14ac:dyDescent="0.3">
      <c r="A426" s="2">
        <v>425</v>
      </c>
      <c r="B426" s="4" t="s">
        <v>1581</v>
      </c>
      <c r="C426" s="6" t="s">
        <v>241</v>
      </c>
      <c r="D426" s="6"/>
      <c r="E426" s="6" t="s">
        <v>73</v>
      </c>
      <c r="F426" s="6" t="s">
        <v>73</v>
      </c>
      <c r="G426" s="6"/>
      <c r="H426" s="6"/>
      <c r="I426" s="6"/>
      <c r="J426" s="6"/>
      <c r="K426" s="6">
        <v>800527</v>
      </c>
      <c r="L426" s="6"/>
      <c r="M426" s="6" t="s">
        <v>1580</v>
      </c>
      <c r="N426" s="46" t="s">
        <v>1579</v>
      </c>
      <c r="O426" s="6">
        <v>1136626558</v>
      </c>
      <c r="P426" s="80" t="s">
        <v>1578</v>
      </c>
      <c r="Q426" s="6">
        <v>10435</v>
      </c>
      <c r="R426" s="6">
        <v>27435</v>
      </c>
      <c r="S426" s="5" t="str">
        <f>VLOOKUP(T426,'[1]Kode Posisi'!$A$3:$B$45,2,)</f>
        <v>Outsourcing Cleaning Service</v>
      </c>
      <c r="T426" s="36" t="s">
        <v>47</v>
      </c>
      <c r="U426" s="44" t="s">
        <v>1545</v>
      </c>
      <c r="V426" s="44" t="s">
        <v>1577</v>
      </c>
      <c r="W426" s="36" t="s">
        <v>1543</v>
      </c>
      <c r="X426" s="36" t="s">
        <v>1558</v>
      </c>
      <c r="Y426" s="36" t="s">
        <v>1294</v>
      </c>
      <c r="Z426" s="76" t="s">
        <v>1576</v>
      </c>
      <c r="AA426" s="36" t="s">
        <v>1575</v>
      </c>
      <c r="AB426" s="47">
        <v>5887000</v>
      </c>
      <c r="AC426" s="41">
        <v>5887000</v>
      </c>
      <c r="AD426" s="3">
        <v>5600000</v>
      </c>
      <c r="AE426" s="16">
        <f t="shared" si="201"/>
        <v>287000</v>
      </c>
      <c r="AF426" s="16">
        <v>0</v>
      </c>
      <c r="AG426" s="17">
        <v>0</v>
      </c>
      <c r="AI426" s="16">
        <v>0</v>
      </c>
      <c r="AK426" s="16">
        <v>0</v>
      </c>
      <c r="AL426" s="11">
        <f t="shared" si="183"/>
        <v>5887000</v>
      </c>
      <c r="AM426" s="16">
        <f t="shared" si="184"/>
        <v>602828.80000000005</v>
      </c>
      <c r="AN426" s="16">
        <f t="shared" si="185"/>
        <v>235480</v>
      </c>
      <c r="AO426" s="16">
        <f t="shared" si="175"/>
        <v>367348.8</v>
      </c>
      <c r="AP426" s="16">
        <f t="shared" si="186"/>
        <v>217819</v>
      </c>
      <c r="AQ426" s="16">
        <f t="shared" si="187"/>
        <v>6489828.7999999998</v>
      </c>
      <c r="AR426" s="16">
        <f t="shared" si="178"/>
        <v>389389.728</v>
      </c>
      <c r="AS426" s="16">
        <f t="shared" si="188"/>
        <v>42832.870080000001</v>
      </c>
      <c r="AT426" s="16">
        <f t="shared" si="189"/>
        <v>-7787.7945600000003</v>
      </c>
      <c r="AU426" s="16">
        <f t="shared" si="190"/>
        <v>6871430.7334399996</v>
      </c>
      <c r="AV426" s="16">
        <f t="shared" si="191"/>
        <v>6879218.5279999999</v>
      </c>
      <c r="AW426" s="16">
        <f t="shared" si="192"/>
        <v>235480</v>
      </c>
      <c r="AX426" s="16" t="s">
        <v>286</v>
      </c>
      <c r="AZ426" s="17">
        <f t="shared" si="200"/>
        <v>2900</v>
      </c>
      <c r="BA426" s="16">
        <f t="shared" si="193"/>
        <v>5651520</v>
      </c>
      <c r="BB426" s="16">
        <f t="shared" si="194"/>
        <v>5648620</v>
      </c>
      <c r="BC426">
        <v>0.03</v>
      </c>
      <c r="BD426">
        <v>0.01</v>
      </c>
      <c r="BE426" s="37">
        <f t="shared" si="195"/>
        <v>543958.79999999993</v>
      </c>
      <c r="BF426" s="38">
        <f t="shared" si="196"/>
        <v>335559</v>
      </c>
      <c r="BG426" s="37">
        <f t="shared" si="176"/>
        <v>280000</v>
      </c>
      <c r="BH426" s="37">
        <f t="shared" si="197"/>
        <v>294350</v>
      </c>
      <c r="BI426">
        <v>280000</v>
      </c>
      <c r="BL426" s="8">
        <f t="shared" si="198"/>
        <v>0</v>
      </c>
      <c r="BM426" s="7" t="str">
        <f t="shared" si="179"/>
        <v>Terdaftar BPJS Kes &amp; Naker</v>
      </c>
      <c r="BN426" s="11">
        <f t="shared" si="180"/>
        <v>335559</v>
      </c>
      <c r="BO426" s="11">
        <f t="shared" si="181"/>
        <v>267269.8</v>
      </c>
      <c r="BP426" s="9">
        <f t="shared" si="199"/>
        <v>0</v>
      </c>
      <c r="BQ426" t="str">
        <f>_xlfn.XLOOKUP(X426,'[2]NON TETAP'!$H:$H,'[2]NON TETAP'!$I:$I)</f>
        <v>GRAMEDIA ASRI MEDIA</v>
      </c>
    </row>
    <row r="427" spans="1:69" x14ac:dyDescent="0.3">
      <c r="A427" s="2">
        <v>426</v>
      </c>
      <c r="B427" s="4" t="s">
        <v>1569</v>
      </c>
      <c r="C427" s="6" t="s">
        <v>241</v>
      </c>
      <c r="D427" s="6"/>
      <c r="E427" s="6" t="s">
        <v>73</v>
      </c>
      <c r="F427" s="6" t="s">
        <v>73</v>
      </c>
      <c r="G427" s="6"/>
      <c r="H427" s="6"/>
      <c r="I427" s="6"/>
      <c r="J427" s="6"/>
      <c r="K427" s="6">
        <v>800528</v>
      </c>
      <c r="L427" s="6"/>
      <c r="M427" s="6" t="s">
        <v>1574</v>
      </c>
      <c r="N427" s="46" t="s">
        <v>1573</v>
      </c>
      <c r="O427" s="6">
        <v>1846849678</v>
      </c>
      <c r="P427" s="80" t="s">
        <v>1572</v>
      </c>
      <c r="Q427" s="6">
        <v>10435</v>
      </c>
      <c r="R427" s="6">
        <v>27435</v>
      </c>
      <c r="S427" s="5" t="str">
        <f>VLOOKUP(T427,'[1]Kode Posisi'!$A$3:$B$45,2,)</f>
        <v>Outsourcing Cleaning Service</v>
      </c>
      <c r="T427" s="36" t="s">
        <v>47</v>
      </c>
      <c r="U427" s="44" t="s">
        <v>1545</v>
      </c>
      <c r="V427" s="44" t="s">
        <v>1571</v>
      </c>
      <c r="W427" s="36" t="s">
        <v>1543</v>
      </c>
      <c r="X427" s="36" t="s">
        <v>1558</v>
      </c>
      <c r="Y427" s="36" t="s">
        <v>473</v>
      </c>
      <c r="Z427" s="76" t="s">
        <v>1570</v>
      </c>
      <c r="AA427" s="36" t="s">
        <v>1569</v>
      </c>
      <c r="AB427" s="47">
        <v>5887000</v>
      </c>
      <c r="AC427" s="41">
        <v>5887000</v>
      </c>
      <c r="AD427" s="3">
        <v>5600000</v>
      </c>
      <c r="AE427" s="16">
        <f t="shared" si="201"/>
        <v>287000</v>
      </c>
      <c r="AF427" s="16">
        <v>0</v>
      </c>
      <c r="AG427" s="17">
        <v>0</v>
      </c>
      <c r="AI427" s="16">
        <v>0</v>
      </c>
      <c r="AK427" s="16">
        <v>0</v>
      </c>
      <c r="AL427" s="11">
        <f t="shared" si="183"/>
        <v>5887000</v>
      </c>
      <c r="AM427" s="16">
        <f t="shared" si="184"/>
        <v>602828.80000000005</v>
      </c>
      <c r="AN427" s="16">
        <f t="shared" si="185"/>
        <v>235480</v>
      </c>
      <c r="AO427" s="16">
        <f t="shared" si="175"/>
        <v>367348.8</v>
      </c>
      <c r="AP427" s="16">
        <f t="shared" si="186"/>
        <v>217819</v>
      </c>
      <c r="AQ427" s="16">
        <f t="shared" si="187"/>
        <v>6489828.7999999998</v>
      </c>
      <c r="AR427" s="16">
        <f t="shared" si="178"/>
        <v>389389.728</v>
      </c>
      <c r="AS427" s="16">
        <f t="shared" si="188"/>
        <v>42832.870080000001</v>
      </c>
      <c r="AT427" s="16">
        <f t="shared" si="189"/>
        <v>-7787.7945600000003</v>
      </c>
      <c r="AU427" s="16">
        <f t="shared" si="190"/>
        <v>6871430.7334399996</v>
      </c>
      <c r="AV427" s="16">
        <f t="shared" si="191"/>
        <v>6879218.5279999999</v>
      </c>
      <c r="AW427" s="16">
        <f t="shared" si="192"/>
        <v>235480</v>
      </c>
      <c r="AX427" s="16" t="s">
        <v>477</v>
      </c>
      <c r="AZ427" s="17">
        <f t="shared" si="200"/>
        <v>2900</v>
      </c>
      <c r="BA427" s="16">
        <f t="shared" si="193"/>
        <v>5651520</v>
      </c>
      <c r="BB427" s="16">
        <f t="shared" si="194"/>
        <v>5648620</v>
      </c>
      <c r="BC427">
        <v>0.03</v>
      </c>
      <c r="BD427">
        <v>0.01</v>
      </c>
      <c r="BE427" s="37">
        <f t="shared" si="195"/>
        <v>543958.79999999993</v>
      </c>
      <c r="BF427" s="38">
        <f t="shared" si="196"/>
        <v>335559</v>
      </c>
      <c r="BG427" s="37">
        <f t="shared" si="176"/>
        <v>280000</v>
      </c>
      <c r="BH427" s="37">
        <f t="shared" si="197"/>
        <v>294350</v>
      </c>
      <c r="BI427">
        <v>280000</v>
      </c>
      <c r="BL427" s="8">
        <f t="shared" si="198"/>
        <v>0</v>
      </c>
      <c r="BM427" s="7" t="str">
        <f t="shared" si="179"/>
        <v>Terdaftar BPJS Kes &amp; Naker</v>
      </c>
      <c r="BN427" s="11">
        <f t="shared" si="180"/>
        <v>335559</v>
      </c>
      <c r="BO427" s="11">
        <f t="shared" si="181"/>
        <v>267269.8</v>
      </c>
      <c r="BP427" s="9">
        <f t="shared" si="199"/>
        <v>0</v>
      </c>
      <c r="BQ427" t="str">
        <f>_xlfn.XLOOKUP(X427,'[2]NON TETAP'!$H:$H,'[2]NON TETAP'!$I:$I)</f>
        <v>GRAMEDIA ASRI MEDIA</v>
      </c>
    </row>
    <row r="428" spans="1:69" ht="26.4" x14ac:dyDescent="0.3">
      <c r="A428" s="2">
        <v>427</v>
      </c>
      <c r="B428" s="4" t="s">
        <v>1563</v>
      </c>
      <c r="C428" s="6" t="s">
        <v>241</v>
      </c>
      <c r="D428" s="6"/>
      <c r="E428" s="6" t="s">
        <v>73</v>
      </c>
      <c r="F428" s="6" t="s">
        <v>73</v>
      </c>
      <c r="G428" s="6"/>
      <c r="H428" s="6"/>
      <c r="I428" s="6"/>
      <c r="J428" s="6"/>
      <c r="K428" s="6">
        <v>800529</v>
      </c>
      <c r="L428" s="6"/>
      <c r="M428" s="6" t="s">
        <v>1568</v>
      </c>
      <c r="N428" s="46" t="s">
        <v>1567</v>
      </c>
      <c r="O428" s="6">
        <v>2282810591</v>
      </c>
      <c r="P428" s="80" t="s">
        <v>1566</v>
      </c>
      <c r="Q428" s="6">
        <v>10435</v>
      </c>
      <c r="R428" s="6">
        <v>27435</v>
      </c>
      <c r="S428" s="5" t="str">
        <f>VLOOKUP(T428,'[1]Kode Posisi'!$A$3:$B$45,2,)</f>
        <v>Outsourcing Cleaning Service</v>
      </c>
      <c r="T428" s="36" t="s">
        <v>47</v>
      </c>
      <c r="U428" s="44" t="s">
        <v>1545</v>
      </c>
      <c r="V428" s="44" t="s">
        <v>1565</v>
      </c>
      <c r="W428" s="36" t="s">
        <v>1543</v>
      </c>
      <c r="X428" s="36" t="s">
        <v>1558</v>
      </c>
      <c r="Y428" s="36" t="s">
        <v>473</v>
      </c>
      <c r="Z428" s="82" t="s">
        <v>1564</v>
      </c>
      <c r="AA428" s="81" t="s">
        <v>1563</v>
      </c>
      <c r="AB428" s="47">
        <v>5887000</v>
      </c>
      <c r="AC428" s="41">
        <v>5887000</v>
      </c>
      <c r="AD428" s="3">
        <v>5600000</v>
      </c>
      <c r="AE428" s="16">
        <f t="shared" si="201"/>
        <v>287000</v>
      </c>
      <c r="AF428" s="16">
        <v>0</v>
      </c>
      <c r="AG428" s="17">
        <v>0</v>
      </c>
      <c r="AI428" s="16">
        <v>0</v>
      </c>
      <c r="AK428" s="16">
        <v>0</v>
      </c>
      <c r="AL428" s="11">
        <f t="shared" si="183"/>
        <v>5887000</v>
      </c>
      <c r="AM428" s="16">
        <f t="shared" si="184"/>
        <v>602828.80000000005</v>
      </c>
      <c r="AN428" s="16">
        <f t="shared" si="185"/>
        <v>235480</v>
      </c>
      <c r="AO428" s="16">
        <f t="shared" si="175"/>
        <v>367348.8</v>
      </c>
      <c r="AP428" s="16">
        <f t="shared" si="186"/>
        <v>217819</v>
      </c>
      <c r="AQ428" s="16">
        <f t="shared" si="187"/>
        <v>6489828.7999999998</v>
      </c>
      <c r="AR428" s="16">
        <f t="shared" si="178"/>
        <v>389389.728</v>
      </c>
      <c r="AS428" s="16">
        <f t="shared" si="188"/>
        <v>42832.870080000001</v>
      </c>
      <c r="AT428" s="16">
        <f t="shared" si="189"/>
        <v>-7787.7945600000003</v>
      </c>
      <c r="AU428" s="16">
        <f t="shared" si="190"/>
        <v>6871430.7334399996</v>
      </c>
      <c r="AV428" s="16">
        <f t="shared" si="191"/>
        <v>6879218.5279999999</v>
      </c>
      <c r="AW428" s="16">
        <f t="shared" si="192"/>
        <v>235480</v>
      </c>
      <c r="AX428" s="16" t="s">
        <v>286</v>
      </c>
      <c r="AZ428" s="17">
        <f t="shared" si="200"/>
        <v>2900</v>
      </c>
      <c r="BA428" s="16">
        <f t="shared" si="193"/>
        <v>5651520</v>
      </c>
      <c r="BB428" s="16">
        <f t="shared" si="194"/>
        <v>5648620</v>
      </c>
      <c r="BC428">
        <v>0.03</v>
      </c>
      <c r="BD428">
        <v>0.01</v>
      </c>
      <c r="BE428" s="37">
        <f t="shared" si="195"/>
        <v>543958.79999999993</v>
      </c>
      <c r="BF428" s="38">
        <f t="shared" si="196"/>
        <v>335559</v>
      </c>
      <c r="BG428" s="37">
        <f t="shared" si="176"/>
        <v>280000</v>
      </c>
      <c r="BH428" s="37">
        <f t="shared" si="197"/>
        <v>294350</v>
      </c>
      <c r="BI428">
        <v>280000</v>
      </c>
      <c r="BL428" s="8">
        <f t="shared" si="198"/>
        <v>0</v>
      </c>
      <c r="BM428" s="7" t="str">
        <f t="shared" si="179"/>
        <v>Terdaftar BPJS Kes &amp; Naker</v>
      </c>
      <c r="BN428" s="11">
        <f t="shared" si="180"/>
        <v>335559</v>
      </c>
      <c r="BO428" s="11">
        <f t="shared" si="181"/>
        <v>267269.8</v>
      </c>
      <c r="BP428" s="9">
        <f t="shared" si="199"/>
        <v>0</v>
      </c>
      <c r="BQ428" t="str">
        <f>_xlfn.XLOOKUP(X428,'[2]NON TETAP'!$H:$H,'[2]NON TETAP'!$I:$I)</f>
        <v>GRAMEDIA ASRI MEDIA</v>
      </c>
    </row>
    <row r="429" spans="1:69" x14ac:dyDescent="0.3">
      <c r="A429" s="2">
        <v>428</v>
      </c>
      <c r="B429" s="4" t="s">
        <v>1556</v>
      </c>
      <c r="C429" s="6" t="s">
        <v>241</v>
      </c>
      <c r="D429" s="6"/>
      <c r="E429" s="6" t="s">
        <v>73</v>
      </c>
      <c r="F429" s="6" t="s">
        <v>73</v>
      </c>
      <c r="G429" s="6"/>
      <c r="H429" s="6"/>
      <c r="I429" s="6"/>
      <c r="J429" s="6"/>
      <c r="K429" s="6">
        <v>800530</v>
      </c>
      <c r="L429" s="6"/>
      <c r="M429" s="6" t="s">
        <v>1562</v>
      </c>
      <c r="N429" s="46" t="s">
        <v>1561</v>
      </c>
      <c r="O429" s="6">
        <v>566398877</v>
      </c>
      <c r="P429" s="80" t="s">
        <v>1560</v>
      </c>
      <c r="Q429" s="6">
        <v>10435</v>
      </c>
      <c r="R429" s="6">
        <v>27435</v>
      </c>
      <c r="S429" s="5" t="str">
        <f>VLOOKUP(T429,'[1]Kode Posisi'!$A$3:$B$45,2,)</f>
        <v>Outsourcing Cleaning Service</v>
      </c>
      <c r="T429" s="36" t="s">
        <v>47</v>
      </c>
      <c r="U429" s="44" t="s">
        <v>1545</v>
      </c>
      <c r="V429" s="44" t="s">
        <v>1559</v>
      </c>
      <c r="W429" s="36" t="s">
        <v>1543</v>
      </c>
      <c r="X429" s="36" t="s">
        <v>1558</v>
      </c>
      <c r="Y429" s="36" t="s">
        <v>473</v>
      </c>
      <c r="Z429" s="76" t="s">
        <v>1557</v>
      </c>
      <c r="AA429" s="36" t="s">
        <v>1556</v>
      </c>
      <c r="AB429" s="47">
        <v>5887000</v>
      </c>
      <c r="AC429" s="41">
        <v>5887000</v>
      </c>
      <c r="AD429" s="3">
        <v>5600000</v>
      </c>
      <c r="AE429" s="16">
        <f t="shared" si="201"/>
        <v>287000</v>
      </c>
      <c r="AF429" s="16">
        <v>0</v>
      </c>
      <c r="AG429" s="17">
        <v>0</v>
      </c>
      <c r="AI429" s="16">
        <v>0</v>
      </c>
      <c r="AK429" s="16">
        <v>0</v>
      </c>
      <c r="AL429" s="11">
        <f t="shared" si="183"/>
        <v>5887000</v>
      </c>
      <c r="AM429" s="16">
        <f t="shared" si="184"/>
        <v>602828.80000000005</v>
      </c>
      <c r="AN429" s="16">
        <f t="shared" si="185"/>
        <v>235480</v>
      </c>
      <c r="AO429" s="16">
        <f t="shared" si="175"/>
        <v>367348.8</v>
      </c>
      <c r="AP429" s="16">
        <f t="shared" si="186"/>
        <v>217819</v>
      </c>
      <c r="AQ429" s="16">
        <f t="shared" si="187"/>
        <v>6489828.7999999998</v>
      </c>
      <c r="AR429" s="16">
        <f t="shared" si="178"/>
        <v>389389.728</v>
      </c>
      <c r="AS429" s="16">
        <f t="shared" si="188"/>
        <v>42832.870080000001</v>
      </c>
      <c r="AT429" s="16">
        <f t="shared" si="189"/>
        <v>-7787.7945600000003</v>
      </c>
      <c r="AU429" s="16">
        <f t="shared" si="190"/>
        <v>6871430.7334399996</v>
      </c>
      <c r="AV429" s="16">
        <f t="shared" si="191"/>
        <v>6879218.5279999999</v>
      </c>
      <c r="AW429" s="16">
        <f t="shared" si="192"/>
        <v>235480</v>
      </c>
      <c r="AX429" s="16" t="s">
        <v>319</v>
      </c>
      <c r="AZ429" s="17">
        <f t="shared" si="200"/>
        <v>2900</v>
      </c>
      <c r="BA429" s="16">
        <f t="shared" si="193"/>
        <v>5651520</v>
      </c>
      <c r="BB429" s="16">
        <f t="shared" si="194"/>
        <v>5648620</v>
      </c>
      <c r="BC429">
        <v>0.03</v>
      </c>
      <c r="BD429">
        <v>0.01</v>
      </c>
      <c r="BE429" s="37">
        <f t="shared" si="195"/>
        <v>543958.79999999993</v>
      </c>
      <c r="BF429" s="38">
        <f t="shared" si="196"/>
        <v>335559</v>
      </c>
      <c r="BG429" s="37">
        <f t="shared" si="176"/>
        <v>280000</v>
      </c>
      <c r="BH429" s="37">
        <f t="shared" si="197"/>
        <v>294350</v>
      </c>
      <c r="BI429">
        <v>280000</v>
      </c>
      <c r="BL429" s="8">
        <f t="shared" si="198"/>
        <v>0</v>
      </c>
      <c r="BM429" s="7" t="str">
        <f t="shared" si="179"/>
        <v>Terdaftar BPJS Kes &amp; Naker</v>
      </c>
      <c r="BN429" s="11">
        <f t="shared" si="180"/>
        <v>335559</v>
      </c>
      <c r="BO429" s="11">
        <f t="shared" si="181"/>
        <v>267269.8</v>
      </c>
      <c r="BP429" s="9">
        <f t="shared" si="199"/>
        <v>0</v>
      </c>
      <c r="BQ429" t="str">
        <f>_xlfn.XLOOKUP(X429,'[2]NON TETAP'!$H:$H,'[2]NON TETAP'!$I:$I)</f>
        <v>GRAMEDIA ASRI MEDIA</v>
      </c>
    </row>
    <row r="430" spans="1:69" x14ac:dyDescent="0.3">
      <c r="A430" s="2">
        <v>429</v>
      </c>
      <c r="B430" s="4" t="s">
        <v>1555</v>
      </c>
      <c r="C430" s="6" t="s">
        <v>241</v>
      </c>
      <c r="D430" s="6"/>
      <c r="E430" s="6" t="s">
        <v>73</v>
      </c>
      <c r="F430" s="6" t="s">
        <v>73</v>
      </c>
      <c r="G430" s="6"/>
      <c r="H430" s="6"/>
      <c r="I430" s="6"/>
      <c r="J430" s="6"/>
      <c r="K430" s="6">
        <v>800531</v>
      </c>
      <c r="L430" s="6"/>
      <c r="M430" s="6" t="s">
        <v>1554</v>
      </c>
      <c r="N430" s="46" t="s">
        <v>1553</v>
      </c>
      <c r="O430" s="6">
        <v>1652716179</v>
      </c>
      <c r="P430" s="80" t="s">
        <v>1552</v>
      </c>
      <c r="Q430" s="6">
        <v>18106</v>
      </c>
      <c r="R430" s="6">
        <v>27190</v>
      </c>
      <c r="S430" s="5" t="str">
        <f>VLOOKUP(T430,'[1]Kode Posisi'!$A$3:$B$45,2,)</f>
        <v>Outsourcing Petugas Pemeliharaan Gedung</v>
      </c>
      <c r="T430" s="36" t="s">
        <v>247</v>
      </c>
      <c r="U430" s="44" t="s">
        <v>1545</v>
      </c>
      <c r="V430" s="44" t="s">
        <v>1551</v>
      </c>
      <c r="W430" s="36" t="s">
        <v>1543</v>
      </c>
      <c r="X430" s="36" t="s">
        <v>1542</v>
      </c>
      <c r="Y430" s="36" t="s">
        <v>52</v>
      </c>
      <c r="Z430" s="79">
        <v>8730947802</v>
      </c>
      <c r="AA430" s="36" t="s">
        <v>1550</v>
      </c>
      <c r="AB430" s="47">
        <v>5887000</v>
      </c>
      <c r="AC430" s="41">
        <v>5887000</v>
      </c>
      <c r="AD430" s="3">
        <v>5600000</v>
      </c>
      <c r="AE430" s="16">
        <f t="shared" si="201"/>
        <v>287000</v>
      </c>
      <c r="AF430" s="16">
        <v>0</v>
      </c>
      <c r="AG430" s="17">
        <v>0</v>
      </c>
      <c r="AI430" s="16">
        <v>971098.26589595375</v>
      </c>
      <c r="AK430" s="16">
        <v>0</v>
      </c>
      <c r="AL430" s="11">
        <f t="shared" si="183"/>
        <v>6858098.2658959534</v>
      </c>
      <c r="AM430" s="16">
        <f t="shared" si="184"/>
        <v>602828.80000000005</v>
      </c>
      <c r="AN430" s="16">
        <f t="shared" si="185"/>
        <v>235480</v>
      </c>
      <c r="AO430" s="16">
        <f t="shared" ref="AO430:AO493" si="202">IF(BC430=0.03,AC430*0.0624,0)</f>
        <v>367348.8</v>
      </c>
      <c r="AP430" s="16">
        <f t="shared" si="186"/>
        <v>217819</v>
      </c>
      <c r="AQ430" s="16">
        <f t="shared" si="187"/>
        <v>7460927.0658959532</v>
      </c>
      <c r="AR430" s="16">
        <f t="shared" si="178"/>
        <v>447655.62395375717</v>
      </c>
      <c r="AS430" s="16">
        <f t="shared" si="188"/>
        <v>49242.118634913291</v>
      </c>
      <c r="AT430" s="16">
        <f t="shared" si="189"/>
        <v>-8953.1124790751437</v>
      </c>
      <c r="AU430" s="16">
        <f t="shared" si="190"/>
        <v>7899629.5773706352</v>
      </c>
      <c r="AV430" s="16">
        <f t="shared" si="191"/>
        <v>7908582.6898497101</v>
      </c>
      <c r="AW430" s="16">
        <f t="shared" si="192"/>
        <v>235480</v>
      </c>
      <c r="AX430" s="16" t="s">
        <v>91</v>
      </c>
      <c r="AZ430" s="17">
        <f t="shared" si="200"/>
        <v>0</v>
      </c>
      <c r="BA430" s="16">
        <f t="shared" si="193"/>
        <v>6622618.2658959534</v>
      </c>
      <c r="BB430" s="16">
        <f t="shared" si="194"/>
        <v>6622618.2658959534</v>
      </c>
      <c r="BC430">
        <v>0.03</v>
      </c>
      <c r="BD430">
        <v>0.01</v>
      </c>
      <c r="BE430" s="37">
        <f t="shared" si="195"/>
        <v>543958.79999999993</v>
      </c>
      <c r="BF430" s="38">
        <f t="shared" si="196"/>
        <v>335559</v>
      </c>
      <c r="BG430" s="37">
        <f t="shared" ref="BG430:BG493" si="203">5%*AD430</f>
        <v>280000</v>
      </c>
      <c r="BH430" s="37">
        <f t="shared" si="197"/>
        <v>294350</v>
      </c>
      <c r="BI430">
        <v>280000</v>
      </c>
      <c r="BL430" s="8">
        <f t="shared" si="198"/>
        <v>971098.26589595375</v>
      </c>
      <c r="BM430" s="7" t="str">
        <f t="shared" si="179"/>
        <v>Terdaftar BPJS Kes &amp; Naker</v>
      </c>
      <c r="BN430" s="11">
        <f t="shared" si="180"/>
        <v>335559</v>
      </c>
      <c r="BO430" s="11">
        <f t="shared" si="181"/>
        <v>267269.8</v>
      </c>
      <c r="BP430" s="9">
        <f t="shared" si="199"/>
        <v>0</v>
      </c>
      <c r="BQ430" t="s">
        <v>8</v>
      </c>
    </row>
    <row r="431" spans="1:69" x14ac:dyDescent="0.3">
      <c r="A431" s="2">
        <v>430</v>
      </c>
      <c r="B431" s="4" t="s">
        <v>1549</v>
      </c>
      <c r="C431" s="6" t="s">
        <v>241</v>
      </c>
      <c r="D431" s="6"/>
      <c r="E431" s="6" t="s">
        <v>73</v>
      </c>
      <c r="F431" s="6" t="s">
        <v>73</v>
      </c>
      <c r="G431" s="6"/>
      <c r="H431" s="6"/>
      <c r="I431" s="6"/>
      <c r="J431" s="6"/>
      <c r="K431" s="6">
        <v>800532</v>
      </c>
      <c r="L431" s="6"/>
      <c r="M431" s="6" t="s">
        <v>1548</v>
      </c>
      <c r="N431" s="46" t="s">
        <v>1547</v>
      </c>
      <c r="O431" s="6">
        <v>1661574341</v>
      </c>
      <c r="P431" s="80" t="s">
        <v>1546</v>
      </c>
      <c r="Q431" s="6">
        <v>18106</v>
      </c>
      <c r="R431" s="6">
        <v>27190</v>
      </c>
      <c r="S431" s="5" t="str">
        <f>VLOOKUP(T431,'[1]Kode Posisi'!$A$3:$B$45,2,)</f>
        <v>Outsourcing Petugas Pemeliharaan Gedung</v>
      </c>
      <c r="T431" s="36" t="s">
        <v>247</v>
      </c>
      <c r="U431" s="44" t="s">
        <v>1545</v>
      </c>
      <c r="V431" s="44" t="s">
        <v>1544</v>
      </c>
      <c r="W431" s="36" t="s">
        <v>1543</v>
      </c>
      <c r="X431" s="36" t="s">
        <v>1542</v>
      </c>
      <c r="Y431" s="36" t="s">
        <v>52</v>
      </c>
      <c r="Z431" s="79">
        <v>5745482683</v>
      </c>
      <c r="AA431" s="36" t="s">
        <v>1541</v>
      </c>
      <c r="AB431" s="47">
        <v>5887000</v>
      </c>
      <c r="AC431" s="41">
        <v>5887000</v>
      </c>
      <c r="AD431" s="3">
        <v>5600000</v>
      </c>
      <c r="AE431" s="16">
        <f t="shared" si="201"/>
        <v>287000</v>
      </c>
      <c r="AF431" s="16">
        <v>0</v>
      </c>
      <c r="AG431" s="17">
        <v>0</v>
      </c>
      <c r="AI431" s="16">
        <v>1650867.0520231214</v>
      </c>
      <c r="AK431" s="16">
        <v>0</v>
      </c>
      <c r="AL431" s="11">
        <f t="shared" si="183"/>
        <v>7537867.0520231212</v>
      </c>
      <c r="AM431" s="16">
        <f t="shared" si="184"/>
        <v>602828.80000000005</v>
      </c>
      <c r="AN431" s="16">
        <f t="shared" si="185"/>
        <v>235480</v>
      </c>
      <c r="AO431" s="16">
        <f t="shared" si="202"/>
        <v>367348.8</v>
      </c>
      <c r="AP431" s="16">
        <f t="shared" si="186"/>
        <v>217819</v>
      </c>
      <c r="AQ431" s="16">
        <f t="shared" si="187"/>
        <v>8140695.852023121</v>
      </c>
      <c r="AR431" s="16">
        <f t="shared" si="178"/>
        <v>488441.75112138723</v>
      </c>
      <c r="AS431" s="16">
        <f t="shared" si="188"/>
        <v>53728.592623352597</v>
      </c>
      <c r="AT431" s="16">
        <f t="shared" si="189"/>
        <v>-9768.8350224277456</v>
      </c>
      <c r="AU431" s="16">
        <f t="shared" si="190"/>
        <v>8619368.7681220807</v>
      </c>
      <c r="AV431" s="16">
        <f t="shared" si="191"/>
        <v>8629137.6031445079</v>
      </c>
      <c r="AW431" s="16">
        <f t="shared" si="192"/>
        <v>235480</v>
      </c>
      <c r="AX431" s="16" t="s">
        <v>243</v>
      </c>
      <c r="AZ431" s="17">
        <f t="shared" si="200"/>
        <v>0</v>
      </c>
      <c r="BA431" s="16">
        <f t="shared" si="193"/>
        <v>7302387.0520231212</v>
      </c>
      <c r="BB431" s="16">
        <f t="shared" si="194"/>
        <v>7302387.0520231212</v>
      </c>
      <c r="BC431">
        <v>0.03</v>
      </c>
      <c r="BD431">
        <v>0.01</v>
      </c>
      <c r="BE431" s="37">
        <f t="shared" si="195"/>
        <v>543958.79999999993</v>
      </c>
      <c r="BF431" s="38">
        <f t="shared" si="196"/>
        <v>335559</v>
      </c>
      <c r="BG431" s="37">
        <f t="shared" si="203"/>
        <v>280000</v>
      </c>
      <c r="BH431" s="37">
        <f t="shared" si="197"/>
        <v>294350</v>
      </c>
      <c r="BI431">
        <v>280000</v>
      </c>
      <c r="BL431" s="8">
        <f t="shared" si="198"/>
        <v>1650867.0520231214</v>
      </c>
      <c r="BM431" s="7" t="str">
        <f t="shared" si="179"/>
        <v>Terdaftar BPJS Kes &amp; Naker</v>
      </c>
      <c r="BN431" s="11">
        <f t="shared" si="180"/>
        <v>335559</v>
      </c>
      <c r="BO431" s="11">
        <f t="shared" si="181"/>
        <v>267269.8</v>
      </c>
      <c r="BP431" s="9">
        <f t="shared" si="199"/>
        <v>0</v>
      </c>
      <c r="BQ431" t="s">
        <v>8</v>
      </c>
    </row>
    <row r="432" spans="1:69" x14ac:dyDescent="0.3">
      <c r="A432" s="2">
        <v>431</v>
      </c>
      <c r="B432" s="4" t="s">
        <v>1540</v>
      </c>
      <c r="C432" s="6" t="s">
        <v>241</v>
      </c>
      <c r="D432" s="6"/>
      <c r="E432" s="6" t="s">
        <v>73</v>
      </c>
      <c r="F432" s="6" t="s">
        <v>73</v>
      </c>
      <c r="G432" s="6" t="s">
        <v>73</v>
      </c>
      <c r="H432" s="6"/>
      <c r="I432" s="6"/>
      <c r="J432" s="6"/>
      <c r="K432" s="6">
        <v>800533</v>
      </c>
      <c r="L432" s="6"/>
      <c r="M432" s="6" t="s">
        <v>1539</v>
      </c>
      <c r="N432" s="46" t="s">
        <v>1538</v>
      </c>
      <c r="O432" s="6">
        <v>242248061</v>
      </c>
      <c r="P432" s="78" t="s">
        <v>1537</v>
      </c>
      <c r="Q432" s="6">
        <v>10109</v>
      </c>
      <c r="R432" s="6">
        <v>27109</v>
      </c>
      <c r="S432" s="5" t="str">
        <f>VLOOKUP(T432,'[1]Kode Posisi'!$A$3:$B$45,2,)</f>
        <v>Outsourcing Cleaning Service</v>
      </c>
      <c r="T432" s="36" t="s">
        <v>47</v>
      </c>
      <c r="U432" s="44" t="s">
        <v>1495</v>
      </c>
      <c r="V432" s="44" t="s">
        <v>1536</v>
      </c>
      <c r="W432" s="36" t="s">
        <v>1493</v>
      </c>
      <c r="X432" s="36" t="s">
        <v>139</v>
      </c>
      <c r="Y432" s="36" t="s">
        <v>63</v>
      </c>
      <c r="Z432" s="79" t="s">
        <v>1535</v>
      </c>
      <c r="AA432" s="36" t="s">
        <v>1534</v>
      </c>
      <c r="AB432" s="47">
        <v>4336000</v>
      </c>
      <c r="AC432" s="41">
        <v>4336000</v>
      </c>
      <c r="AD432" s="3">
        <v>4015000</v>
      </c>
      <c r="AE432" s="16">
        <f t="shared" si="201"/>
        <v>321000</v>
      </c>
      <c r="AF432" s="16">
        <v>0</v>
      </c>
      <c r="AG432" s="17">
        <v>0</v>
      </c>
      <c r="AI432" s="16">
        <v>0</v>
      </c>
      <c r="AK432" s="16">
        <v>0</v>
      </c>
      <c r="AL432" s="11">
        <f t="shared" si="183"/>
        <v>4336000</v>
      </c>
      <c r="AM432" s="16">
        <f t="shared" si="184"/>
        <v>444006.39999999997</v>
      </c>
      <c r="AN432" s="16">
        <f t="shared" si="185"/>
        <v>173440</v>
      </c>
      <c r="AO432" s="16">
        <f t="shared" si="202"/>
        <v>270566.39999999997</v>
      </c>
      <c r="AP432" s="16">
        <f t="shared" si="186"/>
        <v>160432</v>
      </c>
      <c r="AQ432" s="16">
        <f t="shared" si="187"/>
        <v>4780006.4000000004</v>
      </c>
      <c r="AR432" s="16">
        <f t="shared" si="178"/>
        <v>286800.38400000002</v>
      </c>
      <c r="AS432" s="16">
        <f t="shared" si="188"/>
        <v>31548.042240000002</v>
      </c>
      <c r="AT432" s="16">
        <f t="shared" si="189"/>
        <v>-5736.0076800000006</v>
      </c>
      <c r="AU432" s="16">
        <f t="shared" si="190"/>
        <v>5061070.7763200002</v>
      </c>
      <c r="AV432" s="16">
        <f t="shared" si="191"/>
        <v>5066806.784</v>
      </c>
      <c r="AW432" s="16">
        <f t="shared" si="192"/>
        <v>173440</v>
      </c>
      <c r="AX432" s="16" t="s">
        <v>235</v>
      </c>
      <c r="AZ432" s="17">
        <f t="shared" ref="AZ432:AZ454" si="204">IF(Y432="BCA",0,2900)</f>
        <v>2900</v>
      </c>
      <c r="BA432" s="16">
        <f t="shared" si="193"/>
        <v>4162560</v>
      </c>
      <c r="BB432" s="16">
        <f t="shared" si="194"/>
        <v>4159660</v>
      </c>
      <c r="BC432">
        <v>0.03</v>
      </c>
      <c r="BD432">
        <v>0.01</v>
      </c>
      <c r="BE432" s="37">
        <f t="shared" si="195"/>
        <v>400646.39999999997</v>
      </c>
      <c r="BF432" s="38">
        <f t="shared" si="196"/>
        <v>247152</v>
      </c>
      <c r="BG432" s="37">
        <f t="shared" si="203"/>
        <v>200750</v>
      </c>
      <c r="BH432" s="37">
        <f t="shared" si="197"/>
        <v>216800</v>
      </c>
      <c r="BI432">
        <v>200750</v>
      </c>
      <c r="BL432" s="8">
        <f t="shared" si="198"/>
        <v>0</v>
      </c>
      <c r="BM432" s="7" t="str">
        <f t="shared" si="179"/>
        <v>Terdaftar BPJS Kes &amp; Naker</v>
      </c>
      <c r="BN432" s="11">
        <f t="shared" si="180"/>
        <v>247152</v>
      </c>
      <c r="BO432" s="11">
        <f t="shared" si="181"/>
        <v>196854.40000000002</v>
      </c>
      <c r="BP432" s="9">
        <f t="shared" si="199"/>
        <v>0</v>
      </c>
      <c r="BQ432" t="str">
        <f>_xlfn.XLOOKUP(X432,'[2]NON TETAP'!$H:$H,'[2]NON TETAP'!$I:$I)</f>
        <v>GRAMEDIA ASRI MEDIA</v>
      </c>
    </row>
    <row r="433" spans="1:69" x14ac:dyDescent="0.3">
      <c r="A433" s="2">
        <v>432</v>
      </c>
      <c r="B433" s="4" t="s">
        <v>1527</v>
      </c>
      <c r="C433" s="6" t="s">
        <v>241</v>
      </c>
      <c r="D433" s="6"/>
      <c r="E433" s="6" t="s">
        <v>73</v>
      </c>
      <c r="F433" s="6" t="s">
        <v>73</v>
      </c>
      <c r="G433" s="6" t="s">
        <v>73</v>
      </c>
      <c r="H433" s="6"/>
      <c r="I433" s="6"/>
      <c r="J433" s="6"/>
      <c r="K433" s="6">
        <v>800534</v>
      </c>
      <c r="L433" s="6"/>
      <c r="M433" s="6" t="s">
        <v>1533</v>
      </c>
      <c r="N433" s="46" t="s">
        <v>1532</v>
      </c>
      <c r="O433" s="6">
        <v>1303606405</v>
      </c>
      <c r="P433" s="78" t="s">
        <v>1531</v>
      </c>
      <c r="Q433" s="6">
        <v>10109</v>
      </c>
      <c r="R433" s="6">
        <v>27109</v>
      </c>
      <c r="S433" s="5" t="str">
        <f>VLOOKUP(T433,'[1]Kode Posisi'!$A$3:$B$45,2,)</f>
        <v>Outsourcing Cleaning Service</v>
      </c>
      <c r="T433" s="36" t="s">
        <v>1530</v>
      </c>
      <c r="U433" s="44" t="s">
        <v>1495</v>
      </c>
      <c r="V433" s="44" t="s">
        <v>1529</v>
      </c>
      <c r="W433" s="36" t="s">
        <v>1493</v>
      </c>
      <c r="X433" s="36" t="s">
        <v>139</v>
      </c>
      <c r="Y433" s="36" t="s">
        <v>63</v>
      </c>
      <c r="Z433" s="79" t="s">
        <v>1528</v>
      </c>
      <c r="AA433" s="36" t="s">
        <v>1527</v>
      </c>
      <c r="AB433" s="47">
        <v>4336000</v>
      </c>
      <c r="AC433" s="41">
        <v>4336000</v>
      </c>
      <c r="AD433" s="3">
        <v>4015000</v>
      </c>
      <c r="AE433" s="16">
        <f t="shared" si="201"/>
        <v>321000</v>
      </c>
      <c r="AF433" s="16">
        <v>0</v>
      </c>
      <c r="AG433">
        <v>200000</v>
      </c>
      <c r="AI433" s="16">
        <v>0</v>
      </c>
      <c r="AK433" s="16">
        <v>0</v>
      </c>
      <c r="AL433" s="11">
        <f t="shared" si="183"/>
        <v>4536000</v>
      </c>
      <c r="AM433" s="16">
        <f t="shared" si="184"/>
        <v>444006.39999999997</v>
      </c>
      <c r="AN433" s="16">
        <f t="shared" si="185"/>
        <v>173440</v>
      </c>
      <c r="AO433" s="16">
        <f t="shared" si="202"/>
        <v>270566.39999999997</v>
      </c>
      <c r="AP433" s="16">
        <f t="shared" si="186"/>
        <v>160432</v>
      </c>
      <c r="AQ433" s="16">
        <f t="shared" si="187"/>
        <v>4980006.4000000004</v>
      </c>
      <c r="AR433" s="16">
        <f t="shared" si="178"/>
        <v>298800.38400000002</v>
      </c>
      <c r="AS433" s="16">
        <f t="shared" si="188"/>
        <v>32868.042240000002</v>
      </c>
      <c r="AT433" s="16">
        <f t="shared" si="189"/>
        <v>-5976.0076800000006</v>
      </c>
      <c r="AU433" s="16">
        <f t="shared" si="190"/>
        <v>5272830.7763200002</v>
      </c>
      <c r="AV433" s="16">
        <f t="shared" si="191"/>
        <v>5278806.784</v>
      </c>
      <c r="AW433" s="16">
        <f t="shared" si="192"/>
        <v>173440</v>
      </c>
      <c r="AX433" s="16" t="s">
        <v>243</v>
      </c>
      <c r="AZ433" s="17">
        <f t="shared" si="204"/>
        <v>2900</v>
      </c>
      <c r="BA433" s="16">
        <f t="shared" si="193"/>
        <v>4362560</v>
      </c>
      <c r="BB433" s="16">
        <f t="shared" si="194"/>
        <v>4359660</v>
      </c>
      <c r="BC433">
        <v>0.03</v>
      </c>
      <c r="BD433">
        <v>0.01</v>
      </c>
      <c r="BE433" s="37">
        <f t="shared" si="195"/>
        <v>400646.39999999997</v>
      </c>
      <c r="BF433" s="38">
        <f t="shared" si="196"/>
        <v>247152</v>
      </c>
      <c r="BG433" s="37">
        <f t="shared" si="203"/>
        <v>200750</v>
      </c>
      <c r="BH433" s="37">
        <f t="shared" si="197"/>
        <v>216800</v>
      </c>
      <c r="BI433">
        <v>200750</v>
      </c>
      <c r="BL433" s="8">
        <f t="shared" si="198"/>
        <v>200000</v>
      </c>
      <c r="BM433" s="7" t="str">
        <f t="shared" si="179"/>
        <v>Terdaftar BPJS Kes &amp; Naker</v>
      </c>
      <c r="BN433" s="11">
        <f t="shared" si="180"/>
        <v>247152</v>
      </c>
      <c r="BO433" s="11">
        <f t="shared" si="181"/>
        <v>196854.40000000002</v>
      </c>
      <c r="BP433" s="9">
        <f t="shared" si="199"/>
        <v>0</v>
      </c>
      <c r="BQ433" t="str">
        <f>_xlfn.XLOOKUP(X433,'[2]NON TETAP'!$H:$H,'[2]NON TETAP'!$I:$I)</f>
        <v>GRAMEDIA ASRI MEDIA</v>
      </c>
    </row>
    <row r="434" spans="1:69" x14ac:dyDescent="0.3">
      <c r="A434" s="2">
        <v>433</v>
      </c>
      <c r="B434" s="4" t="s">
        <v>1521</v>
      </c>
      <c r="C434" s="6" t="s">
        <v>241</v>
      </c>
      <c r="D434" s="6"/>
      <c r="E434" s="6" t="s">
        <v>73</v>
      </c>
      <c r="F434" s="6" t="s">
        <v>73</v>
      </c>
      <c r="G434" s="6" t="s">
        <v>73</v>
      </c>
      <c r="H434" s="6"/>
      <c r="I434" s="6"/>
      <c r="J434" s="6"/>
      <c r="K434" s="6">
        <v>800535</v>
      </c>
      <c r="L434" s="6"/>
      <c r="M434" s="6" t="s">
        <v>1526</v>
      </c>
      <c r="N434" s="46" t="s">
        <v>1525</v>
      </c>
      <c r="O434" s="6">
        <v>265589908</v>
      </c>
      <c r="P434" s="78" t="s">
        <v>1524</v>
      </c>
      <c r="Q434" s="6">
        <v>10109</v>
      </c>
      <c r="R434" s="6">
        <v>27109</v>
      </c>
      <c r="S434" s="5" t="str">
        <f>VLOOKUP(T434,'[1]Kode Posisi'!$A$3:$B$45,2,)</f>
        <v>Outsourcing Cleaning Service</v>
      </c>
      <c r="T434" s="36" t="s">
        <v>47</v>
      </c>
      <c r="U434" s="44" t="s">
        <v>1495</v>
      </c>
      <c r="V434" s="44" t="s">
        <v>1523</v>
      </c>
      <c r="W434" s="36" t="s">
        <v>1493</v>
      </c>
      <c r="X434" s="36" t="s">
        <v>139</v>
      </c>
      <c r="Y434" s="36" t="s">
        <v>63</v>
      </c>
      <c r="Z434" s="79" t="s">
        <v>1522</v>
      </c>
      <c r="AA434" s="36" t="s">
        <v>1521</v>
      </c>
      <c r="AB434" s="47">
        <v>4336000</v>
      </c>
      <c r="AC434" s="41">
        <v>4336000</v>
      </c>
      <c r="AD434" s="3">
        <v>4015000</v>
      </c>
      <c r="AE434" s="16">
        <f t="shared" si="201"/>
        <v>321000</v>
      </c>
      <c r="AF434" s="16">
        <v>0</v>
      </c>
      <c r="AG434" s="17">
        <v>0</v>
      </c>
      <c r="AI434" s="16">
        <v>0</v>
      </c>
      <c r="AK434" s="16">
        <v>0</v>
      </c>
      <c r="AL434" s="11">
        <f t="shared" si="183"/>
        <v>4336000</v>
      </c>
      <c r="AM434" s="16">
        <f t="shared" si="184"/>
        <v>444006.39999999997</v>
      </c>
      <c r="AN434" s="16">
        <f t="shared" si="185"/>
        <v>173440</v>
      </c>
      <c r="AO434" s="16">
        <f t="shared" si="202"/>
        <v>270566.39999999997</v>
      </c>
      <c r="AP434" s="16">
        <f t="shared" si="186"/>
        <v>160432</v>
      </c>
      <c r="AQ434" s="16">
        <f t="shared" si="187"/>
        <v>4780006.4000000004</v>
      </c>
      <c r="AR434" s="16">
        <f t="shared" si="178"/>
        <v>286800.38400000002</v>
      </c>
      <c r="AS434" s="16">
        <f t="shared" si="188"/>
        <v>31548.042240000002</v>
      </c>
      <c r="AT434" s="16">
        <f t="shared" si="189"/>
        <v>-5736.0076800000006</v>
      </c>
      <c r="AU434" s="16">
        <f t="shared" si="190"/>
        <v>5061070.7763200002</v>
      </c>
      <c r="AV434" s="16">
        <f t="shared" si="191"/>
        <v>5066806.784</v>
      </c>
      <c r="AW434" s="16">
        <f t="shared" si="192"/>
        <v>173440</v>
      </c>
      <c r="AX434" s="16" t="s">
        <v>243</v>
      </c>
      <c r="AZ434" s="17">
        <f t="shared" si="204"/>
        <v>2900</v>
      </c>
      <c r="BA434" s="16">
        <f t="shared" si="193"/>
        <v>4162560</v>
      </c>
      <c r="BB434" s="16">
        <f t="shared" si="194"/>
        <v>4159660</v>
      </c>
      <c r="BC434">
        <v>0.03</v>
      </c>
      <c r="BD434">
        <v>0.01</v>
      </c>
      <c r="BE434" s="37">
        <f t="shared" si="195"/>
        <v>400646.39999999997</v>
      </c>
      <c r="BF434" s="38">
        <f t="shared" si="196"/>
        <v>247152</v>
      </c>
      <c r="BG434" s="37">
        <f t="shared" si="203"/>
        <v>200750</v>
      </c>
      <c r="BH434" s="37">
        <f t="shared" si="197"/>
        <v>216800</v>
      </c>
      <c r="BI434">
        <v>200750</v>
      </c>
      <c r="BL434" s="8">
        <f t="shared" si="198"/>
        <v>0</v>
      </c>
      <c r="BM434" s="7" t="str">
        <f t="shared" si="179"/>
        <v>Terdaftar BPJS Kes &amp; Naker</v>
      </c>
      <c r="BN434" s="11">
        <f t="shared" si="180"/>
        <v>247152</v>
      </c>
      <c r="BO434" s="11">
        <f t="shared" si="181"/>
        <v>196854.40000000002</v>
      </c>
      <c r="BP434" s="9">
        <f t="shared" si="199"/>
        <v>0</v>
      </c>
      <c r="BQ434" t="str">
        <f>_xlfn.XLOOKUP(X434,'[2]NON TETAP'!$H:$H,'[2]NON TETAP'!$I:$I)</f>
        <v>GRAMEDIA ASRI MEDIA</v>
      </c>
    </row>
    <row r="435" spans="1:69" x14ac:dyDescent="0.3">
      <c r="A435" s="2">
        <v>434</v>
      </c>
      <c r="B435" s="4" t="s">
        <v>1520</v>
      </c>
      <c r="C435" s="6" t="s">
        <v>241</v>
      </c>
      <c r="D435" s="6"/>
      <c r="E435" s="6" t="s">
        <v>73</v>
      </c>
      <c r="F435" s="6" t="s">
        <v>73</v>
      </c>
      <c r="G435" s="6"/>
      <c r="H435" s="6"/>
      <c r="I435" s="6"/>
      <c r="J435" s="6"/>
      <c r="K435" s="6">
        <v>800536</v>
      </c>
      <c r="L435" s="6"/>
      <c r="M435" s="6" t="s">
        <v>1519</v>
      </c>
      <c r="N435" s="46" t="s">
        <v>1518</v>
      </c>
      <c r="O435" s="6">
        <v>266387951</v>
      </c>
      <c r="P435" s="78" t="s">
        <v>1517</v>
      </c>
      <c r="Q435" s="6">
        <v>18106</v>
      </c>
      <c r="R435" s="6">
        <v>27190</v>
      </c>
      <c r="S435" s="5" t="str">
        <f>VLOOKUP(T435,'[1]Kode Posisi'!$A$3:$B$45,2,)</f>
        <v>Outsourcing Petugas Pemeliharaan Gedung</v>
      </c>
      <c r="T435" s="36" t="s">
        <v>247</v>
      </c>
      <c r="U435" s="44" t="s">
        <v>1495</v>
      </c>
      <c r="V435" s="44" t="s">
        <v>1516</v>
      </c>
      <c r="W435" s="36" t="s">
        <v>1493</v>
      </c>
      <c r="X435" s="36" t="s">
        <v>1509</v>
      </c>
      <c r="Y435" s="36" t="s">
        <v>52</v>
      </c>
      <c r="Z435" s="79">
        <v>8075210686</v>
      </c>
      <c r="AA435" s="36" t="s">
        <v>1515</v>
      </c>
      <c r="AB435" s="47">
        <v>4336000</v>
      </c>
      <c r="AC435" s="41">
        <v>4336000</v>
      </c>
      <c r="AD435" s="3">
        <v>4015000</v>
      </c>
      <c r="AE435" s="16">
        <f t="shared" si="201"/>
        <v>321000</v>
      </c>
      <c r="AF435" s="16">
        <v>0</v>
      </c>
      <c r="AG435" s="17">
        <v>0</v>
      </c>
      <c r="AI435" s="16">
        <v>0</v>
      </c>
      <c r="AK435" s="16">
        <v>0</v>
      </c>
      <c r="AL435" s="11">
        <f t="shared" si="183"/>
        <v>4336000</v>
      </c>
      <c r="AM435" s="16">
        <f t="shared" si="184"/>
        <v>444006.39999999997</v>
      </c>
      <c r="AN435" s="16">
        <f t="shared" si="185"/>
        <v>173440</v>
      </c>
      <c r="AO435" s="16">
        <f t="shared" si="202"/>
        <v>270566.39999999997</v>
      </c>
      <c r="AP435" s="16">
        <f t="shared" si="186"/>
        <v>160432</v>
      </c>
      <c r="AQ435" s="16">
        <f t="shared" si="187"/>
        <v>4780006.4000000004</v>
      </c>
      <c r="AR435" s="16">
        <f t="shared" ref="AR435:AR498" si="205">SUM(AQ435*0.06)</f>
        <v>286800.38400000002</v>
      </c>
      <c r="AS435" s="16">
        <f t="shared" si="188"/>
        <v>31548.042240000002</v>
      </c>
      <c r="AT435" s="16">
        <f t="shared" si="189"/>
        <v>-5736.0076800000006</v>
      </c>
      <c r="AU435" s="16">
        <f t="shared" si="190"/>
        <v>5061070.7763200002</v>
      </c>
      <c r="AV435" s="16">
        <f t="shared" si="191"/>
        <v>5066806.784</v>
      </c>
      <c r="AW435" s="16">
        <f t="shared" si="192"/>
        <v>173440</v>
      </c>
      <c r="AX435" s="16" t="s">
        <v>319</v>
      </c>
      <c r="AZ435" s="17">
        <f t="shared" si="204"/>
        <v>0</v>
      </c>
      <c r="BA435" s="16">
        <f t="shared" si="193"/>
        <v>4162560</v>
      </c>
      <c r="BB435" s="16">
        <f t="shared" si="194"/>
        <v>4162560</v>
      </c>
      <c r="BC435">
        <v>0.03</v>
      </c>
      <c r="BD435">
        <v>0.01</v>
      </c>
      <c r="BE435" s="37">
        <f t="shared" si="195"/>
        <v>400646.39999999997</v>
      </c>
      <c r="BF435" s="38">
        <f t="shared" si="196"/>
        <v>247152</v>
      </c>
      <c r="BG435" s="37">
        <f t="shared" si="203"/>
        <v>200750</v>
      </c>
      <c r="BH435" s="37">
        <f t="shared" si="197"/>
        <v>216800</v>
      </c>
      <c r="BI435">
        <v>200750</v>
      </c>
      <c r="BL435" s="8">
        <f t="shared" si="198"/>
        <v>0</v>
      </c>
      <c r="BM435" s="7" t="str">
        <f t="shared" ref="BM435:BM498" si="206">IF(AND(BC435=0.03,BD435=0.01),"Terdaftar BPJS Kes &amp; Naker","Tidak Terdaftar")</f>
        <v>Terdaftar BPJS Kes &amp; Naker</v>
      </c>
      <c r="BN435" s="11">
        <f t="shared" ref="BN435:BN498" si="207">AC435*5.7%</f>
        <v>247152</v>
      </c>
      <c r="BO435" s="11">
        <f t="shared" ref="BO435:BO498" si="208">AC435*4.54%</f>
        <v>196854.40000000002</v>
      </c>
      <c r="BP435" s="9">
        <f t="shared" si="199"/>
        <v>0</v>
      </c>
      <c r="BQ435" t="s">
        <v>8</v>
      </c>
    </row>
    <row r="436" spans="1:69" x14ac:dyDescent="0.3">
      <c r="A436" s="2">
        <v>435</v>
      </c>
      <c r="B436" s="4" t="s">
        <v>1514</v>
      </c>
      <c r="C436" s="6" t="s">
        <v>241</v>
      </c>
      <c r="D436" s="6"/>
      <c r="E436" s="6" t="s">
        <v>73</v>
      </c>
      <c r="F436" s="6" t="s">
        <v>73</v>
      </c>
      <c r="G436" s="6"/>
      <c r="H436" s="6"/>
      <c r="I436" s="6"/>
      <c r="J436" s="6"/>
      <c r="K436" s="6">
        <v>800537</v>
      </c>
      <c r="L436" s="6"/>
      <c r="M436" s="6" t="s">
        <v>1513</v>
      </c>
      <c r="N436" s="46" t="s">
        <v>1512</v>
      </c>
      <c r="O436" s="6">
        <v>2148770823</v>
      </c>
      <c r="P436" s="78" t="s">
        <v>1511</v>
      </c>
      <c r="Q436" s="6">
        <v>18106</v>
      </c>
      <c r="R436" s="6">
        <v>27190</v>
      </c>
      <c r="S436" s="5" t="str">
        <f>VLOOKUP(T436,'[1]Kode Posisi'!$A$3:$B$45,2,)</f>
        <v>Outsourcing Petugas Pemeliharaan Gedung</v>
      </c>
      <c r="T436" s="36" t="s">
        <v>247</v>
      </c>
      <c r="U436" s="44" t="s">
        <v>1495</v>
      </c>
      <c r="V436" s="44" t="s">
        <v>1510</v>
      </c>
      <c r="W436" s="36" t="s">
        <v>1493</v>
      </c>
      <c r="X436" s="36" t="s">
        <v>1509</v>
      </c>
      <c r="Y436" s="36" t="s">
        <v>52</v>
      </c>
      <c r="Z436" s="79" t="s">
        <v>1508</v>
      </c>
      <c r="AA436" s="36" t="s">
        <v>1507</v>
      </c>
      <c r="AB436" s="47">
        <v>4336000</v>
      </c>
      <c r="AC436" s="41">
        <v>4336000</v>
      </c>
      <c r="AD436" s="3">
        <v>4015000</v>
      </c>
      <c r="AE436" s="16">
        <f t="shared" si="201"/>
        <v>321000</v>
      </c>
      <c r="AF436" s="16">
        <v>0</v>
      </c>
      <c r="AG436" s="17">
        <v>0</v>
      </c>
      <c r="AI436" s="16">
        <v>0</v>
      </c>
      <c r="AK436" s="16">
        <v>0</v>
      </c>
      <c r="AL436" s="11">
        <f t="shared" si="183"/>
        <v>4336000</v>
      </c>
      <c r="AM436" s="16">
        <f t="shared" si="184"/>
        <v>444006.39999999997</v>
      </c>
      <c r="AN436" s="16">
        <f t="shared" si="185"/>
        <v>173440</v>
      </c>
      <c r="AO436" s="16">
        <f t="shared" si="202"/>
        <v>270566.39999999997</v>
      </c>
      <c r="AP436" s="16">
        <f t="shared" si="186"/>
        <v>160432</v>
      </c>
      <c r="AQ436" s="16">
        <f t="shared" si="187"/>
        <v>4780006.4000000004</v>
      </c>
      <c r="AR436" s="16">
        <f t="shared" si="205"/>
        <v>286800.38400000002</v>
      </c>
      <c r="AS436" s="16">
        <f t="shared" si="188"/>
        <v>31548.042240000002</v>
      </c>
      <c r="AT436" s="16">
        <f t="shared" si="189"/>
        <v>-5736.0076800000006</v>
      </c>
      <c r="AU436" s="16">
        <f t="shared" si="190"/>
        <v>5061070.7763200002</v>
      </c>
      <c r="AV436" s="16">
        <f t="shared" si="191"/>
        <v>5066806.784</v>
      </c>
      <c r="AW436" s="16">
        <f t="shared" si="192"/>
        <v>173440</v>
      </c>
      <c r="AX436" s="16" t="s">
        <v>319</v>
      </c>
      <c r="AZ436" s="17">
        <f t="shared" si="204"/>
        <v>0</v>
      </c>
      <c r="BA436" s="16">
        <f t="shared" si="193"/>
        <v>4162560</v>
      </c>
      <c r="BB436" s="16">
        <f t="shared" si="194"/>
        <v>4162560</v>
      </c>
      <c r="BC436">
        <v>0.03</v>
      </c>
      <c r="BD436">
        <v>0.01</v>
      </c>
      <c r="BE436" s="37">
        <f t="shared" si="195"/>
        <v>400646.39999999997</v>
      </c>
      <c r="BF436" s="38">
        <f t="shared" si="196"/>
        <v>247152</v>
      </c>
      <c r="BG436" s="37">
        <f t="shared" si="203"/>
        <v>200750</v>
      </c>
      <c r="BH436" s="37">
        <f t="shared" si="197"/>
        <v>216800</v>
      </c>
      <c r="BI436">
        <v>200750</v>
      </c>
      <c r="BL436" s="8">
        <f t="shared" si="198"/>
        <v>0</v>
      </c>
      <c r="BM436" s="7" t="str">
        <f t="shared" si="206"/>
        <v>Terdaftar BPJS Kes &amp; Naker</v>
      </c>
      <c r="BN436" s="11">
        <f t="shared" si="207"/>
        <v>247152</v>
      </c>
      <c r="BO436" s="11">
        <f t="shared" si="208"/>
        <v>196854.40000000002</v>
      </c>
      <c r="BP436" s="9">
        <f t="shared" si="199"/>
        <v>0</v>
      </c>
      <c r="BQ436" t="s">
        <v>8</v>
      </c>
    </row>
    <row r="437" spans="1:69" x14ac:dyDescent="0.3">
      <c r="A437" s="2">
        <v>436</v>
      </c>
      <c r="B437" s="4" t="s">
        <v>1506</v>
      </c>
      <c r="C437" s="6" t="s">
        <v>241</v>
      </c>
      <c r="D437" s="6"/>
      <c r="E437" s="6" t="s">
        <v>73</v>
      </c>
      <c r="F437" s="6" t="s">
        <v>73</v>
      </c>
      <c r="G437" s="6" t="s">
        <v>73</v>
      </c>
      <c r="H437" s="6"/>
      <c r="I437" s="6"/>
      <c r="J437" s="6"/>
      <c r="K437" s="6">
        <v>800538</v>
      </c>
      <c r="L437" s="6"/>
      <c r="M437" s="6" t="s">
        <v>1505</v>
      </c>
      <c r="N437" s="46" t="s">
        <v>1504</v>
      </c>
      <c r="O437" s="6">
        <v>2145000699</v>
      </c>
      <c r="P437" s="78" t="s">
        <v>1503</v>
      </c>
      <c r="Q437" s="6">
        <v>10109</v>
      </c>
      <c r="R437" s="6">
        <v>27109</v>
      </c>
      <c r="S437" s="5" t="str">
        <f>VLOOKUP(T437,'[1]Kode Posisi'!$A$3:$B$45,2,)</f>
        <v>Outsourcing Cleaning Service</v>
      </c>
      <c r="T437" s="36" t="s">
        <v>47</v>
      </c>
      <c r="U437" s="44" t="s">
        <v>1495</v>
      </c>
      <c r="V437" s="44" t="s">
        <v>1502</v>
      </c>
      <c r="W437" s="36" t="s">
        <v>1493</v>
      </c>
      <c r="X437" s="36" t="s">
        <v>139</v>
      </c>
      <c r="Y437" s="36" t="s">
        <v>63</v>
      </c>
      <c r="Z437" s="79" t="s">
        <v>1501</v>
      </c>
      <c r="AA437" s="36" t="s">
        <v>1500</v>
      </c>
      <c r="AB437" s="47">
        <v>4336000</v>
      </c>
      <c r="AC437" s="41">
        <v>4336000</v>
      </c>
      <c r="AD437" s="3">
        <v>4015000</v>
      </c>
      <c r="AE437" s="16">
        <f t="shared" si="201"/>
        <v>321000</v>
      </c>
      <c r="AF437" s="16">
        <v>0</v>
      </c>
      <c r="AG437" s="17">
        <v>0</v>
      </c>
      <c r="AI437" s="16">
        <v>0</v>
      </c>
      <c r="AK437" s="16">
        <v>0</v>
      </c>
      <c r="AL437" s="11">
        <f t="shared" si="183"/>
        <v>4336000</v>
      </c>
      <c r="AM437" s="16">
        <f t="shared" si="184"/>
        <v>444006.39999999997</v>
      </c>
      <c r="AN437" s="16">
        <f t="shared" si="185"/>
        <v>173440</v>
      </c>
      <c r="AO437" s="16">
        <f t="shared" si="202"/>
        <v>270566.39999999997</v>
      </c>
      <c r="AP437" s="16">
        <f t="shared" si="186"/>
        <v>160432</v>
      </c>
      <c r="AQ437" s="16">
        <f t="shared" si="187"/>
        <v>4780006.4000000004</v>
      </c>
      <c r="AR437" s="16">
        <f t="shared" si="205"/>
        <v>286800.38400000002</v>
      </c>
      <c r="AS437" s="16">
        <f t="shared" si="188"/>
        <v>31548.042240000002</v>
      </c>
      <c r="AT437" s="16">
        <f t="shared" si="189"/>
        <v>-5736.0076800000006</v>
      </c>
      <c r="AU437" s="16">
        <f t="shared" si="190"/>
        <v>5061070.7763200002</v>
      </c>
      <c r="AV437" s="16">
        <f t="shared" si="191"/>
        <v>5066806.784</v>
      </c>
      <c r="AW437" s="16">
        <f t="shared" si="192"/>
        <v>173440</v>
      </c>
      <c r="AX437" s="16" t="s">
        <v>286</v>
      </c>
      <c r="AZ437" s="17">
        <f t="shared" si="204"/>
        <v>2900</v>
      </c>
      <c r="BA437" s="16">
        <f t="shared" si="193"/>
        <v>4162560</v>
      </c>
      <c r="BB437" s="16">
        <f t="shared" si="194"/>
        <v>4159660</v>
      </c>
      <c r="BC437">
        <v>0.03</v>
      </c>
      <c r="BD437">
        <v>0.01</v>
      </c>
      <c r="BE437" s="37">
        <f t="shared" si="195"/>
        <v>400646.39999999997</v>
      </c>
      <c r="BF437" s="38">
        <f t="shared" si="196"/>
        <v>247152</v>
      </c>
      <c r="BG437" s="37">
        <f t="shared" si="203"/>
        <v>200750</v>
      </c>
      <c r="BH437" s="37">
        <f t="shared" si="197"/>
        <v>216800</v>
      </c>
      <c r="BI437">
        <v>200750</v>
      </c>
      <c r="BL437" s="8">
        <f t="shared" si="198"/>
        <v>0</v>
      </c>
      <c r="BM437" s="7" t="str">
        <f t="shared" si="206"/>
        <v>Terdaftar BPJS Kes &amp; Naker</v>
      </c>
      <c r="BN437" s="11">
        <f t="shared" si="207"/>
        <v>247152</v>
      </c>
      <c r="BO437" s="11">
        <f t="shared" si="208"/>
        <v>196854.40000000002</v>
      </c>
      <c r="BP437" s="9">
        <f t="shared" si="199"/>
        <v>0</v>
      </c>
      <c r="BQ437" t="str">
        <f>_xlfn.XLOOKUP(X437,'[2]NON TETAP'!$H:$H,'[2]NON TETAP'!$I:$I)</f>
        <v>GRAMEDIA ASRI MEDIA</v>
      </c>
    </row>
    <row r="438" spans="1:69" x14ac:dyDescent="0.3">
      <c r="A438" s="2">
        <v>437</v>
      </c>
      <c r="B438" s="4" t="s">
        <v>1499</v>
      </c>
      <c r="C438" s="6" t="s">
        <v>241</v>
      </c>
      <c r="D438" s="6"/>
      <c r="E438" s="6" t="s">
        <v>73</v>
      </c>
      <c r="F438" s="6" t="s">
        <v>73</v>
      </c>
      <c r="G438" s="6" t="s">
        <v>73</v>
      </c>
      <c r="H438" s="6"/>
      <c r="I438" s="6"/>
      <c r="J438" s="6"/>
      <c r="K438" s="6">
        <v>800539</v>
      </c>
      <c r="L438" s="6"/>
      <c r="M438" s="6" t="s">
        <v>1498</v>
      </c>
      <c r="N438" s="46" t="s">
        <v>1497</v>
      </c>
      <c r="O438" s="6">
        <v>2265934702</v>
      </c>
      <c r="P438" s="78" t="s">
        <v>1496</v>
      </c>
      <c r="Q438" s="6">
        <v>10109</v>
      </c>
      <c r="R438" s="6">
        <v>27109</v>
      </c>
      <c r="S438" s="5" t="str">
        <f>VLOOKUP(T438,'[1]Kode Posisi'!$A$3:$B$45,2,)</f>
        <v>Outsourcing Cleaning Service</v>
      </c>
      <c r="T438" s="36" t="s">
        <v>47</v>
      </c>
      <c r="U438" s="44" t="s">
        <v>1495</v>
      </c>
      <c r="V438" s="44" t="s">
        <v>1494</v>
      </c>
      <c r="W438" s="36" t="s">
        <v>1493</v>
      </c>
      <c r="X438" s="36" t="s">
        <v>139</v>
      </c>
      <c r="Y438" s="36" t="s">
        <v>63</v>
      </c>
      <c r="Z438" s="79" t="s">
        <v>1492</v>
      </c>
      <c r="AA438" s="36" t="s">
        <v>1491</v>
      </c>
      <c r="AB438" s="47">
        <v>4336000</v>
      </c>
      <c r="AC438" s="41">
        <v>4336000</v>
      </c>
      <c r="AD438" s="3">
        <v>4015000</v>
      </c>
      <c r="AE438" s="16">
        <f t="shared" si="201"/>
        <v>321000</v>
      </c>
      <c r="AF438" s="16">
        <v>0</v>
      </c>
      <c r="AG438" s="17">
        <v>0</v>
      </c>
      <c r="AI438" s="16">
        <v>0</v>
      </c>
      <c r="AK438" s="16">
        <v>0</v>
      </c>
      <c r="AL438" s="11">
        <f t="shared" si="183"/>
        <v>4336000</v>
      </c>
      <c r="AM438" s="16">
        <f t="shared" si="184"/>
        <v>444006.39999999997</v>
      </c>
      <c r="AN438" s="16">
        <f t="shared" si="185"/>
        <v>173440</v>
      </c>
      <c r="AO438" s="16">
        <f t="shared" si="202"/>
        <v>270566.39999999997</v>
      </c>
      <c r="AP438" s="16">
        <f t="shared" si="186"/>
        <v>160432</v>
      </c>
      <c r="AQ438" s="16">
        <f t="shared" si="187"/>
        <v>4780006.4000000004</v>
      </c>
      <c r="AR438" s="16">
        <f t="shared" si="205"/>
        <v>286800.38400000002</v>
      </c>
      <c r="AS438" s="16">
        <f t="shared" si="188"/>
        <v>31548.042240000002</v>
      </c>
      <c r="AT438" s="16">
        <f t="shared" si="189"/>
        <v>-5736.0076800000006</v>
      </c>
      <c r="AU438" s="16">
        <f t="shared" si="190"/>
        <v>5061070.7763200002</v>
      </c>
      <c r="AV438" s="16">
        <f t="shared" si="191"/>
        <v>5066806.784</v>
      </c>
      <c r="AW438" s="16">
        <f t="shared" si="192"/>
        <v>173440</v>
      </c>
      <c r="AX438" s="16" t="s">
        <v>235</v>
      </c>
      <c r="AZ438" s="17">
        <f t="shared" si="204"/>
        <v>2900</v>
      </c>
      <c r="BA438" s="16">
        <f t="shared" si="193"/>
        <v>4162560</v>
      </c>
      <c r="BB438" s="16">
        <f t="shared" si="194"/>
        <v>4159660</v>
      </c>
      <c r="BC438">
        <v>0.03</v>
      </c>
      <c r="BD438">
        <v>0.01</v>
      </c>
      <c r="BE438" s="37">
        <f t="shared" si="195"/>
        <v>400646.39999999997</v>
      </c>
      <c r="BF438" s="38">
        <f t="shared" si="196"/>
        <v>247152</v>
      </c>
      <c r="BG438" s="37">
        <f t="shared" si="203"/>
        <v>200750</v>
      </c>
      <c r="BH438" s="37">
        <f t="shared" si="197"/>
        <v>216800</v>
      </c>
      <c r="BI438">
        <v>200750</v>
      </c>
      <c r="BL438" s="8">
        <f t="shared" si="198"/>
        <v>0</v>
      </c>
      <c r="BM438" s="7" t="str">
        <f t="shared" si="206"/>
        <v>Terdaftar BPJS Kes &amp; Naker</v>
      </c>
      <c r="BN438" s="11">
        <f t="shared" si="207"/>
        <v>247152</v>
      </c>
      <c r="BO438" s="11">
        <f t="shared" si="208"/>
        <v>196854.40000000002</v>
      </c>
      <c r="BP438" s="9">
        <f t="shared" si="199"/>
        <v>0</v>
      </c>
      <c r="BQ438" t="str">
        <f>_xlfn.XLOOKUP(X438,'[2]NON TETAP'!$H:$H,'[2]NON TETAP'!$I:$I)</f>
        <v>GRAMEDIA ASRI MEDIA</v>
      </c>
    </row>
    <row r="439" spans="1:69" x14ac:dyDescent="0.3">
      <c r="A439" s="2">
        <v>438</v>
      </c>
      <c r="B439" s="4" t="s">
        <v>1481</v>
      </c>
      <c r="C439" s="6" t="s">
        <v>241</v>
      </c>
      <c r="D439" s="6"/>
      <c r="E439" s="6" t="s">
        <v>73</v>
      </c>
      <c r="F439" s="6" t="s">
        <v>73</v>
      </c>
      <c r="G439" s="6" t="s">
        <v>73</v>
      </c>
      <c r="H439" s="6"/>
      <c r="I439" s="6"/>
      <c r="J439" s="6"/>
      <c r="K439" s="6">
        <v>800540</v>
      </c>
      <c r="L439" s="6" t="s">
        <v>1490</v>
      </c>
      <c r="M439" s="6" t="s">
        <v>1489</v>
      </c>
      <c r="N439" s="46" t="s">
        <v>1488</v>
      </c>
      <c r="O439" s="6">
        <v>1994306861</v>
      </c>
      <c r="P439" s="36" t="s">
        <v>1487</v>
      </c>
      <c r="Q439" s="6">
        <v>10103</v>
      </c>
      <c r="R439" s="6">
        <v>27103</v>
      </c>
      <c r="S439" s="5" t="str">
        <f>VLOOKUP(T439,'[1]Kode Posisi'!$A$3:$B$45,2,)</f>
        <v>Outsourcing Keamanan</v>
      </c>
      <c r="T439" s="36" t="s">
        <v>37</v>
      </c>
      <c r="U439" s="44" t="s">
        <v>1486</v>
      </c>
      <c r="V439" s="44" t="s">
        <v>1485</v>
      </c>
      <c r="W439" s="36" t="s">
        <v>1484</v>
      </c>
      <c r="X439" s="36" t="s">
        <v>1483</v>
      </c>
      <c r="Y439" s="36" t="s">
        <v>63</v>
      </c>
      <c r="Z439" s="79" t="s">
        <v>1482</v>
      </c>
      <c r="AA439" s="36" t="s">
        <v>1481</v>
      </c>
      <c r="AB439" s="47">
        <v>3792000</v>
      </c>
      <c r="AC439" s="41">
        <v>3792000</v>
      </c>
      <c r="AD439" s="3">
        <v>3535000</v>
      </c>
      <c r="AE439" s="16">
        <f t="shared" si="201"/>
        <v>257000</v>
      </c>
      <c r="AF439" s="16">
        <v>0</v>
      </c>
      <c r="AG439" s="17">
        <v>0</v>
      </c>
      <c r="AI439" s="16">
        <v>0</v>
      </c>
      <c r="AK439" s="16">
        <v>0</v>
      </c>
      <c r="AL439" s="11">
        <f t="shared" si="183"/>
        <v>3792000</v>
      </c>
      <c r="AM439" s="16">
        <f t="shared" si="184"/>
        <v>388300.79999999999</v>
      </c>
      <c r="AN439" s="16">
        <f t="shared" si="185"/>
        <v>151680</v>
      </c>
      <c r="AO439" s="16">
        <f t="shared" si="202"/>
        <v>236620.79999999999</v>
      </c>
      <c r="AP439" s="16">
        <f t="shared" si="186"/>
        <v>140304</v>
      </c>
      <c r="AQ439" s="16">
        <f t="shared" si="187"/>
        <v>4180300.8</v>
      </c>
      <c r="AR439" s="16">
        <f t="shared" si="205"/>
        <v>250818.04799999998</v>
      </c>
      <c r="AS439" s="16">
        <f t="shared" si="188"/>
        <v>27589.985279999997</v>
      </c>
      <c r="AT439" s="16">
        <f t="shared" si="189"/>
        <v>-5016.36096</v>
      </c>
      <c r="AU439" s="16">
        <f t="shared" si="190"/>
        <v>4426102.48704</v>
      </c>
      <c r="AV439" s="16">
        <f t="shared" si="191"/>
        <v>4431118.8480000002</v>
      </c>
      <c r="AW439" s="16">
        <f t="shared" si="192"/>
        <v>151680</v>
      </c>
      <c r="AX439" s="16" t="s">
        <v>243</v>
      </c>
      <c r="AZ439" s="17">
        <f t="shared" si="204"/>
        <v>2900</v>
      </c>
      <c r="BA439" s="16">
        <f t="shared" si="193"/>
        <v>3640320</v>
      </c>
      <c r="BB439" s="16">
        <f t="shared" si="194"/>
        <v>3637420</v>
      </c>
      <c r="BC439">
        <v>0.03</v>
      </c>
      <c r="BD439">
        <v>0.01</v>
      </c>
      <c r="BE439" s="37">
        <f t="shared" si="195"/>
        <v>350380.79999999999</v>
      </c>
      <c r="BF439" s="38">
        <f t="shared" si="196"/>
        <v>216144</v>
      </c>
      <c r="BG439" s="37">
        <f t="shared" si="203"/>
        <v>176750</v>
      </c>
      <c r="BH439" s="37">
        <f t="shared" si="197"/>
        <v>189600</v>
      </c>
      <c r="BI439">
        <v>176750</v>
      </c>
      <c r="BL439" s="8">
        <f t="shared" si="198"/>
        <v>0</v>
      </c>
      <c r="BM439" s="7" t="str">
        <f t="shared" si="206"/>
        <v>Terdaftar BPJS Kes &amp; Naker</v>
      </c>
      <c r="BN439" s="11">
        <f t="shared" si="207"/>
        <v>216144</v>
      </c>
      <c r="BO439" s="11">
        <f t="shared" si="208"/>
        <v>172156.80000000002</v>
      </c>
      <c r="BP439" s="9">
        <f t="shared" si="199"/>
        <v>0</v>
      </c>
      <c r="BQ439" t="str">
        <f>_xlfn.XLOOKUP(X439,'[2]NON TETAP'!$H:$H,'[2]NON TETAP'!$I:$I)</f>
        <v>GRAMEDIA ASRI MEDIA</v>
      </c>
    </row>
    <row r="440" spans="1:69" x14ac:dyDescent="0.3">
      <c r="A440" s="2">
        <v>439</v>
      </c>
      <c r="B440" s="4" t="s">
        <v>1480</v>
      </c>
      <c r="C440" s="6" t="s">
        <v>241</v>
      </c>
      <c r="D440" s="6"/>
      <c r="E440" s="6" t="s">
        <v>73</v>
      </c>
      <c r="F440" s="6" t="s">
        <v>73</v>
      </c>
      <c r="G440" s="6"/>
      <c r="H440" s="6"/>
      <c r="I440" s="6"/>
      <c r="J440" s="6"/>
      <c r="K440" s="6">
        <v>800541</v>
      </c>
      <c r="L440" s="6"/>
      <c r="M440" s="6"/>
      <c r="N440" s="46" t="s">
        <v>1479</v>
      </c>
      <c r="O440" s="6">
        <v>2054608694</v>
      </c>
      <c r="P440" s="78" t="s">
        <v>1478</v>
      </c>
      <c r="Q440" s="6">
        <v>10118</v>
      </c>
      <c r="R440" s="6">
        <v>27118</v>
      </c>
      <c r="S440" s="5" t="str">
        <f>VLOOKUP(T440,'[1]Kode Posisi'!$A$3:$B$45,2,)</f>
        <v>Outsourcing Cleaning Service</v>
      </c>
      <c r="T440" s="36" t="s">
        <v>47</v>
      </c>
      <c r="U440" s="44" t="s">
        <v>1464</v>
      </c>
      <c r="V440" s="44" t="s">
        <v>1477</v>
      </c>
      <c r="W440" s="36" t="s">
        <v>1462</v>
      </c>
      <c r="X440" s="36" t="s">
        <v>1461</v>
      </c>
      <c r="Y440" s="36" t="s">
        <v>52</v>
      </c>
      <c r="Z440" s="79" t="s">
        <v>1476</v>
      </c>
      <c r="AA440" s="36" t="s">
        <v>1475</v>
      </c>
      <c r="AB440" s="47">
        <v>3013000</v>
      </c>
      <c r="AC440" s="41">
        <v>3013000</v>
      </c>
      <c r="AD440" s="3">
        <v>2839000</v>
      </c>
      <c r="AE440" s="16">
        <f t="shared" si="201"/>
        <v>174000</v>
      </c>
      <c r="AF440" s="16">
        <v>0</v>
      </c>
      <c r="AG440" s="17">
        <v>0</v>
      </c>
      <c r="AI440" s="16">
        <v>0</v>
      </c>
      <c r="AK440" s="16">
        <v>0</v>
      </c>
      <c r="AL440" s="11">
        <f t="shared" si="183"/>
        <v>3013000</v>
      </c>
      <c r="AM440" s="16">
        <f t="shared" si="184"/>
        <v>308531.19999999995</v>
      </c>
      <c r="AN440" s="16">
        <f t="shared" si="185"/>
        <v>120520</v>
      </c>
      <c r="AO440" s="16">
        <f t="shared" si="202"/>
        <v>188011.19999999998</v>
      </c>
      <c r="AP440" s="16">
        <f t="shared" si="186"/>
        <v>111481</v>
      </c>
      <c r="AQ440" s="16">
        <f t="shared" si="187"/>
        <v>3321531.2</v>
      </c>
      <c r="AR440" s="16">
        <f t="shared" si="205"/>
        <v>199291.872</v>
      </c>
      <c r="AS440" s="16">
        <f t="shared" si="188"/>
        <v>21922.105920000002</v>
      </c>
      <c r="AT440" s="16">
        <f t="shared" si="189"/>
        <v>-3985.8374400000002</v>
      </c>
      <c r="AU440" s="16">
        <f t="shared" si="190"/>
        <v>3516837.2345600002</v>
      </c>
      <c r="AV440" s="16">
        <f t="shared" si="191"/>
        <v>3520823.0720000002</v>
      </c>
      <c r="AW440" s="16">
        <f t="shared" si="192"/>
        <v>120520</v>
      </c>
      <c r="AX440" s="16" t="s">
        <v>319</v>
      </c>
      <c r="AZ440" s="17">
        <f t="shared" si="204"/>
        <v>0</v>
      </c>
      <c r="BA440" s="16">
        <f t="shared" si="193"/>
        <v>2892480</v>
      </c>
      <c r="BB440" s="16">
        <f t="shared" si="194"/>
        <v>2892480</v>
      </c>
      <c r="BC440" s="15">
        <v>0.03</v>
      </c>
      <c r="BD440">
        <v>0.01</v>
      </c>
      <c r="BE440" s="37">
        <f t="shared" si="195"/>
        <v>278401.2</v>
      </c>
      <c r="BF440" s="38">
        <f t="shared" si="196"/>
        <v>171741.00000000003</v>
      </c>
      <c r="BG440" s="37">
        <f t="shared" si="203"/>
        <v>141950</v>
      </c>
      <c r="BH440" s="37">
        <f t="shared" si="197"/>
        <v>150650</v>
      </c>
      <c r="BI440">
        <v>141950</v>
      </c>
      <c r="BL440" s="8">
        <f t="shared" si="198"/>
        <v>0</v>
      </c>
      <c r="BM440" s="7" t="str">
        <f t="shared" si="206"/>
        <v>Terdaftar BPJS Kes &amp; Naker</v>
      </c>
      <c r="BN440" s="11">
        <f t="shared" si="207"/>
        <v>171741</v>
      </c>
      <c r="BO440" s="11">
        <f t="shared" si="208"/>
        <v>136790.20000000001</v>
      </c>
      <c r="BP440" s="9">
        <f t="shared" si="199"/>
        <v>0</v>
      </c>
      <c r="BQ440" t="str">
        <f>_xlfn.XLOOKUP(X440,'[2]NON TETAP'!$H:$H,'[2]NON TETAP'!$I:$I)</f>
        <v>GRAMEDIA ASRI MEDIA</v>
      </c>
    </row>
    <row r="441" spans="1:69" x14ac:dyDescent="0.3">
      <c r="A441" s="2">
        <v>440</v>
      </c>
      <c r="B441" s="4" t="s">
        <v>1474</v>
      </c>
      <c r="C441" s="6" t="s">
        <v>241</v>
      </c>
      <c r="D441" s="6"/>
      <c r="E441" s="6" t="s">
        <v>73</v>
      </c>
      <c r="F441" s="6" t="s">
        <v>73</v>
      </c>
      <c r="G441" s="6"/>
      <c r="H441" s="6"/>
      <c r="I441" s="6"/>
      <c r="J441" s="6"/>
      <c r="K441" s="6">
        <v>800542</v>
      </c>
      <c r="L441" s="6"/>
      <c r="M441" s="6"/>
      <c r="N441" s="46" t="s">
        <v>1473</v>
      </c>
      <c r="O441" s="6">
        <v>2468206708</v>
      </c>
      <c r="P441" s="78" t="s">
        <v>1472</v>
      </c>
      <c r="Q441" s="6">
        <v>18105</v>
      </c>
      <c r="R441" s="6">
        <v>27190</v>
      </c>
      <c r="S441" s="5" t="str">
        <f>VLOOKUP(T441,'[1]Kode Posisi'!$A$3:$B$45,2,)</f>
        <v>Outsourcing Petugas Pemeliharaan Gedung</v>
      </c>
      <c r="T441" s="36" t="s">
        <v>247</v>
      </c>
      <c r="U441" s="44" t="s">
        <v>1464</v>
      </c>
      <c r="V441" s="44" t="s">
        <v>1471</v>
      </c>
      <c r="W441" s="36" t="s">
        <v>1462</v>
      </c>
      <c r="X441" s="36" t="s">
        <v>1470</v>
      </c>
      <c r="Y441" s="36" t="s">
        <v>52</v>
      </c>
      <c r="Z441" s="79" t="s">
        <v>1469</v>
      </c>
      <c r="AA441" s="36" t="s">
        <v>1468</v>
      </c>
      <c r="AB441" s="47">
        <v>3013000</v>
      </c>
      <c r="AC441" s="41">
        <v>3013000</v>
      </c>
      <c r="AD441" s="3">
        <v>2839000</v>
      </c>
      <c r="AE441" s="16">
        <f t="shared" ref="AE441:AE472" si="209">AB441-AD441</f>
        <v>174000</v>
      </c>
      <c r="AF441" s="16">
        <v>0</v>
      </c>
      <c r="AG441" s="17">
        <v>0</v>
      </c>
      <c r="AI441" s="16">
        <v>0</v>
      </c>
      <c r="AK441" s="16">
        <v>0</v>
      </c>
      <c r="AL441" s="11">
        <f t="shared" si="183"/>
        <v>3013000</v>
      </c>
      <c r="AM441" s="16">
        <f t="shared" si="184"/>
        <v>308531.19999999995</v>
      </c>
      <c r="AN441" s="16">
        <f t="shared" si="185"/>
        <v>120520</v>
      </c>
      <c r="AO441" s="16">
        <f t="shared" si="202"/>
        <v>188011.19999999998</v>
      </c>
      <c r="AP441" s="16">
        <f t="shared" si="186"/>
        <v>111481</v>
      </c>
      <c r="AQ441" s="16">
        <f t="shared" si="187"/>
        <v>3321531.2</v>
      </c>
      <c r="AR441" s="16">
        <f t="shared" si="205"/>
        <v>199291.872</v>
      </c>
      <c r="AS441" s="16">
        <f t="shared" si="188"/>
        <v>21922.105920000002</v>
      </c>
      <c r="AT441" s="16">
        <f t="shared" si="189"/>
        <v>-3985.8374400000002</v>
      </c>
      <c r="AU441" s="16">
        <f t="shared" si="190"/>
        <v>3516837.2345600002</v>
      </c>
      <c r="AV441" s="16">
        <f t="shared" si="191"/>
        <v>3520823.0720000002</v>
      </c>
      <c r="AW441" s="16">
        <f t="shared" si="192"/>
        <v>120520</v>
      </c>
      <c r="AX441" s="16" t="s">
        <v>319</v>
      </c>
      <c r="AZ441" s="17">
        <f t="shared" si="204"/>
        <v>0</v>
      </c>
      <c r="BA441" s="16">
        <f t="shared" si="193"/>
        <v>2892480</v>
      </c>
      <c r="BB441" s="16">
        <f t="shared" si="194"/>
        <v>2892480</v>
      </c>
      <c r="BC441" s="15">
        <v>0.03</v>
      </c>
      <c r="BD441">
        <v>0.01</v>
      </c>
      <c r="BE441" s="37">
        <f t="shared" si="195"/>
        <v>278401.2</v>
      </c>
      <c r="BF441" s="38">
        <f t="shared" si="196"/>
        <v>171741.00000000003</v>
      </c>
      <c r="BG441" s="37">
        <f t="shared" si="203"/>
        <v>141950</v>
      </c>
      <c r="BH441" s="37">
        <f t="shared" si="197"/>
        <v>150650</v>
      </c>
      <c r="BI441">
        <v>141950</v>
      </c>
      <c r="BL441" s="8">
        <f t="shared" si="198"/>
        <v>0</v>
      </c>
      <c r="BM441" s="7" t="str">
        <f t="shared" si="206"/>
        <v>Terdaftar BPJS Kes &amp; Naker</v>
      </c>
      <c r="BN441" s="11">
        <f t="shared" si="207"/>
        <v>171741</v>
      </c>
      <c r="BO441" s="11">
        <f t="shared" si="208"/>
        <v>136790.20000000001</v>
      </c>
      <c r="BP441" s="9">
        <f t="shared" si="199"/>
        <v>0</v>
      </c>
      <c r="BQ441" t="s">
        <v>8</v>
      </c>
    </row>
    <row r="442" spans="1:69" x14ac:dyDescent="0.3">
      <c r="A442" s="2">
        <v>441</v>
      </c>
      <c r="B442" s="4" t="s">
        <v>1467</v>
      </c>
      <c r="C442" s="6" t="s">
        <v>241</v>
      </c>
      <c r="D442" s="6"/>
      <c r="E442" s="6" t="s">
        <v>73</v>
      </c>
      <c r="F442" s="6" t="s">
        <v>73</v>
      </c>
      <c r="G442" s="6"/>
      <c r="H442" s="6"/>
      <c r="I442" s="6"/>
      <c r="J442" s="6"/>
      <c r="K442" s="6">
        <v>800543</v>
      </c>
      <c r="L442" s="6"/>
      <c r="M442" s="6"/>
      <c r="N442" s="46" t="s">
        <v>1466</v>
      </c>
      <c r="O442" s="6">
        <v>1320328732</v>
      </c>
      <c r="P442" s="78" t="s">
        <v>1465</v>
      </c>
      <c r="Q442" s="6">
        <v>10118</v>
      </c>
      <c r="R442" s="6">
        <v>27118</v>
      </c>
      <c r="S442" s="5" t="str">
        <f>VLOOKUP(T442,'[1]Kode Posisi'!$A$3:$B$45,2,)</f>
        <v>Outsourcing Cleaning Service</v>
      </c>
      <c r="T442" s="36" t="s">
        <v>47</v>
      </c>
      <c r="U442" s="44" t="s">
        <v>1464</v>
      </c>
      <c r="V442" s="44" t="s">
        <v>1463</v>
      </c>
      <c r="W442" s="36" t="s">
        <v>1462</v>
      </c>
      <c r="X442" s="36" t="s">
        <v>1461</v>
      </c>
      <c r="Y442" s="36" t="s">
        <v>52</v>
      </c>
      <c r="Z442" s="79" t="s">
        <v>1460</v>
      </c>
      <c r="AA442" s="36" t="s">
        <v>1459</v>
      </c>
      <c r="AB442" s="47">
        <v>3013000</v>
      </c>
      <c r="AC442" s="41">
        <v>3013000</v>
      </c>
      <c r="AD442" s="3">
        <v>2839000</v>
      </c>
      <c r="AE442" s="16">
        <f t="shared" si="209"/>
        <v>174000</v>
      </c>
      <c r="AF442" s="16">
        <v>0</v>
      </c>
      <c r="AG442" s="17">
        <v>0</v>
      </c>
      <c r="AI442" s="16">
        <v>0</v>
      </c>
      <c r="AK442" s="16">
        <v>0</v>
      </c>
      <c r="AL442" s="11">
        <f t="shared" si="183"/>
        <v>3013000</v>
      </c>
      <c r="AM442" s="16">
        <f t="shared" si="184"/>
        <v>308531.19999999995</v>
      </c>
      <c r="AN442" s="16">
        <f t="shared" si="185"/>
        <v>120520</v>
      </c>
      <c r="AO442" s="16">
        <f t="shared" si="202"/>
        <v>188011.19999999998</v>
      </c>
      <c r="AP442" s="16">
        <f t="shared" si="186"/>
        <v>111481</v>
      </c>
      <c r="AQ442" s="16">
        <f t="shared" si="187"/>
        <v>3321531.2</v>
      </c>
      <c r="AR442" s="16">
        <f t="shared" si="205"/>
        <v>199291.872</v>
      </c>
      <c r="AS442" s="16">
        <f t="shared" si="188"/>
        <v>21922.105920000002</v>
      </c>
      <c r="AT442" s="16">
        <f t="shared" si="189"/>
        <v>-3985.8374400000002</v>
      </c>
      <c r="AU442" s="16">
        <f t="shared" si="190"/>
        <v>3516837.2345600002</v>
      </c>
      <c r="AV442" s="16">
        <f t="shared" si="191"/>
        <v>3520823.0720000002</v>
      </c>
      <c r="AW442" s="16">
        <f t="shared" si="192"/>
        <v>120520</v>
      </c>
      <c r="AX442" s="16" t="s">
        <v>286</v>
      </c>
      <c r="AZ442" s="17">
        <f t="shared" si="204"/>
        <v>0</v>
      </c>
      <c r="BA442" s="16">
        <f t="shared" si="193"/>
        <v>2892480</v>
      </c>
      <c r="BB442" s="16">
        <f t="shared" si="194"/>
        <v>2892480</v>
      </c>
      <c r="BC442" s="15">
        <v>0.03</v>
      </c>
      <c r="BD442">
        <v>0.01</v>
      </c>
      <c r="BE442" s="37">
        <f t="shared" si="195"/>
        <v>278401.2</v>
      </c>
      <c r="BF442" s="38">
        <f t="shared" si="196"/>
        <v>171741.00000000003</v>
      </c>
      <c r="BG442" s="37">
        <f t="shared" si="203"/>
        <v>141950</v>
      </c>
      <c r="BH442" s="37">
        <f t="shared" si="197"/>
        <v>150650</v>
      </c>
      <c r="BI442">
        <v>141950</v>
      </c>
      <c r="BL442" s="8">
        <f t="shared" si="198"/>
        <v>0</v>
      </c>
      <c r="BM442" s="7" t="str">
        <f t="shared" si="206"/>
        <v>Terdaftar BPJS Kes &amp; Naker</v>
      </c>
      <c r="BN442" s="11">
        <f t="shared" si="207"/>
        <v>171741</v>
      </c>
      <c r="BO442" s="11">
        <f t="shared" si="208"/>
        <v>136790.20000000001</v>
      </c>
      <c r="BP442" s="9">
        <f t="shared" si="199"/>
        <v>0</v>
      </c>
      <c r="BQ442" t="str">
        <f>_xlfn.XLOOKUP(X442,'[2]NON TETAP'!$H:$H,'[2]NON TETAP'!$I:$I)</f>
        <v>GRAMEDIA ASRI MEDIA</v>
      </c>
    </row>
    <row r="443" spans="1:69" x14ac:dyDescent="0.3">
      <c r="A443" s="2">
        <v>442</v>
      </c>
      <c r="B443" s="4" t="s">
        <v>1450</v>
      </c>
      <c r="C443" s="6" t="s">
        <v>241</v>
      </c>
      <c r="D443" s="6"/>
      <c r="E443" s="6" t="s">
        <v>73</v>
      </c>
      <c r="F443" s="6" t="s">
        <v>73</v>
      </c>
      <c r="G443" s="6"/>
      <c r="H443" s="6"/>
      <c r="I443" s="6"/>
      <c r="J443" s="6"/>
      <c r="K443" s="6">
        <v>800544</v>
      </c>
      <c r="L443" s="6"/>
      <c r="M443" s="6" t="s">
        <v>1458</v>
      </c>
      <c r="N443" s="46" t="s">
        <v>1457</v>
      </c>
      <c r="O443" s="6">
        <v>2685264366</v>
      </c>
      <c r="P443" s="78" t="s">
        <v>1456</v>
      </c>
      <c r="Q443" s="6">
        <v>10438</v>
      </c>
      <c r="R443" s="6">
        <v>27438</v>
      </c>
      <c r="S443" s="5" t="str">
        <f>VLOOKUP(T443,'[1]Kode Posisi'!$A$3:$B$45,2,)</f>
        <v>Outsourcing Cleaning Service</v>
      </c>
      <c r="T443" s="36" t="s">
        <v>47</v>
      </c>
      <c r="U443" s="44" t="s">
        <v>1455</v>
      </c>
      <c r="V443" s="44" t="s">
        <v>1454</v>
      </c>
      <c r="W443" s="36" t="s">
        <v>1453</v>
      </c>
      <c r="X443" s="36" t="s">
        <v>1452</v>
      </c>
      <c r="Y443" s="36" t="s">
        <v>52</v>
      </c>
      <c r="Z443" s="79" t="s">
        <v>1451</v>
      </c>
      <c r="AA443" s="36" t="s">
        <v>1450</v>
      </c>
      <c r="AB443" s="47">
        <v>2743000</v>
      </c>
      <c r="AC443" s="41">
        <v>2743000</v>
      </c>
      <c r="AD443" s="3">
        <v>2573000</v>
      </c>
      <c r="AE443" s="16">
        <f t="shared" si="209"/>
        <v>170000</v>
      </c>
      <c r="AF443" s="16">
        <v>0</v>
      </c>
      <c r="AG443" s="17">
        <v>0</v>
      </c>
      <c r="AI443" s="16">
        <v>44618.497109826589</v>
      </c>
      <c r="AK443" s="16">
        <v>0</v>
      </c>
      <c r="AL443" s="11">
        <f t="shared" si="183"/>
        <v>2787618.4971098267</v>
      </c>
      <c r="AM443" s="16">
        <f t="shared" si="184"/>
        <v>280883.19999999995</v>
      </c>
      <c r="AN443" s="16">
        <f t="shared" si="185"/>
        <v>109720</v>
      </c>
      <c r="AO443" s="16">
        <f t="shared" si="202"/>
        <v>171163.19999999998</v>
      </c>
      <c r="AP443" s="16">
        <f t="shared" si="186"/>
        <v>101491</v>
      </c>
      <c r="AQ443" s="16">
        <f t="shared" si="187"/>
        <v>3068501.6971098268</v>
      </c>
      <c r="AR443" s="16">
        <f t="shared" si="205"/>
        <v>184110.10182658961</v>
      </c>
      <c r="AS443" s="16">
        <f t="shared" si="188"/>
        <v>20252.111200924857</v>
      </c>
      <c r="AT443" s="16">
        <f t="shared" si="189"/>
        <v>-3682.2020365317921</v>
      </c>
      <c r="AU443" s="16">
        <f t="shared" si="190"/>
        <v>3248929.5968998848</v>
      </c>
      <c r="AV443" s="16">
        <f t="shared" si="191"/>
        <v>3252611.7989364164</v>
      </c>
      <c r="AW443" s="16">
        <f t="shared" si="192"/>
        <v>109720</v>
      </c>
      <c r="AX443" s="16" t="s">
        <v>235</v>
      </c>
      <c r="AZ443" s="17">
        <f t="shared" si="204"/>
        <v>0</v>
      </c>
      <c r="BA443" s="16">
        <f t="shared" si="193"/>
        <v>2677898.4971098267</v>
      </c>
      <c r="BB443" s="16">
        <f t="shared" si="194"/>
        <v>2677898.4971098267</v>
      </c>
      <c r="BC443">
        <v>0.03</v>
      </c>
      <c r="BD443">
        <v>0.01</v>
      </c>
      <c r="BE443" s="37">
        <f t="shared" si="195"/>
        <v>253453.19999999998</v>
      </c>
      <c r="BF443" s="38">
        <f t="shared" si="196"/>
        <v>156351</v>
      </c>
      <c r="BG443" s="37">
        <f t="shared" si="203"/>
        <v>128650</v>
      </c>
      <c r="BH443" s="37">
        <f t="shared" si="197"/>
        <v>137150</v>
      </c>
      <c r="BI443">
        <v>128650</v>
      </c>
      <c r="BL443" s="8">
        <f t="shared" si="198"/>
        <v>44618.497109826589</v>
      </c>
      <c r="BM443" s="7" t="str">
        <f t="shared" si="206"/>
        <v>Terdaftar BPJS Kes &amp; Naker</v>
      </c>
      <c r="BN443" s="11">
        <f t="shared" si="207"/>
        <v>156351</v>
      </c>
      <c r="BO443" s="11">
        <f t="shared" si="208"/>
        <v>124532.20000000001</v>
      </c>
      <c r="BP443" s="9">
        <f t="shared" si="199"/>
        <v>0</v>
      </c>
      <c r="BQ443" t="str">
        <f>_xlfn.XLOOKUP(X443,'[2]NON TETAP'!$H:$H,'[2]NON TETAP'!$I:$I)</f>
        <v>GRAMEDIA ASRI MEDIA</v>
      </c>
    </row>
    <row r="444" spans="1:69" x14ac:dyDescent="0.3">
      <c r="A444" s="2">
        <v>443</v>
      </c>
      <c r="B444" s="4" t="s">
        <v>1444</v>
      </c>
      <c r="C444" s="6" t="s">
        <v>241</v>
      </c>
      <c r="D444" s="6"/>
      <c r="E444" s="6" t="s">
        <v>73</v>
      </c>
      <c r="F444" s="6" t="s">
        <v>73</v>
      </c>
      <c r="G444" s="6" t="s">
        <v>73</v>
      </c>
      <c r="H444" s="6"/>
      <c r="I444" s="6"/>
      <c r="J444" s="6"/>
      <c r="K444" s="6">
        <v>800545</v>
      </c>
      <c r="L444" s="6"/>
      <c r="M444" s="6" t="s">
        <v>1449</v>
      </c>
      <c r="N444" s="46" t="s">
        <v>1448</v>
      </c>
      <c r="O444" s="6">
        <v>1825619141</v>
      </c>
      <c r="P444" s="78" t="s">
        <v>1447</v>
      </c>
      <c r="Q444" s="6">
        <v>10147</v>
      </c>
      <c r="R444" s="6">
        <v>27147</v>
      </c>
      <c r="S444" s="5" t="str">
        <f>VLOOKUP(T444,'[1]Kode Posisi'!$A$3:$B$45,2,)</f>
        <v>Outsourcing Cleaning Service</v>
      </c>
      <c r="T444" s="36" t="s">
        <v>47</v>
      </c>
      <c r="U444" s="44" t="s">
        <v>1418</v>
      </c>
      <c r="V444" s="44" t="s">
        <v>1446</v>
      </c>
      <c r="W444" s="36" t="s">
        <v>1416</v>
      </c>
      <c r="X444" s="36" t="s">
        <v>1415</v>
      </c>
      <c r="Y444" s="36" t="s">
        <v>473</v>
      </c>
      <c r="Z444" s="79" t="s">
        <v>1445</v>
      </c>
      <c r="AA444" s="36" t="s">
        <v>1444</v>
      </c>
      <c r="AB444" s="47">
        <v>3737000</v>
      </c>
      <c r="AC444" s="41">
        <v>3737000</v>
      </c>
      <c r="AD444" s="3">
        <v>3508000</v>
      </c>
      <c r="AE444" s="16">
        <f t="shared" si="209"/>
        <v>229000</v>
      </c>
      <c r="AF444" s="16">
        <v>0</v>
      </c>
      <c r="AG444" s="17">
        <v>0</v>
      </c>
      <c r="AI444" s="16">
        <v>0</v>
      </c>
      <c r="AK444" s="16">
        <v>0</v>
      </c>
      <c r="AL444" s="11">
        <f t="shared" si="183"/>
        <v>3737000</v>
      </c>
      <c r="AM444" s="16">
        <f t="shared" si="184"/>
        <v>382668.79999999999</v>
      </c>
      <c r="AN444" s="16">
        <f t="shared" si="185"/>
        <v>149480</v>
      </c>
      <c r="AO444" s="16">
        <f t="shared" si="202"/>
        <v>233188.8</v>
      </c>
      <c r="AP444" s="16">
        <f t="shared" si="186"/>
        <v>138269</v>
      </c>
      <c r="AQ444" s="16">
        <f t="shared" si="187"/>
        <v>4119668.8</v>
      </c>
      <c r="AR444" s="16">
        <f t="shared" si="205"/>
        <v>247180.12799999997</v>
      </c>
      <c r="AS444" s="16">
        <f t="shared" si="188"/>
        <v>27189.814079999996</v>
      </c>
      <c r="AT444" s="16">
        <f t="shared" si="189"/>
        <v>-4943.6025599999994</v>
      </c>
      <c r="AU444" s="16">
        <f t="shared" si="190"/>
        <v>4361905.3254399998</v>
      </c>
      <c r="AV444" s="16">
        <f t="shared" si="191"/>
        <v>4366848.9279999994</v>
      </c>
      <c r="AW444" s="16">
        <f t="shared" si="192"/>
        <v>149480</v>
      </c>
      <c r="AX444" s="16" t="s">
        <v>319</v>
      </c>
      <c r="AZ444" s="17">
        <f t="shared" si="204"/>
        <v>2900</v>
      </c>
      <c r="BA444" s="16">
        <f t="shared" si="193"/>
        <v>3587520</v>
      </c>
      <c r="BB444" s="16">
        <f t="shared" si="194"/>
        <v>3584620</v>
      </c>
      <c r="BC444">
        <v>0.03</v>
      </c>
      <c r="BD444">
        <v>0.01</v>
      </c>
      <c r="BE444" s="37">
        <f t="shared" si="195"/>
        <v>345298.8</v>
      </c>
      <c r="BF444" s="38">
        <f t="shared" si="196"/>
        <v>213009</v>
      </c>
      <c r="BG444" s="37">
        <f t="shared" si="203"/>
        <v>175400</v>
      </c>
      <c r="BH444" s="37">
        <f t="shared" si="197"/>
        <v>186850</v>
      </c>
      <c r="BI444">
        <v>175400</v>
      </c>
      <c r="BL444" s="8">
        <f t="shared" si="198"/>
        <v>0</v>
      </c>
      <c r="BM444" s="7" t="str">
        <f t="shared" si="206"/>
        <v>Terdaftar BPJS Kes &amp; Naker</v>
      </c>
      <c r="BN444" s="11">
        <f t="shared" si="207"/>
        <v>213009</v>
      </c>
      <c r="BO444" s="11">
        <f t="shared" si="208"/>
        <v>169659.80000000002</v>
      </c>
      <c r="BP444" s="9">
        <f t="shared" si="199"/>
        <v>0</v>
      </c>
      <c r="BQ444" t="str">
        <f>_xlfn.XLOOKUP(X444,'[2]NON TETAP'!$H:$H,'[2]NON TETAP'!$I:$I)</f>
        <v>GRAMEDIA ASRI MEDIA</v>
      </c>
    </row>
    <row r="445" spans="1:69" x14ac:dyDescent="0.3">
      <c r="A445" s="2">
        <v>444</v>
      </c>
      <c r="B445" s="4" t="s">
        <v>1443</v>
      </c>
      <c r="C445" s="6" t="s">
        <v>241</v>
      </c>
      <c r="D445" s="6"/>
      <c r="E445" s="6" t="s">
        <v>73</v>
      </c>
      <c r="F445" s="6" t="s">
        <v>73</v>
      </c>
      <c r="G445" s="6"/>
      <c r="H445" s="6"/>
      <c r="I445" s="6"/>
      <c r="J445" s="6"/>
      <c r="K445" s="6">
        <v>800546</v>
      </c>
      <c r="L445" s="6"/>
      <c r="M445" s="6" t="s">
        <v>1442</v>
      </c>
      <c r="N445" s="46" t="s">
        <v>1441</v>
      </c>
      <c r="O445" s="6">
        <v>1796191323</v>
      </c>
      <c r="P445" s="78" t="s">
        <v>1440</v>
      </c>
      <c r="Q445" s="6">
        <v>18105</v>
      </c>
      <c r="R445" s="6">
        <v>27190</v>
      </c>
      <c r="S445" s="5" t="str">
        <f>VLOOKUP(T445,'[1]Kode Posisi'!$A$3:$B$45,2,)</f>
        <v>Outsourcing Petugas Pemeliharaan Gedung</v>
      </c>
      <c r="T445" s="36" t="s">
        <v>247</v>
      </c>
      <c r="U445" s="44" t="s">
        <v>1418</v>
      </c>
      <c r="V445" s="44" t="s">
        <v>1439</v>
      </c>
      <c r="W445" s="36" t="s">
        <v>1416</v>
      </c>
      <c r="X445" s="36" t="s">
        <v>1438</v>
      </c>
      <c r="Y445" s="36" t="s">
        <v>52</v>
      </c>
      <c r="Z445" s="79">
        <v>3310620873</v>
      </c>
      <c r="AA445" s="36" t="s">
        <v>1437</v>
      </c>
      <c r="AB445" s="47">
        <v>3737000</v>
      </c>
      <c r="AC445" s="41">
        <v>3737000</v>
      </c>
      <c r="AD445" s="3">
        <v>3508000</v>
      </c>
      <c r="AE445" s="16">
        <f t="shared" si="209"/>
        <v>229000</v>
      </c>
      <c r="AF445" s="16">
        <v>0</v>
      </c>
      <c r="AG445" s="17">
        <v>0</v>
      </c>
      <c r="AI445" s="16">
        <v>0</v>
      </c>
      <c r="AK445" s="16">
        <v>0</v>
      </c>
      <c r="AL445" s="11">
        <f t="shared" si="183"/>
        <v>3737000</v>
      </c>
      <c r="AM445" s="16">
        <f t="shared" si="184"/>
        <v>382668.79999999999</v>
      </c>
      <c r="AN445" s="16">
        <f t="shared" si="185"/>
        <v>149480</v>
      </c>
      <c r="AO445" s="16">
        <f t="shared" si="202"/>
        <v>233188.8</v>
      </c>
      <c r="AP445" s="16">
        <f t="shared" si="186"/>
        <v>138269</v>
      </c>
      <c r="AQ445" s="16">
        <f t="shared" si="187"/>
        <v>4119668.8</v>
      </c>
      <c r="AR445" s="16">
        <f t="shared" si="205"/>
        <v>247180.12799999997</v>
      </c>
      <c r="AS445" s="16">
        <f t="shared" si="188"/>
        <v>27189.814079999996</v>
      </c>
      <c r="AT445" s="16">
        <f t="shared" si="189"/>
        <v>-4943.6025599999994</v>
      </c>
      <c r="AU445" s="16">
        <f t="shared" si="190"/>
        <v>4361905.3254399998</v>
      </c>
      <c r="AV445" s="16">
        <f t="shared" si="191"/>
        <v>4366848.9279999994</v>
      </c>
      <c r="AW445" s="16">
        <f t="shared" si="192"/>
        <v>149480</v>
      </c>
      <c r="AX445" s="16" t="s">
        <v>235</v>
      </c>
      <c r="AZ445" s="17">
        <f t="shared" si="204"/>
        <v>0</v>
      </c>
      <c r="BA445" s="16">
        <f t="shared" si="193"/>
        <v>3587520</v>
      </c>
      <c r="BB445" s="16">
        <f t="shared" si="194"/>
        <v>3587520</v>
      </c>
      <c r="BC445">
        <v>0.03</v>
      </c>
      <c r="BD445">
        <v>0.01</v>
      </c>
      <c r="BE445" s="37">
        <f t="shared" si="195"/>
        <v>345298.8</v>
      </c>
      <c r="BF445" s="38">
        <f t="shared" si="196"/>
        <v>213009</v>
      </c>
      <c r="BG445" s="37">
        <f t="shared" si="203"/>
        <v>175400</v>
      </c>
      <c r="BH445" s="37">
        <f t="shared" si="197"/>
        <v>186850</v>
      </c>
      <c r="BI445">
        <v>175400</v>
      </c>
      <c r="BL445" s="8">
        <f t="shared" si="198"/>
        <v>0</v>
      </c>
      <c r="BM445" s="7" t="str">
        <f t="shared" si="206"/>
        <v>Terdaftar BPJS Kes &amp; Naker</v>
      </c>
      <c r="BN445" s="11">
        <f t="shared" si="207"/>
        <v>213009</v>
      </c>
      <c r="BO445" s="11">
        <f t="shared" si="208"/>
        <v>169659.80000000002</v>
      </c>
      <c r="BP445" s="9">
        <f t="shared" si="199"/>
        <v>0</v>
      </c>
      <c r="BQ445" t="s">
        <v>8</v>
      </c>
    </row>
    <row r="446" spans="1:69" x14ac:dyDescent="0.3">
      <c r="A446" s="2">
        <v>445</v>
      </c>
      <c r="B446" s="4" t="s">
        <v>1436</v>
      </c>
      <c r="C446" s="6" t="s">
        <v>241</v>
      </c>
      <c r="D446" s="6"/>
      <c r="E446" s="6" t="s">
        <v>73</v>
      </c>
      <c r="F446" s="6" t="s">
        <v>73</v>
      </c>
      <c r="G446" s="6" t="s">
        <v>73</v>
      </c>
      <c r="H446" s="6"/>
      <c r="I446" s="6"/>
      <c r="J446" s="6"/>
      <c r="K446" s="6">
        <v>800547</v>
      </c>
      <c r="L446" s="6"/>
      <c r="M446" s="6" t="s">
        <v>1435</v>
      </c>
      <c r="N446" s="46" t="s">
        <v>1434</v>
      </c>
      <c r="O446" s="6">
        <v>2227416513</v>
      </c>
      <c r="P446" s="78" t="s">
        <v>1433</v>
      </c>
      <c r="Q446" s="6">
        <v>10147</v>
      </c>
      <c r="R446" s="6">
        <v>27147</v>
      </c>
      <c r="S446" s="5" t="str">
        <f>VLOOKUP(T446,'[1]Kode Posisi'!$A$3:$B$45,2,)</f>
        <v>Outsourcing Cleaning Service</v>
      </c>
      <c r="T446" s="36" t="s">
        <v>47</v>
      </c>
      <c r="U446" s="44" t="s">
        <v>1418</v>
      </c>
      <c r="V446" s="44" t="s">
        <v>1432</v>
      </c>
      <c r="W446" s="36" t="s">
        <v>1416</v>
      </c>
      <c r="X446" s="36" t="s">
        <v>1415</v>
      </c>
      <c r="Y446" s="36" t="s">
        <v>473</v>
      </c>
      <c r="Z446" s="79" t="s">
        <v>1431</v>
      </c>
      <c r="AA446" s="36" t="s">
        <v>1430</v>
      </c>
      <c r="AB446" s="47">
        <v>3737000</v>
      </c>
      <c r="AC446" s="41">
        <v>3737000</v>
      </c>
      <c r="AD446" s="3">
        <v>3508000</v>
      </c>
      <c r="AE446" s="16">
        <f t="shared" si="209"/>
        <v>229000</v>
      </c>
      <c r="AF446" s="16">
        <v>0</v>
      </c>
      <c r="AG446" s="17">
        <v>0</v>
      </c>
      <c r="AI446" s="16">
        <v>0</v>
      </c>
      <c r="AK446" s="16">
        <v>0</v>
      </c>
      <c r="AL446" s="11">
        <f t="shared" si="183"/>
        <v>3737000</v>
      </c>
      <c r="AM446" s="16">
        <f t="shared" si="184"/>
        <v>382668.79999999999</v>
      </c>
      <c r="AN446" s="16">
        <f t="shared" si="185"/>
        <v>149480</v>
      </c>
      <c r="AO446" s="16">
        <f t="shared" si="202"/>
        <v>233188.8</v>
      </c>
      <c r="AP446" s="16">
        <f t="shared" si="186"/>
        <v>138269</v>
      </c>
      <c r="AQ446" s="16">
        <f t="shared" si="187"/>
        <v>4119668.8</v>
      </c>
      <c r="AR446" s="16">
        <f t="shared" si="205"/>
        <v>247180.12799999997</v>
      </c>
      <c r="AS446" s="16">
        <f t="shared" si="188"/>
        <v>27189.814079999996</v>
      </c>
      <c r="AT446" s="16">
        <f t="shared" si="189"/>
        <v>-4943.6025599999994</v>
      </c>
      <c r="AU446" s="16">
        <f t="shared" si="190"/>
        <v>4361905.3254399998</v>
      </c>
      <c r="AV446" s="16">
        <f t="shared" si="191"/>
        <v>4366848.9279999994</v>
      </c>
      <c r="AW446" s="16">
        <f t="shared" si="192"/>
        <v>149480</v>
      </c>
      <c r="AX446" s="16" t="s">
        <v>91</v>
      </c>
      <c r="AZ446" s="17">
        <f t="shared" si="204"/>
        <v>2900</v>
      </c>
      <c r="BA446" s="16">
        <f t="shared" si="193"/>
        <v>3587520</v>
      </c>
      <c r="BB446" s="16">
        <f t="shared" si="194"/>
        <v>3584620</v>
      </c>
      <c r="BC446">
        <v>0.03</v>
      </c>
      <c r="BD446">
        <v>0.01</v>
      </c>
      <c r="BE446" s="37">
        <f t="shared" si="195"/>
        <v>345298.8</v>
      </c>
      <c r="BF446" s="38">
        <f t="shared" si="196"/>
        <v>213009</v>
      </c>
      <c r="BG446" s="37">
        <f t="shared" si="203"/>
        <v>175400</v>
      </c>
      <c r="BH446" s="37">
        <f t="shared" si="197"/>
        <v>186850</v>
      </c>
      <c r="BI446">
        <v>175400</v>
      </c>
      <c r="BL446" s="8">
        <f t="shared" si="198"/>
        <v>0</v>
      </c>
      <c r="BM446" s="7" t="str">
        <f t="shared" si="206"/>
        <v>Terdaftar BPJS Kes &amp; Naker</v>
      </c>
      <c r="BN446" s="11">
        <f t="shared" si="207"/>
        <v>213009</v>
      </c>
      <c r="BO446" s="11">
        <f t="shared" si="208"/>
        <v>169659.80000000002</v>
      </c>
      <c r="BP446" s="9">
        <f t="shared" si="199"/>
        <v>0</v>
      </c>
      <c r="BQ446" t="str">
        <f>_xlfn.XLOOKUP(X446,'[2]NON TETAP'!$H:$H,'[2]NON TETAP'!$I:$I)</f>
        <v>GRAMEDIA ASRI MEDIA</v>
      </c>
    </row>
    <row r="447" spans="1:69" x14ac:dyDescent="0.3">
      <c r="A447" s="2">
        <v>446</v>
      </c>
      <c r="B447" s="4" t="s">
        <v>1429</v>
      </c>
      <c r="C447" s="6" t="s">
        <v>241</v>
      </c>
      <c r="D447" s="6"/>
      <c r="E447" s="6" t="s">
        <v>73</v>
      </c>
      <c r="F447" s="6" t="s">
        <v>73</v>
      </c>
      <c r="G447" s="6" t="s">
        <v>73</v>
      </c>
      <c r="H447" s="6"/>
      <c r="I447" s="6"/>
      <c r="J447" s="6"/>
      <c r="K447" s="6">
        <v>800548</v>
      </c>
      <c r="L447" s="6"/>
      <c r="M447" s="6" t="s">
        <v>1428</v>
      </c>
      <c r="N447" s="46" t="s">
        <v>1427</v>
      </c>
      <c r="O447" s="6">
        <v>1843549222</v>
      </c>
      <c r="P447" s="78" t="s">
        <v>1426</v>
      </c>
      <c r="Q447" s="6">
        <v>10147</v>
      </c>
      <c r="R447" s="6">
        <v>27147</v>
      </c>
      <c r="S447" s="5" t="str">
        <f>VLOOKUP(T447,'[1]Kode Posisi'!$A$3:$B$45,2,)</f>
        <v>Outsourcing Cleaning Service</v>
      </c>
      <c r="T447" s="36" t="s">
        <v>47</v>
      </c>
      <c r="U447" s="44" t="s">
        <v>1418</v>
      </c>
      <c r="V447" s="44" t="s">
        <v>1425</v>
      </c>
      <c r="W447" s="36" t="s">
        <v>1416</v>
      </c>
      <c r="X447" s="36" t="s">
        <v>1415</v>
      </c>
      <c r="Y447" s="36" t="s">
        <v>473</v>
      </c>
      <c r="Z447" s="76" t="s">
        <v>1424</v>
      </c>
      <c r="AA447" s="36" t="s">
        <v>1423</v>
      </c>
      <c r="AB447" s="47">
        <v>3737000</v>
      </c>
      <c r="AC447" s="41">
        <v>3737000</v>
      </c>
      <c r="AD447" s="3">
        <v>3508000</v>
      </c>
      <c r="AE447" s="16">
        <f t="shared" si="209"/>
        <v>229000</v>
      </c>
      <c r="AF447" s="16">
        <v>0</v>
      </c>
      <c r="AG447" s="17">
        <v>0</v>
      </c>
      <c r="AI447" s="16">
        <v>0</v>
      </c>
      <c r="AK447" s="16">
        <v>0</v>
      </c>
      <c r="AL447" s="11">
        <f t="shared" si="183"/>
        <v>3737000</v>
      </c>
      <c r="AM447" s="16">
        <f t="shared" si="184"/>
        <v>382668.79999999999</v>
      </c>
      <c r="AN447" s="16">
        <f t="shared" si="185"/>
        <v>149480</v>
      </c>
      <c r="AO447" s="16">
        <f t="shared" si="202"/>
        <v>233188.8</v>
      </c>
      <c r="AP447" s="16">
        <f t="shared" si="186"/>
        <v>138269</v>
      </c>
      <c r="AQ447" s="16">
        <f t="shared" si="187"/>
        <v>4119668.8</v>
      </c>
      <c r="AR447" s="16">
        <f t="shared" si="205"/>
        <v>247180.12799999997</v>
      </c>
      <c r="AS447" s="16">
        <f t="shared" si="188"/>
        <v>27189.814079999996</v>
      </c>
      <c r="AT447" s="16">
        <f t="shared" si="189"/>
        <v>-4943.6025599999994</v>
      </c>
      <c r="AU447" s="16">
        <f t="shared" si="190"/>
        <v>4361905.3254399998</v>
      </c>
      <c r="AV447" s="16">
        <f t="shared" si="191"/>
        <v>4366848.9279999994</v>
      </c>
      <c r="AW447" s="16">
        <f t="shared" si="192"/>
        <v>149480</v>
      </c>
      <c r="AX447" s="16" t="s">
        <v>286</v>
      </c>
      <c r="AZ447" s="17">
        <f t="shared" si="204"/>
        <v>2900</v>
      </c>
      <c r="BA447" s="16">
        <f t="shared" si="193"/>
        <v>3587520</v>
      </c>
      <c r="BB447" s="16">
        <f t="shared" si="194"/>
        <v>3584620</v>
      </c>
      <c r="BC447">
        <v>0.03</v>
      </c>
      <c r="BD447">
        <v>0.01</v>
      </c>
      <c r="BE447" s="37">
        <f t="shared" si="195"/>
        <v>345298.8</v>
      </c>
      <c r="BF447" s="38">
        <f t="shared" si="196"/>
        <v>213009</v>
      </c>
      <c r="BG447" s="37">
        <f t="shared" si="203"/>
        <v>175400</v>
      </c>
      <c r="BH447" s="37">
        <f t="shared" si="197"/>
        <v>186850</v>
      </c>
      <c r="BI447">
        <v>175400</v>
      </c>
      <c r="BL447" s="8">
        <f t="shared" si="198"/>
        <v>0</v>
      </c>
      <c r="BM447" s="7" t="str">
        <f t="shared" si="206"/>
        <v>Terdaftar BPJS Kes &amp; Naker</v>
      </c>
      <c r="BN447" s="11">
        <f t="shared" si="207"/>
        <v>213009</v>
      </c>
      <c r="BO447" s="11">
        <f t="shared" si="208"/>
        <v>169659.80000000002</v>
      </c>
      <c r="BP447" s="9">
        <f t="shared" si="199"/>
        <v>0</v>
      </c>
      <c r="BQ447" t="str">
        <f>_xlfn.XLOOKUP(X447,'[2]NON TETAP'!$H:$H,'[2]NON TETAP'!$I:$I)</f>
        <v>GRAMEDIA ASRI MEDIA</v>
      </c>
    </row>
    <row r="448" spans="1:69" x14ac:dyDescent="0.3">
      <c r="A448" s="2">
        <v>447</v>
      </c>
      <c r="B448" s="4" t="s">
        <v>1422</v>
      </c>
      <c r="C448" s="6" t="s">
        <v>241</v>
      </c>
      <c r="D448" s="6"/>
      <c r="E448" s="6" t="s">
        <v>73</v>
      </c>
      <c r="F448" s="6" t="s">
        <v>73</v>
      </c>
      <c r="G448" s="6" t="s">
        <v>73</v>
      </c>
      <c r="H448" s="6"/>
      <c r="I448" s="6"/>
      <c r="J448" s="6"/>
      <c r="K448" s="6">
        <v>800549</v>
      </c>
      <c r="L448" s="6"/>
      <c r="M448" s="6" t="s">
        <v>1421</v>
      </c>
      <c r="N448" s="46" t="s">
        <v>1420</v>
      </c>
      <c r="O448" s="6">
        <v>1825619073</v>
      </c>
      <c r="P448" s="78" t="s">
        <v>1419</v>
      </c>
      <c r="Q448" s="6">
        <v>10147</v>
      </c>
      <c r="R448" s="6">
        <v>27147</v>
      </c>
      <c r="S448" s="5" t="str">
        <f>VLOOKUP(T448,'[1]Kode Posisi'!$A$3:$B$45,2,)</f>
        <v>Outsourcing Cleaning Service</v>
      </c>
      <c r="T448" s="36" t="s">
        <v>47</v>
      </c>
      <c r="U448" s="44" t="s">
        <v>1418</v>
      </c>
      <c r="V448" s="44" t="s">
        <v>1417</v>
      </c>
      <c r="W448" s="36" t="s">
        <v>1416</v>
      </c>
      <c r="X448" s="36" t="s">
        <v>1415</v>
      </c>
      <c r="Y448" s="36" t="s">
        <v>473</v>
      </c>
      <c r="Z448" s="79" t="s">
        <v>1414</v>
      </c>
      <c r="AA448" s="36" t="s">
        <v>1413</v>
      </c>
      <c r="AB448" s="47">
        <v>3737000</v>
      </c>
      <c r="AC448" s="41">
        <v>3737000</v>
      </c>
      <c r="AD448" s="3">
        <v>3508000</v>
      </c>
      <c r="AE448" s="16">
        <f t="shared" si="209"/>
        <v>229000</v>
      </c>
      <c r="AF448" s="16">
        <v>0</v>
      </c>
      <c r="AG448" s="17">
        <v>0</v>
      </c>
      <c r="AI448" s="16">
        <v>0</v>
      </c>
      <c r="AK448" s="16">
        <v>0</v>
      </c>
      <c r="AL448" s="11">
        <f t="shared" si="183"/>
        <v>3737000</v>
      </c>
      <c r="AM448" s="16">
        <f t="shared" si="184"/>
        <v>382668.79999999999</v>
      </c>
      <c r="AN448" s="16">
        <f t="shared" si="185"/>
        <v>149480</v>
      </c>
      <c r="AO448" s="16">
        <f t="shared" si="202"/>
        <v>233188.8</v>
      </c>
      <c r="AP448" s="16">
        <f t="shared" si="186"/>
        <v>138269</v>
      </c>
      <c r="AQ448" s="16">
        <f t="shared" si="187"/>
        <v>4119668.8</v>
      </c>
      <c r="AR448" s="16">
        <f t="shared" si="205"/>
        <v>247180.12799999997</v>
      </c>
      <c r="AS448" s="16">
        <f t="shared" si="188"/>
        <v>27189.814079999996</v>
      </c>
      <c r="AT448" s="16">
        <f t="shared" si="189"/>
        <v>-4943.6025599999994</v>
      </c>
      <c r="AU448" s="16">
        <f t="shared" si="190"/>
        <v>4361905.3254399998</v>
      </c>
      <c r="AV448" s="16">
        <f t="shared" si="191"/>
        <v>4366848.9279999994</v>
      </c>
      <c r="AW448" s="16">
        <f t="shared" si="192"/>
        <v>149480</v>
      </c>
      <c r="AX448" s="16" t="s">
        <v>235</v>
      </c>
      <c r="AZ448" s="17">
        <f t="shared" si="204"/>
        <v>2900</v>
      </c>
      <c r="BA448" s="16">
        <f t="shared" si="193"/>
        <v>3587520</v>
      </c>
      <c r="BB448" s="16">
        <f t="shared" si="194"/>
        <v>3584620</v>
      </c>
      <c r="BC448">
        <v>0.03</v>
      </c>
      <c r="BD448">
        <v>0.01</v>
      </c>
      <c r="BE448" s="37">
        <f t="shared" si="195"/>
        <v>345298.8</v>
      </c>
      <c r="BF448" s="38">
        <f t="shared" si="196"/>
        <v>213009</v>
      </c>
      <c r="BG448" s="37">
        <f t="shared" si="203"/>
        <v>175400</v>
      </c>
      <c r="BH448" s="37">
        <f t="shared" si="197"/>
        <v>186850</v>
      </c>
      <c r="BI448">
        <v>175400</v>
      </c>
      <c r="BL448" s="8">
        <f t="shared" si="198"/>
        <v>0</v>
      </c>
      <c r="BM448" s="7" t="str">
        <f t="shared" si="206"/>
        <v>Terdaftar BPJS Kes &amp; Naker</v>
      </c>
      <c r="BN448" s="11">
        <f t="shared" si="207"/>
        <v>213009</v>
      </c>
      <c r="BO448" s="11">
        <f t="shared" si="208"/>
        <v>169659.80000000002</v>
      </c>
      <c r="BP448" s="9">
        <f t="shared" si="199"/>
        <v>0</v>
      </c>
      <c r="BQ448" t="str">
        <f>_xlfn.XLOOKUP(X448,'[2]NON TETAP'!$H:$H,'[2]NON TETAP'!$I:$I)</f>
        <v>GRAMEDIA ASRI MEDIA</v>
      </c>
    </row>
    <row r="449" spans="1:69" x14ac:dyDescent="0.3">
      <c r="A449" s="2">
        <v>448</v>
      </c>
      <c r="B449" s="4" t="s">
        <v>1404</v>
      </c>
      <c r="C449" s="6" t="s">
        <v>241</v>
      </c>
      <c r="D449" s="6"/>
      <c r="E449" s="6" t="s">
        <v>73</v>
      </c>
      <c r="F449" s="6" t="s">
        <v>73</v>
      </c>
      <c r="G449" s="6"/>
      <c r="H449" s="6"/>
      <c r="I449" s="6"/>
      <c r="J449" s="6"/>
      <c r="K449" s="6">
        <v>800550</v>
      </c>
      <c r="L449" s="6"/>
      <c r="M449" s="6" t="s">
        <v>1412</v>
      </c>
      <c r="N449" s="46" t="s">
        <v>1411</v>
      </c>
      <c r="O449" s="6">
        <v>1403172101</v>
      </c>
      <c r="P449" s="78" t="s">
        <v>1410</v>
      </c>
      <c r="Q449" s="6">
        <v>10185</v>
      </c>
      <c r="R449" s="6">
        <v>27185</v>
      </c>
      <c r="S449" s="5" t="str">
        <f>VLOOKUP(T449,'[1]Kode Posisi'!$A$3:$B$45,2,)</f>
        <v>Outsourcing Cleaning Service</v>
      </c>
      <c r="T449" s="36" t="s">
        <v>47</v>
      </c>
      <c r="U449" s="44" t="s">
        <v>1409</v>
      </c>
      <c r="V449" s="44" t="s">
        <v>1408</v>
      </c>
      <c r="W449" s="36" t="s">
        <v>1407</v>
      </c>
      <c r="X449" s="36" t="s">
        <v>1406</v>
      </c>
      <c r="Y449" s="36" t="s">
        <v>473</v>
      </c>
      <c r="Z449" s="79" t="s">
        <v>1405</v>
      </c>
      <c r="AA449" s="36" t="s">
        <v>1404</v>
      </c>
      <c r="AB449" s="47">
        <v>3737000</v>
      </c>
      <c r="AC449" s="41">
        <v>3737000</v>
      </c>
      <c r="AD449" s="3">
        <v>3508000</v>
      </c>
      <c r="AE449" s="16">
        <f t="shared" si="209"/>
        <v>229000</v>
      </c>
      <c r="AF449" s="16">
        <v>0</v>
      </c>
      <c r="AG449" s="17">
        <v>0</v>
      </c>
      <c r="AI449" s="16">
        <v>0</v>
      </c>
      <c r="AK449" s="16">
        <v>0</v>
      </c>
      <c r="AL449" s="11">
        <f t="shared" si="183"/>
        <v>3737000</v>
      </c>
      <c r="AM449" s="16">
        <f t="shared" si="184"/>
        <v>382668.79999999999</v>
      </c>
      <c r="AN449" s="16">
        <f t="shared" si="185"/>
        <v>149480</v>
      </c>
      <c r="AO449" s="16">
        <f t="shared" si="202"/>
        <v>233188.8</v>
      </c>
      <c r="AP449" s="16">
        <f t="shared" si="186"/>
        <v>138269</v>
      </c>
      <c r="AQ449" s="16">
        <f t="shared" si="187"/>
        <v>4119668.8</v>
      </c>
      <c r="AR449" s="16">
        <f t="shared" si="205"/>
        <v>247180.12799999997</v>
      </c>
      <c r="AS449" s="16">
        <f t="shared" si="188"/>
        <v>27189.814079999996</v>
      </c>
      <c r="AT449" s="16">
        <f t="shared" si="189"/>
        <v>-4943.6025599999994</v>
      </c>
      <c r="AU449" s="16">
        <f t="shared" si="190"/>
        <v>4361905.3254399998</v>
      </c>
      <c r="AV449" s="16">
        <f t="shared" si="191"/>
        <v>4366848.9279999994</v>
      </c>
      <c r="AW449" s="16">
        <f t="shared" si="192"/>
        <v>149480</v>
      </c>
      <c r="AX449" s="16" t="s">
        <v>286</v>
      </c>
      <c r="AZ449" s="17">
        <f t="shared" si="204"/>
        <v>2900</v>
      </c>
      <c r="BA449" s="16">
        <f t="shared" si="193"/>
        <v>3587520</v>
      </c>
      <c r="BB449" s="16">
        <f t="shared" si="194"/>
        <v>3584620</v>
      </c>
      <c r="BC449">
        <v>0.03</v>
      </c>
      <c r="BD449">
        <v>0.01</v>
      </c>
      <c r="BE449" s="37">
        <f t="shared" si="195"/>
        <v>345298.8</v>
      </c>
      <c r="BF449" s="38">
        <f t="shared" si="196"/>
        <v>213009</v>
      </c>
      <c r="BG449" s="37">
        <f t="shared" si="203"/>
        <v>175400</v>
      </c>
      <c r="BH449" s="37">
        <f t="shared" si="197"/>
        <v>186850</v>
      </c>
      <c r="BI449">
        <v>175400</v>
      </c>
      <c r="BL449" s="8">
        <f t="shared" si="198"/>
        <v>0</v>
      </c>
      <c r="BM449" s="7" t="str">
        <f t="shared" si="206"/>
        <v>Terdaftar BPJS Kes &amp; Naker</v>
      </c>
      <c r="BN449" s="11">
        <f t="shared" si="207"/>
        <v>213009</v>
      </c>
      <c r="BO449" s="11">
        <f t="shared" si="208"/>
        <v>169659.80000000002</v>
      </c>
      <c r="BP449" s="9">
        <f t="shared" si="199"/>
        <v>0</v>
      </c>
      <c r="BQ449" t="str">
        <f>_xlfn.XLOOKUP(X449,'[2]NON TETAP'!$H:$H,'[2]NON TETAP'!$I:$I)</f>
        <v>GRAMEDIA ASRI MEDIA</v>
      </c>
    </row>
    <row r="450" spans="1:69" x14ac:dyDescent="0.3">
      <c r="A450" s="2">
        <v>449</v>
      </c>
      <c r="B450" s="4" t="s">
        <v>1399</v>
      </c>
      <c r="C450" s="6" t="s">
        <v>241</v>
      </c>
      <c r="D450" s="6"/>
      <c r="E450" s="6" t="s">
        <v>73</v>
      </c>
      <c r="F450" s="6" t="s">
        <v>73</v>
      </c>
      <c r="G450" s="6" t="s">
        <v>73</v>
      </c>
      <c r="H450" s="6"/>
      <c r="I450" s="6"/>
      <c r="J450" s="6"/>
      <c r="K450" s="6">
        <v>800552</v>
      </c>
      <c r="L450" s="6"/>
      <c r="M450" s="6"/>
      <c r="N450" s="46" t="s">
        <v>1403</v>
      </c>
      <c r="O450" s="6">
        <v>1395615824</v>
      </c>
      <c r="P450" s="78" t="s">
        <v>1402</v>
      </c>
      <c r="Q450" s="6">
        <v>10183</v>
      </c>
      <c r="R450" s="6">
        <v>27183</v>
      </c>
      <c r="S450" s="5" t="str">
        <f>VLOOKUP(T450,'[1]Kode Posisi'!$A$3:$B$45,2,)</f>
        <v>Outsourcing Cleaning Service</v>
      </c>
      <c r="T450" s="36" t="s">
        <v>47</v>
      </c>
      <c r="U450" s="44" t="s">
        <v>1395</v>
      </c>
      <c r="V450" s="44" t="s">
        <v>1401</v>
      </c>
      <c r="W450" s="49" t="s">
        <v>1393</v>
      </c>
      <c r="X450" s="49" t="s">
        <v>57</v>
      </c>
      <c r="Y450" s="36" t="s">
        <v>473</v>
      </c>
      <c r="Z450" s="79" t="s">
        <v>1400</v>
      </c>
      <c r="AA450" s="36" t="s">
        <v>1399</v>
      </c>
      <c r="AB450" s="47">
        <v>5289000</v>
      </c>
      <c r="AC450" s="41">
        <v>5289000</v>
      </c>
      <c r="AD450" s="3">
        <v>4962000</v>
      </c>
      <c r="AE450" s="16">
        <f t="shared" si="209"/>
        <v>327000</v>
      </c>
      <c r="AF450" s="16">
        <v>0</v>
      </c>
      <c r="AG450" s="17">
        <v>0</v>
      </c>
      <c r="AI450" s="16">
        <v>0</v>
      </c>
      <c r="AK450" s="16">
        <v>0</v>
      </c>
      <c r="AL450" s="11">
        <f t="shared" ref="AL450:AL513" si="210">SUM(AB450,AF450,AG450:AJ450)-AK450</f>
        <v>5289000</v>
      </c>
      <c r="AM450" s="16">
        <f t="shared" ref="AM450:AM513" si="211">SUM(AN450:AO450)</f>
        <v>541593.59999999998</v>
      </c>
      <c r="AN450" s="16">
        <f t="shared" ref="AN450:AN513" si="212">IF(BD450=0.01,AC450*0.04,0)</f>
        <v>211560</v>
      </c>
      <c r="AO450" s="16">
        <f t="shared" si="202"/>
        <v>330033.59999999998</v>
      </c>
      <c r="AP450" s="16">
        <f t="shared" ref="AP450:AP513" si="213">IF(BC450=0.03,0.037*(AB450+AF450),0)</f>
        <v>195693</v>
      </c>
      <c r="AQ450" s="16">
        <f t="shared" ref="AQ450:AQ513" si="214">SUM(AL450:AM450)</f>
        <v>5830593.5999999996</v>
      </c>
      <c r="AR450" s="16">
        <f t="shared" si="205"/>
        <v>349835.61599999998</v>
      </c>
      <c r="AS450" s="16">
        <f t="shared" ref="AS450:AS513" si="215">SUM(AR450*0.11)</f>
        <v>38481.917759999997</v>
      </c>
      <c r="AT450" s="16">
        <f t="shared" ref="AT450:AT513" si="216">SUM(AR450*-0.02)</f>
        <v>-6996.7123199999996</v>
      </c>
      <c r="AU450" s="16">
        <f t="shared" ref="AU450:AU513" si="217">(AQ450+AR450)+AT450</f>
        <v>6173432.5036800001</v>
      </c>
      <c r="AV450" s="16">
        <f t="shared" ref="AV450:AV513" si="218">SUM(AQ450+AR450)</f>
        <v>6180429.216</v>
      </c>
      <c r="AW450" s="16">
        <f t="shared" ref="AW450:AW513" si="219">SUM(AC450)*SUM(BC450,BD450)</f>
        <v>211560</v>
      </c>
      <c r="AX450" s="16" t="s">
        <v>319</v>
      </c>
      <c r="AZ450" s="17">
        <f t="shared" si="204"/>
        <v>2900</v>
      </c>
      <c r="BA450" s="16">
        <f t="shared" ref="BA450:BA513" si="220">SUM(AL450-AW450,AY450)</f>
        <v>5077440</v>
      </c>
      <c r="BB450" s="16">
        <f t="shared" ref="BB450:BB513" si="221">SUM(AL450-AW450,AY450)-AZ450</f>
        <v>5074540</v>
      </c>
      <c r="BC450" s="15">
        <v>0.03</v>
      </c>
      <c r="BD450">
        <v>0.01</v>
      </c>
      <c r="BE450" s="37">
        <f t="shared" ref="BE450:BE513" si="222">IF(BC450=0.03,AC450*9.24%,0)</f>
        <v>488703.6</v>
      </c>
      <c r="BF450" s="38">
        <f t="shared" ref="BF450:BF513" si="223">IF(BC450=0.03,0.057/0.0924*BE450,0)</f>
        <v>301473</v>
      </c>
      <c r="BG450" s="37">
        <f t="shared" si="203"/>
        <v>248100</v>
      </c>
      <c r="BH450" s="37">
        <f t="shared" ref="BH450:BH513" si="224">IF(BD450=0.01,AC450*5%,0)</f>
        <v>264450</v>
      </c>
      <c r="BI450">
        <v>248100</v>
      </c>
      <c r="BL450" s="8">
        <f t="shared" ref="BL450:BL513" si="225">SUM(AF450:AJ450)-AK450</f>
        <v>0</v>
      </c>
      <c r="BM450" s="7" t="str">
        <f t="shared" si="206"/>
        <v>Terdaftar BPJS Kes &amp; Naker</v>
      </c>
      <c r="BN450" s="11">
        <f t="shared" si="207"/>
        <v>301473</v>
      </c>
      <c r="BO450" s="11">
        <f t="shared" si="208"/>
        <v>240120.6</v>
      </c>
      <c r="BP450" s="9">
        <f t="shared" ref="BP450:BP513" si="226">AM450-BN450-BO450</f>
        <v>0</v>
      </c>
      <c r="BQ450" t="str">
        <f>_xlfn.XLOOKUP(X450,'[2]NON TETAP'!$H:$H,'[2]NON TETAP'!$I:$I)</f>
        <v>GRAMEDIA ASRI MEDIA</v>
      </c>
    </row>
    <row r="451" spans="1:69" x14ac:dyDescent="0.3">
      <c r="A451" s="2">
        <v>450</v>
      </c>
      <c r="B451" s="4" t="s">
        <v>1391</v>
      </c>
      <c r="C451" s="6" t="s">
        <v>241</v>
      </c>
      <c r="D451" s="6"/>
      <c r="E451" s="6" t="s">
        <v>73</v>
      </c>
      <c r="F451" s="6" t="s">
        <v>73</v>
      </c>
      <c r="G451" s="6" t="s">
        <v>73</v>
      </c>
      <c r="H451" s="6"/>
      <c r="I451" s="6"/>
      <c r="J451" s="6"/>
      <c r="K451" s="6">
        <v>800553</v>
      </c>
      <c r="L451" s="6"/>
      <c r="M451" s="6" t="s">
        <v>1398</v>
      </c>
      <c r="N451" s="46" t="s">
        <v>1397</v>
      </c>
      <c r="O451" s="6">
        <v>2264012256</v>
      </c>
      <c r="P451" s="78" t="s">
        <v>1396</v>
      </c>
      <c r="Q451" s="6">
        <v>10183</v>
      </c>
      <c r="R451" s="6">
        <v>27183</v>
      </c>
      <c r="S451" s="5" t="str">
        <f>VLOOKUP(T451,'[1]Kode Posisi'!$A$3:$B$45,2,)</f>
        <v>Outsourcing Cleaning Service</v>
      </c>
      <c r="T451" s="36" t="s">
        <v>47</v>
      </c>
      <c r="U451" s="44" t="s">
        <v>1395</v>
      </c>
      <c r="V451" s="44" t="s">
        <v>1394</v>
      </c>
      <c r="W451" s="49" t="s">
        <v>1393</v>
      </c>
      <c r="X451" s="49" t="s">
        <v>57</v>
      </c>
      <c r="Y451" s="36" t="s">
        <v>473</v>
      </c>
      <c r="Z451" s="76" t="s">
        <v>1392</v>
      </c>
      <c r="AA451" s="36" t="s">
        <v>1391</v>
      </c>
      <c r="AB451" s="47">
        <v>5289000</v>
      </c>
      <c r="AC451" s="41">
        <v>5289000</v>
      </c>
      <c r="AD451" s="3">
        <v>4962000</v>
      </c>
      <c r="AE451" s="16">
        <f t="shared" si="209"/>
        <v>327000</v>
      </c>
      <c r="AF451" s="16">
        <v>0</v>
      </c>
      <c r="AG451" s="17">
        <v>0</v>
      </c>
      <c r="AI451" s="16">
        <v>0</v>
      </c>
      <c r="AK451" s="16">
        <v>0</v>
      </c>
      <c r="AL451" s="11">
        <f t="shared" si="210"/>
        <v>5289000</v>
      </c>
      <c r="AM451" s="16">
        <f t="shared" si="211"/>
        <v>541593.59999999998</v>
      </c>
      <c r="AN451" s="16">
        <f t="shared" si="212"/>
        <v>211560</v>
      </c>
      <c r="AO451" s="16">
        <f t="shared" si="202"/>
        <v>330033.59999999998</v>
      </c>
      <c r="AP451" s="16">
        <f t="shared" si="213"/>
        <v>195693</v>
      </c>
      <c r="AQ451" s="16">
        <f t="shared" si="214"/>
        <v>5830593.5999999996</v>
      </c>
      <c r="AR451" s="16">
        <f t="shared" si="205"/>
        <v>349835.61599999998</v>
      </c>
      <c r="AS451" s="16">
        <f t="shared" si="215"/>
        <v>38481.917759999997</v>
      </c>
      <c r="AT451" s="16">
        <f t="shared" si="216"/>
        <v>-6996.7123199999996</v>
      </c>
      <c r="AU451" s="16">
        <f t="shared" si="217"/>
        <v>6173432.5036800001</v>
      </c>
      <c r="AV451" s="16">
        <f t="shared" si="218"/>
        <v>6180429.216</v>
      </c>
      <c r="AW451" s="16">
        <f t="shared" si="219"/>
        <v>211560</v>
      </c>
      <c r="AX451" s="16" t="s">
        <v>235</v>
      </c>
      <c r="AZ451" s="17">
        <f t="shared" si="204"/>
        <v>2900</v>
      </c>
      <c r="BA451" s="16">
        <f t="shared" si="220"/>
        <v>5077440</v>
      </c>
      <c r="BB451" s="16">
        <f t="shared" si="221"/>
        <v>5074540</v>
      </c>
      <c r="BC451">
        <v>0.03</v>
      </c>
      <c r="BD451">
        <v>0.01</v>
      </c>
      <c r="BE451" s="37">
        <f t="shared" si="222"/>
        <v>488703.6</v>
      </c>
      <c r="BF451" s="38">
        <f t="shared" si="223"/>
        <v>301473</v>
      </c>
      <c r="BG451" s="37">
        <f t="shared" si="203"/>
        <v>248100</v>
      </c>
      <c r="BH451" s="37">
        <f t="shared" si="224"/>
        <v>264450</v>
      </c>
      <c r="BI451">
        <v>248100</v>
      </c>
      <c r="BL451" s="8">
        <f t="shared" si="225"/>
        <v>0</v>
      </c>
      <c r="BM451" s="7" t="str">
        <f t="shared" si="206"/>
        <v>Terdaftar BPJS Kes &amp; Naker</v>
      </c>
      <c r="BN451" s="11">
        <f t="shared" si="207"/>
        <v>301473</v>
      </c>
      <c r="BO451" s="11">
        <f t="shared" si="208"/>
        <v>240120.6</v>
      </c>
      <c r="BP451" s="9">
        <f t="shared" si="226"/>
        <v>0</v>
      </c>
      <c r="BQ451" t="str">
        <f>_xlfn.XLOOKUP(X451,'[2]NON TETAP'!$H:$H,'[2]NON TETAP'!$I:$I)</f>
        <v>GRAMEDIA ASRI MEDIA</v>
      </c>
    </row>
    <row r="452" spans="1:69" x14ac:dyDescent="0.3">
      <c r="A452" s="2">
        <v>451</v>
      </c>
      <c r="B452" s="4" t="s">
        <v>1385</v>
      </c>
      <c r="C452" s="6" t="s">
        <v>241</v>
      </c>
      <c r="D452" s="6"/>
      <c r="E452" s="6" t="s">
        <v>73</v>
      </c>
      <c r="F452" s="6" t="s">
        <v>73</v>
      </c>
      <c r="G452" s="6"/>
      <c r="H452" s="6"/>
      <c r="I452" s="6"/>
      <c r="J452" s="6"/>
      <c r="K452" s="6">
        <v>800554</v>
      </c>
      <c r="L452" s="6"/>
      <c r="M452" s="6" t="s">
        <v>1390</v>
      </c>
      <c r="N452" s="46" t="s">
        <v>1389</v>
      </c>
      <c r="O452" s="6">
        <v>3087737627</v>
      </c>
      <c r="P452" s="78" t="s">
        <v>1388</v>
      </c>
      <c r="Q452" s="6">
        <v>18105</v>
      </c>
      <c r="R452" s="6">
        <v>27190</v>
      </c>
      <c r="S452" s="5" t="str">
        <f>VLOOKUP(T452,'[1]Kode Posisi'!$A$3:$B$45,2,)</f>
        <v>Outsourcing Petugas Pemeliharaan Gedung</v>
      </c>
      <c r="T452" s="36" t="s">
        <v>247</v>
      </c>
      <c r="U452" s="44" t="s">
        <v>1368</v>
      </c>
      <c r="V452" s="44" t="s">
        <v>1387</v>
      </c>
      <c r="W452" s="49" t="s">
        <v>1366</v>
      </c>
      <c r="X452" s="36" t="s">
        <v>1386</v>
      </c>
      <c r="Y452" s="36" t="s">
        <v>52</v>
      </c>
      <c r="Z452" s="79">
        <v>3251619172</v>
      </c>
      <c r="AA452" s="36" t="s">
        <v>1385</v>
      </c>
      <c r="AB452" s="47">
        <v>5289000</v>
      </c>
      <c r="AC452" s="41">
        <v>5289000</v>
      </c>
      <c r="AD452" s="3">
        <v>4962000</v>
      </c>
      <c r="AE452" s="16">
        <f t="shared" si="209"/>
        <v>327000</v>
      </c>
      <c r="AF452" s="16">
        <v>0</v>
      </c>
      <c r="AG452" s="17">
        <v>0</v>
      </c>
      <c r="AI452" s="16">
        <v>0</v>
      </c>
      <c r="AK452" s="16">
        <v>0</v>
      </c>
      <c r="AL452" s="11">
        <f t="shared" si="210"/>
        <v>5289000</v>
      </c>
      <c r="AM452" s="16">
        <f t="shared" si="211"/>
        <v>541593.59999999998</v>
      </c>
      <c r="AN452" s="16">
        <f t="shared" si="212"/>
        <v>211560</v>
      </c>
      <c r="AO452" s="16">
        <f t="shared" si="202"/>
        <v>330033.59999999998</v>
      </c>
      <c r="AP452" s="16">
        <f t="shared" si="213"/>
        <v>195693</v>
      </c>
      <c r="AQ452" s="16">
        <f t="shared" si="214"/>
        <v>5830593.5999999996</v>
      </c>
      <c r="AR452" s="16">
        <f t="shared" si="205"/>
        <v>349835.61599999998</v>
      </c>
      <c r="AS452" s="16">
        <f t="shared" si="215"/>
        <v>38481.917759999997</v>
      </c>
      <c r="AT452" s="16">
        <f t="shared" si="216"/>
        <v>-6996.7123199999996</v>
      </c>
      <c r="AU452" s="16">
        <f t="shared" si="217"/>
        <v>6173432.5036800001</v>
      </c>
      <c r="AV452" s="16">
        <f t="shared" si="218"/>
        <v>6180429.216</v>
      </c>
      <c r="AW452" s="16">
        <f t="shared" si="219"/>
        <v>211560</v>
      </c>
      <c r="AX452" s="16" t="s">
        <v>235</v>
      </c>
      <c r="AZ452" s="17">
        <f t="shared" si="204"/>
        <v>0</v>
      </c>
      <c r="BA452" s="16">
        <f t="shared" si="220"/>
        <v>5077440</v>
      </c>
      <c r="BB452" s="16">
        <f t="shared" si="221"/>
        <v>5077440</v>
      </c>
      <c r="BC452">
        <v>0.03</v>
      </c>
      <c r="BD452">
        <v>0.01</v>
      </c>
      <c r="BE452" s="37">
        <f t="shared" si="222"/>
        <v>488703.6</v>
      </c>
      <c r="BF452" s="38">
        <f t="shared" si="223"/>
        <v>301473</v>
      </c>
      <c r="BG452" s="37">
        <f t="shared" si="203"/>
        <v>248100</v>
      </c>
      <c r="BH452" s="37">
        <f t="shared" si="224"/>
        <v>264450</v>
      </c>
      <c r="BI452">
        <v>248100</v>
      </c>
      <c r="BL452" s="8">
        <f t="shared" si="225"/>
        <v>0</v>
      </c>
      <c r="BM452" s="7" t="str">
        <f t="shared" si="206"/>
        <v>Terdaftar BPJS Kes &amp; Naker</v>
      </c>
      <c r="BN452" s="11">
        <f t="shared" si="207"/>
        <v>301473</v>
      </c>
      <c r="BO452" s="11">
        <f t="shared" si="208"/>
        <v>240120.6</v>
      </c>
      <c r="BP452" s="9">
        <f t="shared" si="226"/>
        <v>0</v>
      </c>
      <c r="BQ452" t="s">
        <v>8</v>
      </c>
    </row>
    <row r="453" spans="1:69" x14ac:dyDescent="0.3">
      <c r="A453" s="2">
        <v>452</v>
      </c>
      <c r="B453" s="4" t="s">
        <v>1384</v>
      </c>
      <c r="C453" s="6" t="s">
        <v>241</v>
      </c>
      <c r="D453" s="6"/>
      <c r="E453" s="6" t="s">
        <v>73</v>
      </c>
      <c r="F453" s="6" t="s">
        <v>73</v>
      </c>
      <c r="G453" s="6" t="s">
        <v>73</v>
      </c>
      <c r="H453" s="6"/>
      <c r="I453" s="6"/>
      <c r="J453" s="6"/>
      <c r="K453" s="6">
        <v>800555</v>
      </c>
      <c r="L453" s="6"/>
      <c r="M453" s="6"/>
      <c r="N453" s="46" t="s">
        <v>1383</v>
      </c>
      <c r="O453" s="6">
        <v>1483770363</v>
      </c>
      <c r="P453" s="78" t="s">
        <v>1382</v>
      </c>
      <c r="Q453" s="6">
        <v>10111</v>
      </c>
      <c r="R453" s="6">
        <v>27111</v>
      </c>
      <c r="S453" s="5" t="str">
        <f>VLOOKUP(T453,'[1]Kode Posisi'!$A$3:$B$45,2,)</f>
        <v>Outsourcing Cleaning Service</v>
      </c>
      <c r="T453" s="36" t="s">
        <v>47</v>
      </c>
      <c r="U453" s="44" t="s">
        <v>1368</v>
      </c>
      <c r="V453" s="44" t="s">
        <v>1381</v>
      </c>
      <c r="W453" s="49" t="s">
        <v>1366</v>
      </c>
      <c r="X453" s="49" t="s">
        <v>1090</v>
      </c>
      <c r="Y453" s="36" t="s">
        <v>473</v>
      </c>
      <c r="Z453" s="79" t="s">
        <v>1380</v>
      </c>
      <c r="AA453" s="36" t="s">
        <v>1379</v>
      </c>
      <c r="AB453" s="47">
        <v>5289000</v>
      </c>
      <c r="AC453" s="41">
        <v>5289000</v>
      </c>
      <c r="AD453" s="3">
        <v>4962000</v>
      </c>
      <c r="AE453" s="16">
        <f t="shared" si="209"/>
        <v>327000</v>
      </c>
      <c r="AF453" s="16">
        <v>0</v>
      </c>
      <c r="AG453" s="17">
        <v>0</v>
      </c>
      <c r="AI453" s="16">
        <v>0</v>
      </c>
      <c r="AK453" s="16">
        <v>0</v>
      </c>
      <c r="AL453" s="11">
        <f t="shared" si="210"/>
        <v>5289000</v>
      </c>
      <c r="AM453" s="16">
        <f t="shared" si="211"/>
        <v>541593.59999999998</v>
      </c>
      <c r="AN453" s="16">
        <f t="shared" si="212"/>
        <v>211560</v>
      </c>
      <c r="AO453" s="16">
        <f t="shared" si="202"/>
        <v>330033.59999999998</v>
      </c>
      <c r="AP453" s="16">
        <f t="shared" si="213"/>
        <v>195693</v>
      </c>
      <c r="AQ453" s="16">
        <f t="shared" si="214"/>
        <v>5830593.5999999996</v>
      </c>
      <c r="AR453" s="16">
        <f t="shared" si="205"/>
        <v>349835.61599999998</v>
      </c>
      <c r="AS453" s="16">
        <f t="shared" si="215"/>
        <v>38481.917759999997</v>
      </c>
      <c r="AT453" s="16">
        <f t="shared" si="216"/>
        <v>-6996.7123199999996</v>
      </c>
      <c r="AU453" s="16">
        <f t="shared" si="217"/>
        <v>6173432.5036800001</v>
      </c>
      <c r="AV453" s="16">
        <f t="shared" si="218"/>
        <v>6180429.216</v>
      </c>
      <c r="AW453" s="16">
        <f t="shared" si="219"/>
        <v>211560</v>
      </c>
      <c r="AX453" s="16" t="s">
        <v>243</v>
      </c>
      <c r="AZ453" s="17">
        <f t="shared" si="204"/>
        <v>2900</v>
      </c>
      <c r="BA453" s="16">
        <f t="shared" si="220"/>
        <v>5077440</v>
      </c>
      <c r="BB453" s="16">
        <f t="shared" si="221"/>
        <v>5074540</v>
      </c>
      <c r="BC453" s="15">
        <v>0.03</v>
      </c>
      <c r="BD453">
        <v>0.01</v>
      </c>
      <c r="BE453" s="37">
        <f t="shared" si="222"/>
        <v>488703.6</v>
      </c>
      <c r="BF453" s="38">
        <f t="shared" si="223"/>
        <v>301473</v>
      </c>
      <c r="BG453" s="37">
        <f t="shared" si="203"/>
        <v>248100</v>
      </c>
      <c r="BH453" s="37">
        <f t="shared" si="224"/>
        <v>264450</v>
      </c>
      <c r="BI453">
        <v>248100</v>
      </c>
      <c r="BL453" s="8">
        <f t="shared" si="225"/>
        <v>0</v>
      </c>
      <c r="BM453" s="7" t="str">
        <f t="shared" si="206"/>
        <v>Terdaftar BPJS Kes &amp; Naker</v>
      </c>
      <c r="BN453" s="11">
        <f t="shared" si="207"/>
        <v>301473</v>
      </c>
      <c r="BO453" s="11">
        <f t="shared" si="208"/>
        <v>240120.6</v>
      </c>
      <c r="BP453" s="9">
        <f t="shared" si="226"/>
        <v>0</v>
      </c>
      <c r="BQ453" t="str">
        <f>_xlfn.XLOOKUP(X453,'[2]NON TETAP'!$H:$H,'[2]NON TETAP'!$I:$I)</f>
        <v>GRAMEDIA ASRI MEDIA</v>
      </c>
    </row>
    <row r="454" spans="1:69" x14ac:dyDescent="0.3">
      <c r="A454" s="2">
        <v>453</v>
      </c>
      <c r="B454" s="4" t="s">
        <v>1373</v>
      </c>
      <c r="C454" s="6" t="s">
        <v>241</v>
      </c>
      <c r="D454" s="6"/>
      <c r="E454" s="6" t="s">
        <v>73</v>
      </c>
      <c r="F454" s="6" t="s">
        <v>73</v>
      </c>
      <c r="G454" s="6" t="s">
        <v>73</v>
      </c>
      <c r="H454" s="6"/>
      <c r="I454" s="6"/>
      <c r="J454" s="6"/>
      <c r="K454" s="6">
        <v>800556</v>
      </c>
      <c r="L454" s="6"/>
      <c r="M454" s="6" t="s">
        <v>1378</v>
      </c>
      <c r="N454" s="46" t="s">
        <v>1377</v>
      </c>
      <c r="O454" s="6">
        <v>1306052234</v>
      </c>
      <c r="P454" s="78" t="s">
        <v>1376</v>
      </c>
      <c r="Q454" s="6">
        <v>10111</v>
      </c>
      <c r="R454" s="6">
        <v>27111</v>
      </c>
      <c r="S454" s="5" t="str">
        <f>VLOOKUP(T454,'[1]Kode Posisi'!$A$3:$B$45,2,)</f>
        <v>Outsourcing Cleaning Service</v>
      </c>
      <c r="T454" s="36" t="s">
        <v>47</v>
      </c>
      <c r="U454" s="44" t="s">
        <v>1368</v>
      </c>
      <c r="V454" s="44" t="s">
        <v>1375</v>
      </c>
      <c r="W454" s="49" t="s">
        <v>1366</v>
      </c>
      <c r="X454" s="49" t="s">
        <v>1090</v>
      </c>
      <c r="Y454" s="36" t="s">
        <v>473</v>
      </c>
      <c r="Z454" s="79" t="s">
        <v>1374</v>
      </c>
      <c r="AA454" s="36" t="s">
        <v>1373</v>
      </c>
      <c r="AB454" s="47">
        <v>5289000</v>
      </c>
      <c r="AC454" s="41">
        <v>5289000</v>
      </c>
      <c r="AD454" s="3">
        <v>4962000</v>
      </c>
      <c r="AE454" s="16">
        <f t="shared" si="209"/>
        <v>327000</v>
      </c>
      <c r="AF454" s="16">
        <v>0</v>
      </c>
      <c r="AG454" s="17">
        <v>0</v>
      </c>
      <c r="AI454" s="16">
        <v>0</v>
      </c>
      <c r="AK454" s="16">
        <v>0</v>
      </c>
      <c r="AL454" s="11">
        <f t="shared" si="210"/>
        <v>5289000</v>
      </c>
      <c r="AM454" s="16">
        <f t="shared" si="211"/>
        <v>541593.59999999998</v>
      </c>
      <c r="AN454" s="16">
        <f t="shared" si="212"/>
        <v>211560</v>
      </c>
      <c r="AO454" s="16">
        <f t="shared" si="202"/>
        <v>330033.59999999998</v>
      </c>
      <c r="AP454" s="16">
        <f t="shared" si="213"/>
        <v>195693</v>
      </c>
      <c r="AQ454" s="16">
        <f t="shared" si="214"/>
        <v>5830593.5999999996</v>
      </c>
      <c r="AR454" s="16">
        <f t="shared" si="205"/>
        <v>349835.61599999998</v>
      </c>
      <c r="AS454" s="16">
        <f t="shared" si="215"/>
        <v>38481.917759999997</v>
      </c>
      <c r="AT454" s="16">
        <f t="shared" si="216"/>
        <v>-6996.7123199999996</v>
      </c>
      <c r="AU454" s="16">
        <f t="shared" si="217"/>
        <v>6173432.5036800001</v>
      </c>
      <c r="AV454" s="16">
        <f t="shared" si="218"/>
        <v>6180429.216</v>
      </c>
      <c r="AW454" s="16">
        <f t="shared" si="219"/>
        <v>211560</v>
      </c>
      <c r="AX454" s="16" t="s">
        <v>319</v>
      </c>
      <c r="AZ454" s="17">
        <f t="shared" si="204"/>
        <v>2900</v>
      </c>
      <c r="BA454" s="16">
        <f t="shared" si="220"/>
        <v>5077440</v>
      </c>
      <c r="BB454" s="16">
        <f t="shared" si="221"/>
        <v>5074540</v>
      </c>
      <c r="BC454">
        <v>0.03</v>
      </c>
      <c r="BD454">
        <v>0.01</v>
      </c>
      <c r="BE454" s="37">
        <f t="shared" si="222"/>
        <v>488703.6</v>
      </c>
      <c r="BF454" s="38">
        <f t="shared" si="223"/>
        <v>301473</v>
      </c>
      <c r="BG454" s="37">
        <f t="shared" si="203"/>
        <v>248100</v>
      </c>
      <c r="BH454" s="37">
        <f t="shared" si="224"/>
        <v>264450</v>
      </c>
      <c r="BI454">
        <v>248100</v>
      </c>
      <c r="BJ454" s="2">
        <v>248100</v>
      </c>
      <c r="BL454" s="8">
        <f t="shared" si="225"/>
        <v>0</v>
      </c>
      <c r="BM454" s="7" t="str">
        <f t="shared" si="206"/>
        <v>Terdaftar BPJS Kes &amp; Naker</v>
      </c>
      <c r="BN454" s="11">
        <f t="shared" si="207"/>
        <v>301473</v>
      </c>
      <c r="BO454" s="11">
        <f t="shared" si="208"/>
        <v>240120.6</v>
      </c>
      <c r="BP454" s="9">
        <f t="shared" si="226"/>
        <v>0</v>
      </c>
      <c r="BQ454" t="str">
        <f>_xlfn.XLOOKUP(X454,'[2]NON TETAP'!$H:$H,'[2]NON TETAP'!$I:$I)</f>
        <v>GRAMEDIA ASRI MEDIA</v>
      </c>
    </row>
    <row r="455" spans="1:69" x14ac:dyDescent="0.3">
      <c r="A455" s="2">
        <v>454</v>
      </c>
      <c r="B455" s="4" t="s">
        <v>1372</v>
      </c>
      <c r="C455" s="6" t="s">
        <v>241</v>
      </c>
      <c r="D455" s="6"/>
      <c r="E455" s="6" t="s">
        <v>73</v>
      </c>
      <c r="F455" s="6" t="s">
        <v>73</v>
      </c>
      <c r="G455" s="6" t="s">
        <v>73</v>
      </c>
      <c r="H455" s="6"/>
      <c r="I455" s="6"/>
      <c r="J455" s="6"/>
      <c r="K455" s="6">
        <v>800557</v>
      </c>
      <c r="L455" s="6"/>
      <c r="M455" s="6" t="s">
        <v>1371</v>
      </c>
      <c r="N455" s="46" t="s">
        <v>1370</v>
      </c>
      <c r="O455" s="6">
        <v>1424578882</v>
      </c>
      <c r="P455" s="78" t="s">
        <v>1369</v>
      </c>
      <c r="Q455" s="6">
        <v>10111</v>
      </c>
      <c r="R455" s="6">
        <v>27111</v>
      </c>
      <c r="S455" s="5" t="str">
        <f>VLOOKUP(T455,'[1]Kode Posisi'!$A$3:$B$45,2,)</f>
        <v>Outsourcing Cleaning Service</v>
      </c>
      <c r="T455" s="36" t="s">
        <v>47</v>
      </c>
      <c r="U455" s="44" t="s">
        <v>1368</v>
      </c>
      <c r="V455" s="44" t="s">
        <v>1367</v>
      </c>
      <c r="W455" s="49" t="s">
        <v>1366</v>
      </c>
      <c r="X455" s="49" t="s">
        <v>1090</v>
      </c>
      <c r="Y455" s="36" t="s">
        <v>473</v>
      </c>
      <c r="Z455" s="79" t="s">
        <v>1365</v>
      </c>
      <c r="AA455" s="36" t="s">
        <v>1364</v>
      </c>
      <c r="AB455" s="47">
        <v>5289000</v>
      </c>
      <c r="AC455" s="41">
        <v>5289000</v>
      </c>
      <c r="AD455" s="3">
        <v>4962000</v>
      </c>
      <c r="AE455" s="16">
        <f t="shared" si="209"/>
        <v>327000</v>
      </c>
      <c r="AF455" s="16">
        <v>0</v>
      </c>
      <c r="AG455" s="17">
        <v>0</v>
      </c>
      <c r="AI455" s="16">
        <v>0</v>
      </c>
      <c r="AK455" s="16">
        <v>0</v>
      </c>
      <c r="AL455" s="11">
        <f t="shared" si="210"/>
        <v>5289000</v>
      </c>
      <c r="AM455" s="16">
        <f t="shared" si="211"/>
        <v>541593.59999999998</v>
      </c>
      <c r="AN455" s="16">
        <f t="shared" si="212"/>
        <v>211560</v>
      </c>
      <c r="AO455" s="16">
        <f t="shared" si="202"/>
        <v>330033.59999999998</v>
      </c>
      <c r="AP455" s="16">
        <f t="shared" si="213"/>
        <v>195693</v>
      </c>
      <c r="AQ455" s="16">
        <f t="shared" si="214"/>
        <v>5830593.5999999996</v>
      </c>
      <c r="AR455" s="16">
        <f t="shared" si="205"/>
        <v>349835.61599999998</v>
      </c>
      <c r="AS455" s="16">
        <f t="shared" si="215"/>
        <v>38481.917759999997</v>
      </c>
      <c r="AT455" s="16">
        <f t="shared" si="216"/>
        <v>-6996.7123199999996</v>
      </c>
      <c r="AU455" s="16">
        <f t="shared" si="217"/>
        <v>6173432.5036800001</v>
      </c>
      <c r="AV455" s="16">
        <f t="shared" si="218"/>
        <v>6180429.216</v>
      </c>
      <c r="AW455" s="16">
        <f t="shared" si="219"/>
        <v>211560</v>
      </c>
      <c r="AX455" s="16" t="s">
        <v>319</v>
      </c>
      <c r="AZ455" s="17">
        <v>2900</v>
      </c>
      <c r="BA455" s="16">
        <f t="shared" si="220"/>
        <v>5077440</v>
      </c>
      <c r="BB455" s="16">
        <f t="shared" si="221"/>
        <v>5074540</v>
      </c>
      <c r="BC455">
        <v>0.03</v>
      </c>
      <c r="BD455">
        <v>0.01</v>
      </c>
      <c r="BE455" s="37">
        <f t="shared" si="222"/>
        <v>488703.6</v>
      </c>
      <c r="BF455" s="38">
        <f t="shared" si="223"/>
        <v>301473</v>
      </c>
      <c r="BG455" s="37">
        <f t="shared" si="203"/>
        <v>248100</v>
      </c>
      <c r="BH455" s="37">
        <f t="shared" si="224"/>
        <v>264450</v>
      </c>
      <c r="BI455">
        <v>248100</v>
      </c>
      <c r="BL455" s="8">
        <f t="shared" si="225"/>
        <v>0</v>
      </c>
      <c r="BM455" s="7" t="str">
        <f t="shared" si="206"/>
        <v>Terdaftar BPJS Kes &amp; Naker</v>
      </c>
      <c r="BN455" s="11">
        <f t="shared" si="207"/>
        <v>301473</v>
      </c>
      <c r="BO455" s="11">
        <f t="shared" si="208"/>
        <v>240120.6</v>
      </c>
      <c r="BP455" s="9">
        <f t="shared" si="226"/>
        <v>0</v>
      </c>
      <c r="BQ455" t="str">
        <f>_xlfn.XLOOKUP(X455,'[2]NON TETAP'!$H:$H,'[2]NON TETAP'!$I:$I)</f>
        <v>GRAMEDIA ASRI MEDIA</v>
      </c>
    </row>
    <row r="456" spans="1:69" x14ac:dyDescent="0.3">
      <c r="A456" s="2">
        <v>455</v>
      </c>
      <c r="B456" s="4" t="s">
        <v>1363</v>
      </c>
      <c r="C456" s="6" t="s">
        <v>241</v>
      </c>
      <c r="D456" s="6"/>
      <c r="E456" s="6" t="s">
        <v>73</v>
      </c>
      <c r="F456" s="6" t="s">
        <v>73</v>
      </c>
      <c r="G456" s="6" t="s">
        <v>73</v>
      </c>
      <c r="H456" s="6"/>
      <c r="I456" s="6"/>
      <c r="J456" s="6"/>
      <c r="K456" s="6">
        <v>800558</v>
      </c>
      <c r="L456" s="6"/>
      <c r="M456" s="6" t="s">
        <v>1362</v>
      </c>
      <c r="N456" s="46" t="s">
        <v>1361</v>
      </c>
      <c r="O456" s="6">
        <v>2903228774</v>
      </c>
      <c r="P456" s="78" t="s">
        <v>1360</v>
      </c>
      <c r="Q456" s="6">
        <v>10102</v>
      </c>
      <c r="R456" s="6">
        <v>27102</v>
      </c>
      <c r="S456" s="5" t="str">
        <f>VLOOKUP(T456,'[1]Kode Posisi'!$A$3:$B$45,2,)</f>
        <v>Outsourcing Cleaning Service</v>
      </c>
      <c r="T456" s="36" t="s">
        <v>47</v>
      </c>
      <c r="U456" s="44" t="s">
        <v>1359</v>
      </c>
      <c r="V456" s="44" t="s">
        <v>1358</v>
      </c>
      <c r="W456" s="36" t="s">
        <v>1357</v>
      </c>
      <c r="X456" s="36" t="s">
        <v>1356</v>
      </c>
      <c r="Y456" s="36" t="s">
        <v>473</v>
      </c>
      <c r="Z456" s="79" t="s">
        <v>1355</v>
      </c>
      <c r="AA456" s="36" t="s">
        <v>1354</v>
      </c>
      <c r="AB456" s="47">
        <v>5289000</v>
      </c>
      <c r="AC456" s="41">
        <v>5289000</v>
      </c>
      <c r="AD456" s="3">
        <v>4962000</v>
      </c>
      <c r="AE456" s="16">
        <f t="shared" si="209"/>
        <v>327000</v>
      </c>
      <c r="AF456" s="16">
        <v>0</v>
      </c>
      <c r="AG456" s="17">
        <v>0</v>
      </c>
      <c r="AI456" s="16">
        <v>0</v>
      </c>
      <c r="AK456" s="16">
        <v>0</v>
      </c>
      <c r="AL456" s="11">
        <f t="shared" si="210"/>
        <v>5289000</v>
      </c>
      <c r="AM456" s="16">
        <f t="shared" si="211"/>
        <v>541593.59999999998</v>
      </c>
      <c r="AN456" s="16">
        <f t="shared" si="212"/>
        <v>211560</v>
      </c>
      <c r="AO456" s="16">
        <f t="shared" si="202"/>
        <v>330033.59999999998</v>
      </c>
      <c r="AP456" s="16">
        <f t="shared" si="213"/>
        <v>195693</v>
      </c>
      <c r="AQ456" s="16">
        <f t="shared" si="214"/>
        <v>5830593.5999999996</v>
      </c>
      <c r="AR456" s="16">
        <f t="shared" si="205"/>
        <v>349835.61599999998</v>
      </c>
      <c r="AS456" s="16">
        <f t="shared" si="215"/>
        <v>38481.917759999997</v>
      </c>
      <c r="AT456" s="16">
        <f t="shared" si="216"/>
        <v>-6996.7123199999996</v>
      </c>
      <c r="AU456" s="16">
        <f t="shared" si="217"/>
        <v>6173432.5036800001</v>
      </c>
      <c r="AV456" s="16">
        <f t="shared" si="218"/>
        <v>6180429.216</v>
      </c>
      <c r="AW456" s="16">
        <f t="shared" si="219"/>
        <v>211560</v>
      </c>
      <c r="AX456" s="16" t="s">
        <v>319</v>
      </c>
      <c r="AZ456" s="17">
        <f t="shared" ref="AZ456:AZ519" si="227">IF(Y456="BCA",0,2900)</f>
        <v>2900</v>
      </c>
      <c r="BA456" s="16">
        <f t="shared" si="220"/>
        <v>5077440</v>
      </c>
      <c r="BB456" s="16">
        <f t="shared" si="221"/>
        <v>5074540</v>
      </c>
      <c r="BC456">
        <v>0.03</v>
      </c>
      <c r="BD456">
        <v>0.01</v>
      </c>
      <c r="BE456" s="37">
        <f t="shared" si="222"/>
        <v>488703.6</v>
      </c>
      <c r="BF456" s="38">
        <f t="shared" si="223"/>
        <v>301473</v>
      </c>
      <c r="BG456" s="37">
        <f t="shared" si="203"/>
        <v>248100</v>
      </c>
      <c r="BH456" s="37">
        <f t="shared" si="224"/>
        <v>264450</v>
      </c>
      <c r="BI456">
        <v>248100</v>
      </c>
      <c r="BL456" s="8">
        <f t="shared" si="225"/>
        <v>0</v>
      </c>
      <c r="BM456" s="7" t="str">
        <f t="shared" si="206"/>
        <v>Terdaftar BPJS Kes &amp; Naker</v>
      </c>
      <c r="BN456" s="11">
        <f t="shared" si="207"/>
        <v>301473</v>
      </c>
      <c r="BO456" s="11">
        <f t="shared" si="208"/>
        <v>240120.6</v>
      </c>
      <c r="BP456" s="9">
        <f t="shared" si="226"/>
        <v>0</v>
      </c>
      <c r="BQ456" t="str">
        <f>_xlfn.XLOOKUP(X456,'[2]NON TETAP'!$H:$H,'[2]NON TETAP'!$I:$I)</f>
        <v>GRAMEDIA ASRI MEDIA</v>
      </c>
    </row>
    <row r="457" spans="1:69" x14ac:dyDescent="0.3">
      <c r="A457" s="2">
        <v>456</v>
      </c>
      <c r="B457" s="4" t="s">
        <v>1346</v>
      </c>
      <c r="C457" s="6" t="s">
        <v>241</v>
      </c>
      <c r="D457" s="6"/>
      <c r="E457" s="6" t="s">
        <v>73</v>
      </c>
      <c r="F457" s="6" t="s">
        <v>73</v>
      </c>
      <c r="G457" s="6"/>
      <c r="H457" s="6"/>
      <c r="I457" s="6"/>
      <c r="J457" s="6"/>
      <c r="K457" s="6">
        <v>800559</v>
      </c>
      <c r="L457" s="6"/>
      <c r="M457" s="6"/>
      <c r="N457" s="46" t="s">
        <v>1353</v>
      </c>
      <c r="O457" s="6">
        <v>1611377177</v>
      </c>
      <c r="P457" s="78" t="s">
        <v>1352</v>
      </c>
      <c r="Q457" s="6">
        <v>10139</v>
      </c>
      <c r="R457" s="6">
        <v>27139</v>
      </c>
      <c r="S457" s="5" t="str">
        <f>VLOOKUP(T457,'[1]Kode Posisi'!$A$3:$B$45,2,)</f>
        <v>Outsourcing Cleaning Service</v>
      </c>
      <c r="T457" s="36" t="s">
        <v>47</v>
      </c>
      <c r="U457" s="44" t="s">
        <v>1351</v>
      </c>
      <c r="V457" s="44" t="s">
        <v>1350</v>
      </c>
      <c r="W457" s="49" t="s">
        <v>1349</v>
      </c>
      <c r="X457" s="49" t="s">
        <v>1348</v>
      </c>
      <c r="Y457" s="36" t="s">
        <v>473</v>
      </c>
      <c r="Z457" s="79" t="s">
        <v>1347</v>
      </c>
      <c r="AA457" s="36" t="s">
        <v>1346</v>
      </c>
      <c r="AB457" s="47">
        <v>5289000</v>
      </c>
      <c r="AC457" s="41">
        <v>5289000</v>
      </c>
      <c r="AD457" s="3">
        <v>4962000</v>
      </c>
      <c r="AE457" s="16">
        <f t="shared" si="209"/>
        <v>327000</v>
      </c>
      <c r="AF457" s="16">
        <v>0</v>
      </c>
      <c r="AG457" s="17">
        <v>0</v>
      </c>
      <c r="AI457" s="16">
        <v>0</v>
      </c>
      <c r="AK457" s="16">
        <v>0</v>
      </c>
      <c r="AL457" s="11">
        <f t="shared" si="210"/>
        <v>5289000</v>
      </c>
      <c r="AM457" s="16">
        <f t="shared" si="211"/>
        <v>541593.59999999998</v>
      </c>
      <c r="AN457" s="16">
        <f t="shared" si="212"/>
        <v>211560</v>
      </c>
      <c r="AO457" s="16">
        <f t="shared" si="202"/>
        <v>330033.59999999998</v>
      </c>
      <c r="AP457" s="16">
        <f t="shared" si="213"/>
        <v>195693</v>
      </c>
      <c r="AQ457" s="16">
        <f t="shared" si="214"/>
        <v>5830593.5999999996</v>
      </c>
      <c r="AR457" s="16">
        <f t="shared" si="205"/>
        <v>349835.61599999998</v>
      </c>
      <c r="AS457" s="16">
        <f t="shared" si="215"/>
        <v>38481.917759999997</v>
      </c>
      <c r="AT457" s="16">
        <f t="shared" si="216"/>
        <v>-6996.7123199999996</v>
      </c>
      <c r="AU457" s="16">
        <f t="shared" si="217"/>
        <v>6173432.5036800001</v>
      </c>
      <c r="AV457" s="16">
        <f t="shared" si="218"/>
        <v>6180429.216</v>
      </c>
      <c r="AW457" s="16">
        <f t="shared" si="219"/>
        <v>211560</v>
      </c>
      <c r="AX457" s="16" t="s">
        <v>286</v>
      </c>
      <c r="AZ457" s="17">
        <f t="shared" si="227"/>
        <v>2900</v>
      </c>
      <c r="BA457" s="16">
        <f t="shared" si="220"/>
        <v>5077440</v>
      </c>
      <c r="BB457" s="16">
        <f t="shared" si="221"/>
        <v>5074540</v>
      </c>
      <c r="BC457" s="15">
        <v>0.03</v>
      </c>
      <c r="BD457">
        <v>0.01</v>
      </c>
      <c r="BE457" s="37">
        <f t="shared" si="222"/>
        <v>488703.6</v>
      </c>
      <c r="BF457" s="38">
        <f t="shared" si="223"/>
        <v>301473</v>
      </c>
      <c r="BG457" s="37">
        <f t="shared" si="203"/>
        <v>248100</v>
      </c>
      <c r="BH457" s="37">
        <f t="shared" si="224"/>
        <v>264450</v>
      </c>
      <c r="BI457">
        <v>248100</v>
      </c>
      <c r="BL457" s="8">
        <f t="shared" si="225"/>
        <v>0</v>
      </c>
      <c r="BM457" s="7" t="str">
        <f t="shared" si="206"/>
        <v>Terdaftar BPJS Kes &amp; Naker</v>
      </c>
      <c r="BN457" s="11">
        <f t="shared" si="207"/>
        <v>301473</v>
      </c>
      <c r="BO457" s="11">
        <f t="shared" si="208"/>
        <v>240120.6</v>
      </c>
      <c r="BP457" s="9">
        <f t="shared" si="226"/>
        <v>0</v>
      </c>
      <c r="BQ457" t="str">
        <f>_xlfn.XLOOKUP(X457,'[2]NON TETAP'!$H:$H,'[2]NON TETAP'!$I:$I)</f>
        <v>GRAMEDIA ASRI MEDIA</v>
      </c>
    </row>
    <row r="458" spans="1:69" x14ac:dyDescent="0.3">
      <c r="A458" s="2">
        <v>457</v>
      </c>
      <c r="B458" s="4" t="s">
        <v>1338</v>
      </c>
      <c r="C458" s="6" t="s">
        <v>241</v>
      </c>
      <c r="D458" s="6"/>
      <c r="E458" s="6" t="s">
        <v>73</v>
      </c>
      <c r="F458" s="6" t="s">
        <v>73</v>
      </c>
      <c r="G458" s="6"/>
      <c r="H458" s="6"/>
      <c r="I458" s="6"/>
      <c r="J458" s="6"/>
      <c r="K458" s="6">
        <v>800560</v>
      </c>
      <c r="L458" s="6"/>
      <c r="M458" s="6"/>
      <c r="N458" s="46" t="s">
        <v>1345</v>
      </c>
      <c r="O458" s="6">
        <v>2005443437</v>
      </c>
      <c r="P458" s="78" t="s">
        <v>1344</v>
      </c>
      <c r="Q458" s="6">
        <v>10220</v>
      </c>
      <c r="R458" s="6">
        <v>27220</v>
      </c>
      <c r="S458" s="5" t="str">
        <f>VLOOKUP(T458,'[1]Kode Posisi'!$A$3:$B$45,2,)</f>
        <v>Outsourcing Cleaning Service</v>
      </c>
      <c r="T458" s="36" t="s">
        <v>47</v>
      </c>
      <c r="U458" s="44" t="s">
        <v>1343</v>
      </c>
      <c r="V458" s="44" t="s">
        <v>1342</v>
      </c>
      <c r="W458" s="49" t="s">
        <v>1341</v>
      </c>
      <c r="X458" s="49" t="s">
        <v>1340</v>
      </c>
      <c r="Y458" s="36" t="s">
        <v>52</v>
      </c>
      <c r="Z458" s="79" t="s">
        <v>1339</v>
      </c>
      <c r="AA458" s="36" t="s">
        <v>1338</v>
      </c>
      <c r="AB458" s="47">
        <v>5192000</v>
      </c>
      <c r="AC458" s="41">
        <v>5192000</v>
      </c>
      <c r="AD458" s="3">
        <v>4871000</v>
      </c>
      <c r="AE458" s="16">
        <f t="shared" si="209"/>
        <v>321000</v>
      </c>
      <c r="AF458" s="16">
        <v>0</v>
      </c>
      <c r="AG458" s="17">
        <v>0</v>
      </c>
      <c r="AI458" s="16">
        <v>0</v>
      </c>
      <c r="AK458" s="16">
        <v>0</v>
      </c>
      <c r="AL458" s="11">
        <f t="shared" si="210"/>
        <v>5192000</v>
      </c>
      <c r="AM458" s="16">
        <f t="shared" si="211"/>
        <v>531660.80000000005</v>
      </c>
      <c r="AN458" s="16">
        <f t="shared" si="212"/>
        <v>207680</v>
      </c>
      <c r="AO458" s="16">
        <f t="shared" si="202"/>
        <v>323980.79999999999</v>
      </c>
      <c r="AP458" s="16">
        <f t="shared" si="213"/>
        <v>192104</v>
      </c>
      <c r="AQ458" s="16">
        <f t="shared" si="214"/>
        <v>5723660.7999999998</v>
      </c>
      <c r="AR458" s="16">
        <f t="shared" si="205"/>
        <v>343419.64799999999</v>
      </c>
      <c r="AS458" s="16">
        <f t="shared" si="215"/>
        <v>37776.16128</v>
      </c>
      <c r="AT458" s="16">
        <f t="shared" si="216"/>
        <v>-6868.3929600000001</v>
      </c>
      <c r="AU458" s="16">
        <f t="shared" si="217"/>
        <v>6060212.05504</v>
      </c>
      <c r="AV458" s="16">
        <f t="shared" si="218"/>
        <v>6067080.4479999999</v>
      </c>
      <c r="AW458" s="16">
        <f t="shared" si="219"/>
        <v>207680</v>
      </c>
      <c r="AX458" s="16" t="s">
        <v>286</v>
      </c>
      <c r="AZ458" s="17">
        <f t="shared" si="227"/>
        <v>0</v>
      </c>
      <c r="BA458" s="16">
        <f t="shared" si="220"/>
        <v>4984320</v>
      </c>
      <c r="BB458" s="16">
        <f t="shared" si="221"/>
        <v>4984320</v>
      </c>
      <c r="BC458" s="15">
        <v>0.03</v>
      </c>
      <c r="BD458">
        <v>0.01</v>
      </c>
      <c r="BE458" s="37">
        <f t="shared" si="222"/>
        <v>479740.8</v>
      </c>
      <c r="BF458" s="38">
        <f t="shared" si="223"/>
        <v>295944</v>
      </c>
      <c r="BG458" s="37">
        <f t="shared" si="203"/>
        <v>243550</v>
      </c>
      <c r="BH458" s="37">
        <f t="shared" si="224"/>
        <v>259600</v>
      </c>
      <c r="BI458">
        <v>243550</v>
      </c>
      <c r="BL458" s="8">
        <f t="shared" si="225"/>
        <v>0</v>
      </c>
      <c r="BM458" s="7" t="str">
        <f t="shared" si="206"/>
        <v>Terdaftar BPJS Kes &amp; Naker</v>
      </c>
      <c r="BN458" s="11">
        <f t="shared" si="207"/>
        <v>295944</v>
      </c>
      <c r="BO458" s="11">
        <f t="shared" si="208"/>
        <v>235716.80000000002</v>
      </c>
      <c r="BP458" s="9">
        <f t="shared" si="226"/>
        <v>0</v>
      </c>
      <c r="BQ458" t="str">
        <f>_xlfn.XLOOKUP(X458,'[2]NON TETAP'!$H:$H,'[2]NON TETAP'!$I:$I)</f>
        <v>GRAMEDIA ASRI MEDIA</v>
      </c>
    </row>
    <row r="459" spans="1:69" x14ac:dyDescent="0.3">
      <c r="A459" s="2">
        <v>458</v>
      </c>
      <c r="B459" s="4" t="s">
        <v>1337</v>
      </c>
      <c r="C459" s="6" t="s">
        <v>241</v>
      </c>
      <c r="D459" s="6"/>
      <c r="E459" s="6" t="s">
        <v>73</v>
      </c>
      <c r="F459" s="6" t="s">
        <v>73</v>
      </c>
      <c r="G459" s="6"/>
      <c r="H459" s="6"/>
      <c r="I459" s="6"/>
      <c r="J459" s="6"/>
      <c r="K459" s="6">
        <v>800561</v>
      </c>
      <c r="L459" s="6"/>
      <c r="M459" s="6"/>
      <c r="N459" s="46" t="s">
        <v>1336</v>
      </c>
      <c r="O459" s="6">
        <v>2054672886</v>
      </c>
      <c r="P459" s="78" t="s">
        <v>1335</v>
      </c>
      <c r="Q459" s="6">
        <v>10441</v>
      </c>
      <c r="R459" s="6">
        <v>27441</v>
      </c>
      <c r="S459" s="5" t="str">
        <f>VLOOKUP(T459,'[1]Kode Posisi'!$A$3:$B$45,2,)</f>
        <v>Outsourcing Cleaning Service</v>
      </c>
      <c r="T459" s="36" t="s">
        <v>47</v>
      </c>
      <c r="U459" s="44" t="s">
        <v>1334</v>
      </c>
      <c r="V459" s="44" t="s">
        <v>1333</v>
      </c>
      <c r="W459" s="49" t="s">
        <v>1332</v>
      </c>
      <c r="X459" s="49" t="s">
        <v>1331</v>
      </c>
      <c r="Y459" s="36" t="s">
        <v>52</v>
      </c>
      <c r="Z459" s="79">
        <v>8291449450</v>
      </c>
      <c r="AA459" s="36" t="s">
        <v>1330</v>
      </c>
      <c r="AB459" s="47">
        <v>5289000</v>
      </c>
      <c r="AC459" s="41">
        <v>5289000</v>
      </c>
      <c r="AD459" s="3">
        <v>4962000</v>
      </c>
      <c r="AE459" s="16">
        <f t="shared" si="209"/>
        <v>327000</v>
      </c>
      <c r="AF459" s="16">
        <v>0</v>
      </c>
      <c r="AG459" s="17">
        <v>0</v>
      </c>
      <c r="AI459" s="16">
        <v>0</v>
      </c>
      <c r="AK459" s="16">
        <v>0</v>
      </c>
      <c r="AL459" s="11">
        <f t="shared" si="210"/>
        <v>5289000</v>
      </c>
      <c r="AM459" s="16">
        <f t="shared" si="211"/>
        <v>541593.59999999998</v>
      </c>
      <c r="AN459" s="16">
        <f t="shared" si="212"/>
        <v>211560</v>
      </c>
      <c r="AO459" s="16">
        <f t="shared" si="202"/>
        <v>330033.59999999998</v>
      </c>
      <c r="AP459" s="16">
        <f t="shared" si="213"/>
        <v>195693</v>
      </c>
      <c r="AQ459" s="16">
        <f t="shared" si="214"/>
        <v>5830593.5999999996</v>
      </c>
      <c r="AR459" s="16">
        <f t="shared" si="205"/>
        <v>349835.61599999998</v>
      </c>
      <c r="AS459" s="16">
        <f t="shared" si="215"/>
        <v>38481.917759999997</v>
      </c>
      <c r="AT459" s="16">
        <f t="shared" si="216"/>
        <v>-6996.7123199999996</v>
      </c>
      <c r="AU459" s="16">
        <f t="shared" si="217"/>
        <v>6173432.5036800001</v>
      </c>
      <c r="AV459" s="16">
        <f t="shared" si="218"/>
        <v>6180429.216</v>
      </c>
      <c r="AW459" s="16">
        <f t="shared" si="219"/>
        <v>211560</v>
      </c>
      <c r="AX459" s="16" t="s">
        <v>286</v>
      </c>
      <c r="AZ459" s="17">
        <f t="shared" si="227"/>
        <v>0</v>
      </c>
      <c r="BA459" s="16">
        <f t="shared" si="220"/>
        <v>5077440</v>
      </c>
      <c r="BB459" s="16">
        <f t="shared" si="221"/>
        <v>5077440</v>
      </c>
      <c r="BC459" s="15">
        <v>0.03</v>
      </c>
      <c r="BD459">
        <v>0.01</v>
      </c>
      <c r="BE459" s="37">
        <f t="shared" si="222"/>
        <v>488703.6</v>
      </c>
      <c r="BF459" s="38">
        <f t="shared" si="223"/>
        <v>301473</v>
      </c>
      <c r="BG459" s="37">
        <f t="shared" si="203"/>
        <v>248100</v>
      </c>
      <c r="BH459" s="37">
        <f t="shared" si="224"/>
        <v>264450</v>
      </c>
      <c r="BI459">
        <v>248100</v>
      </c>
      <c r="BJ459" s="2">
        <v>248100</v>
      </c>
      <c r="BL459" s="8">
        <f t="shared" si="225"/>
        <v>0</v>
      </c>
      <c r="BM459" s="7" t="str">
        <f t="shared" si="206"/>
        <v>Terdaftar BPJS Kes &amp; Naker</v>
      </c>
      <c r="BN459" s="11">
        <f t="shared" si="207"/>
        <v>301473</v>
      </c>
      <c r="BO459" s="11">
        <f t="shared" si="208"/>
        <v>240120.6</v>
      </c>
      <c r="BP459" s="9">
        <f t="shared" si="226"/>
        <v>0</v>
      </c>
      <c r="BQ459" t="str">
        <f>_xlfn.XLOOKUP(X459,'[2]NON TETAP'!$H:$H,'[2]NON TETAP'!$I:$I)</f>
        <v>GRAMEDIA ASRI MEDIA</v>
      </c>
    </row>
    <row r="460" spans="1:69" x14ac:dyDescent="0.3">
      <c r="A460" s="2">
        <v>459</v>
      </c>
      <c r="B460" s="4" t="s">
        <v>1325</v>
      </c>
      <c r="C460" s="6" t="s">
        <v>241</v>
      </c>
      <c r="D460" s="6"/>
      <c r="E460" s="6" t="s">
        <v>73</v>
      </c>
      <c r="F460" s="6" t="s">
        <v>73</v>
      </c>
      <c r="G460" s="6"/>
      <c r="H460" s="6"/>
      <c r="I460" s="6"/>
      <c r="J460" s="6"/>
      <c r="K460" s="6">
        <v>800562</v>
      </c>
      <c r="L460" s="6"/>
      <c r="M460" s="6" t="s">
        <v>1329</v>
      </c>
      <c r="N460" s="46" t="s">
        <v>1328</v>
      </c>
      <c r="O460" s="6">
        <v>1397425228</v>
      </c>
      <c r="P460" s="78" t="s">
        <v>1327</v>
      </c>
      <c r="Q460" s="6">
        <v>33092</v>
      </c>
      <c r="R460" s="6">
        <v>27522</v>
      </c>
      <c r="S460" s="5" t="str">
        <f>VLOOKUP(T460,'[1]Kode Posisi'!$A$3:$B$45,2,)</f>
        <v>Outsourcing Penjualan</v>
      </c>
      <c r="T460" s="36" t="s">
        <v>26</v>
      </c>
      <c r="U460" s="44" t="s">
        <v>1106</v>
      </c>
      <c r="V460" s="44" t="s">
        <v>1326</v>
      </c>
      <c r="W460" s="49" t="s">
        <v>184</v>
      </c>
      <c r="X460" s="49" t="s">
        <v>184</v>
      </c>
      <c r="Y460" s="36" t="s">
        <v>52</v>
      </c>
      <c r="Z460" s="79">
        <v>6281196224</v>
      </c>
      <c r="AA460" s="36" t="s">
        <v>1325</v>
      </c>
      <c r="AB460" s="47">
        <v>5730000</v>
      </c>
      <c r="AC460" s="41">
        <v>5730000</v>
      </c>
      <c r="AD460" s="3">
        <v>5397000</v>
      </c>
      <c r="AE460" s="16">
        <f t="shared" si="209"/>
        <v>333000</v>
      </c>
      <c r="AF460" s="16">
        <v>0</v>
      </c>
      <c r="AG460" s="17">
        <v>0</v>
      </c>
      <c r="AI460" s="16">
        <v>0</v>
      </c>
      <c r="AJ460" s="11"/>
      <c r="AK460" s="16">
        <v>0</v>
      </c>
      <c r="AL460" s="11">
        <f t="shared" si="210"/>
        <v>5730000</v>
      </c>
      <c r="AM460" s="16">
        <f t="shared" si="211"/>
        <v>586752</v>
      </c>
      <c r="AN460" s="16">
        <f t="shared" si="212"/>
        <v>229200</v>
      </c>
      <c r="AO460" s="16">
        <f t="shared" si="202"/>
        <v>357552</v>
      </c>
      <c r="AP460" s="16">
        <f t="shared" si="213"/>
        <v>212010</v>
      </c>
      <c r="AQ460" s="16">
        <f t="shared" si="214"/>
        <v>6316752</v>
      </c>
      <c r="AR460" s="16">
        <f t="shared" si="205"/>
        <v>379005.12</v>
      </c>
      <c r="AS460" s="16">
        <f t="shared" si="215"/>
        <v>41690.563199999997</v>
      </c>
      <c r="AT460" s="16">
        <f t="shared" si="216"/>
        <v>-7580.1023999999998</v>
      </c>
      <c r="AU460" s="16">
        <f t="shared" si="217"/>
        <v>6688177.0175999999</v>
      </c>
      <c r="AV460" s="16">
        <f t="shared" si="218"/>
        <v>6695757.1200000001</v>
      </c>
      <c r="AW460" s="16">
        <f t="shared" si="219"/>
        <v>229200</v>
      </c>
      <c r="AX460" s="16" t="s">
        <v>91</v>
      </c>
      <c r="AZ460" s="17">
        <f t="shared" si="227"/>
        <v>0</v>
      </c>
      <c r="BA460" s="16">
        <f t="shared" si="220"/>
        <v>5500800</v>
      </c>
      <c r="BB460" s="16">
        <f t="shared" si="221"/>
        <v>5500800</v>
      </c>
      <c r="BC460">
        <v>0.03</v>
      </c>
      <c r="BD460">
        <v>0.01</v>
      </c>
      <c r="BE460" s="37">
        <f t="shared" si="222"/>
        <v>529452</v>
      </c>
      <c r="BF460" s="38">
        <f t="shared" si="223"/>
        <v>326610</v>
      </c>
      <c r="BG460" s="37">
        <f t="shared" si="203"/>
        <v>269850</v>
      </c>
      <c r="BH460" s="37">
        <f t="shared" si="224"/>
        <v>286500</v>
      </c>
      <c r="BI460">
        <v>269850</v>
      </c>
      <c r="BL460" s="8">
        <f t="shared" si="225"/>
        <v>0</v>
      </c>
      <c r="BM460" s="7" t="str">
        <f t="shared" si="206"/>
        <v>Terdaftar BPJS Kes &amp; Naker</v>
      </c>
      <c r="BN460" s="11">
        <f t="shared" si="207"/>
        <v>326610</v>
      </c>
      <c r="BO460" s="11">
        <f t="shared" si="208"/>
        <v>260142.00000000003</v>
      </c>
      <c r="BP460" s="9">
        <f t="shared" si="226"/>
        <v>0</v>
      </c>
      <c r="BQ460" t="str">
        <f>_xlfn.XLOOKUP(X460,'[2]NON TETAP'!$H:$H,'[2]NON TETAP'!$I:$I)</f>
        <v>GRAMEDIA ASRI MEDIA</v>
      </c>
    </row>
    <row r="461" spans="1:69" x14ac:dyDescent="0.3">
      <c r="A461" s="2">
        <v>460</v>
      </c>
      <c r="B461" s="4" t="s">
        <v>1321</v>
      </c>
      <c r="C461" s="6" t="s">
        <v>241</v>
      </c>
      <c r="D461" s="6"/>
      <c r="E461" s="6" t="s">
        <v>73</v>
      </c>
      <c r="F461" s="6" t="s">
        <v>73</v>
      </c>
      <c r="G461" s="6"/>
      <c r="H461" s="6"/>
      <c r="I461" s="6"/>
      <c r="J461" s="6"/>
      <c r="K461" s="6">
        <v>800564</v>
      </c>
      <c r="L461" s="6"/>
      <c r="M461" s="6"/>
      <c r="N461" s="46" t="s">
        <v>1324</v>
      </c>
      <c r="O461" s="6">
        <v>370068254</v>
      </c>
      <c r="P461" s="78" t="s">
        <v>1323</v>
      </c>
      <c r="Q461" s="6">
        <v>33092</v>
      </c>
      <c r="R461" s="6">
        <v>27522</v>
      </c>
      <c r="S461" s="5" t="str">
        <f>VLOOKUP(T461,'[1]Kode Posisi'!$A$3:$B$45,2,)</f>
        <v>Outsourcing Penjualan</v>
      </c>
      <c r="T461" s="36" t="s">
        <v>26</v>
      </c>
      <c r="U461" s="44" t="s">
        <v>1106</v>
      </c>
      <c r="V461" s="44" t="s">
        <v>1322</v>
      </c>
      <c r="W461" s="49" t="s">
        <v>184</v>
      </c>
      <c r="X461" s="49" t="s">
        <v>184</v>
      </c>
      <c r="Y461" s="36" t="s">
        <v>52</v>
      </c>
      <c r="Z461" s="79">
        <v>4960261556</v>
      </c>
      <c r="AA461" s="36" t="s">
        <v>1321</v>
      </c>
      <c r="AB461" s="47">
        <v>5730000</v>
      </c>
      <c r="AC461" s="41">
        <v>5730000</v>
      </c>
      <c r="AD461" s="3">
        <v>5397000</v>
      </c>
      <c r="AE461" s="16">
        <f t="shared" si="209"/>
        <v>333000</v>
      </c>
      <c r="AF461" s="16">
        <v>0</v>
      </c>
      <c r="AG461" s="17">
        <v>0</v>
      </c>
      <c r="AI461" s="16">
        <v>0</v>
      </c>
      <c r="AK461" s="16">
        <v>0</v>
      </c>
      <c r="AL461" s="11">
        <f t="shared" si="210"/>
        <v>5730000</v>
      </c>
      <c r="AM461" s="16">
        <f t="shared" si="211"/>
        <v>586752</v>
      </c>
      <c r="AN461" s="16">
        <f t="shared" si="212"/>
        <v>229200</v>
      </c>
      <c r="AO461" s="16">
        <f t="shared" si="202"/>
        <v>357552</v>
      </c>
      <c r="AP461" s="16">
        <f t="shared" si="213"/>
        <v>212010</v>
      </c>
      <c r="AQ461" s="16">
        <f t="shared" si="214"/>
        <v>6316752</v>
      </c>
      <c r="AR461" s="16">
        <f t="shared" si="205"/>
        <v>379005.12</v>
      </c>
      <c r="AS461" s="16">
        <f t="shared" si="215"/>
        <v>41690.563199999997</v>
      </c>
      <c r="AT461" s="16">
        <f t="shared" si="216"/>
        <v>-7580.1023999999998</v>
      </c>
      <c r="AU461" s="16">
        <f t="shared" si="217"/>
        <v>6688177.0175999999</v>
      </c>
      <c r="AV461" s="16">
        <f t="shared" si="218"/>
        <v>6695757.1200000001</v>
      </c>
      <c r="AW461" s="16">
        <f t="shared" si="219"/>
        <v>229200</v>
      </c>
      <c r="AX461" s="16" t="s">
        <v>235</v>
      </c>
      <c r="AZ461" s="17">
        <f t="shared" si="227"/>
        <v>0</v>
      </c>
      <c r="BA461" s="16">
        <f t="shared" si="220"/>
        <v>5500800</v>
      </c>
      <c r="BB461" s="16">
        <f t="shared" si="221"/>
        <v>5500800</v>
      </c>
      <c r="BC461" s="15">
        <v>0.03</v>
      </c>
      <c r="BD461">
        <v>0.01</v>
      </c>
      <c r="BE461" s="37">
        <f t="shared" si="222"/>
        <v>529452</v>
      </c>
      <c r="BF461" s="38">
        <f t="shared" si="223"/>
        <v>326610</v>
      </c>
      <c r="BG461" s="37">
        <f t="shared" si="203"/>
        <v>269850</v>
      </c>
      <c r="BH461" s="37">
        <f t="shared" si="224"/>
        <v>286500</v>
      </c>
      <c r="BI461">
        <v>269850</v>
      </c>
      <c r="BL461" s="8">
        <f t="shared" si="225"/>
        <v>0</v>
      </c>
      <c r="BM461" s="7" t="str">
        <f t="shared" si="206"/>
        <v>Terdaftar BPJS Kes &amp; Naker</v>
      </c>
      <c r="BN461" s="11">
        <f t="shared" si="207"/>
        <v>326610</v>
      </c>
      <c r="BO461" s="11">
        <f t="shared" si="208"/>
        <v>260142.00000000003</v>
      </c>
      <c r="BP461" s="9">
        <f t="shared" si="226"/>
        <v>0</v>
      </c>
      <c r="BQ461" t="str">
        <f>_xlfn.XLOOKUP(X461,'[2]NON TETAP'!$H:$H,'[2]NON TETAP'!$I:$I)</f>
        <v>GRAMEDIA ASRI MEDIA</v>
      </c>
    </row>
    <row r="462" spans="1:69" x14ac:dyDescent="0.3">
      <c r="A462" s="2">
        <v>461</v>
      </c>
      <c r="B462" s="4" t="s">
        <v>1316</v>
      </c>
      <c r="C462" s="6" t="s">
        <v>241</v>
      </c>
      <c r="D462" s="6"/>
      <c r="E462" s="6" t="s">
        <v>73</v>
      </c>
      <c r="F462" s="6" t="s">
        <v>73</v>
      </c>
      <c r="G462" s="6"/>
      <c r="H462" s="6"/>
      <c r="I462" s="6"/>
      <c r="J462" s="6"/>
      <c r="K462" s="6">
        <v>800565</v>
      </c>
      <c r="L462" s="6"/>
      <c r="M462" s="6" t="s">
        <v>1320</v>
      </c>
      <c r="N462" s="46" t="s">
        <v>1319</v>
      </c>
      <c r="O462" s="6">
        <v>2765101072</v>
      </c>
      <c r="P462" s="78" t="s">
        <v>1318</v>
      </c>
      <c r="Q462" s="6">
        <v>33092</v>
      </c>
      <c r="R462" s="6">
        <v>27522</v>
      </c>
      <c r="S462" s="5" t="str">
        <f>VLOOKUP(T462,'[1]Kode Posisi'!$A$3:$B$45,2,)</f>
        <v>Outsourcing Penjualan</v>
      </c>
      <c r="T462" s="36" t="s">
        <v>26</v>
      </c>
      <c r="U462" s="44" t="s">
        <v>1106</v>
      </c>
      <c r="V462" s="44" t="s">
        <v>1317</v>
      </c>
      <c r="W462" s="49" t="s">
        <v>184</v>
      </c>
      <c r="X462" s="49" t="s">
        <v>184</v>
      </c>
      <c r="Y462" s="36" t="s">
        <v>52</v>
      </c>
      <c r="Z462" s="79">
        <v>7751072396</v>
      </c>
      <c r="AA462" s="36" t="s">
        <v>1316</v>
      </c>
      <c r="AB462" s="47">
        <v>5730000</v>
      </c>
      <c r="AC462" s="41">
        <v>5730000</v>
      </c>
      <c r="AD462" s="3">
        <v>5397000</v>
      </c>
      <c r="AE462" s="16">
        <f t="shared" si="209"/>
        <v>333000</v>
      </c>
      <c r="AF462" s="16">
        <v>0</v>
      </c>
      <c r="AG462" s="17">
        <v>0</v>
      </c>
      <c r="AI462" s="16">
        <v>0</v>
      </c>
      <c r="AJ462" s="11"/>
      <c r="AK462" s="16">
        <v>0</v>
      </c>
      <c r="AL462" s="11">
        <f t="shared" si="210"/>
        <v>5730000</v>
      </c>
      <c r="AM462" s="16">
        <f t="shared" si="211"/>
        <v>586752</v>
      </c>
      <c r="AN462" s="16">
        <f t="shared" si="212"/>
        <v>229200</v>
      </c>
      <c r="AO462" s="16">
        <f t="shared" si="202"/>
        <v>357552</v>
      </c>
      <c r="AP462" s="16">
        <f t="shared" si="213"/>
        <v>212010</v>
      </c>
      <c r="AQ462" s="16">
        <f t="shared" si="214"/>
        <v>6316752</v>
      </c>
      <c r="AR462" s="16">
        <f t="shared" si="205"/>
        <v>379005.12</v>
      </c>
      <c r="AS462" s="16">
        <f t="shared" si="215"/>
        <v>41690.563199999997</v>
      </c>
      <c r="AT462" s="16">
        <f t="shared" si="216"/>
        <v>-7580.1023999999998</v>
      </c>
      <c r="AU462" s="16">
        <f t="shared" si="217"/>
        <v>6688177.0175999999</v>
      </c>
      <c r="AV462" s="16">
        <f t="shared" si="218"/>
        <v>6695757.1200000001</v>
      </c>
      <c r="AW462" s="16">
        <f t="shared" si="219"/>
        <v>229200</v>
      </c>
      <c r="AX462" s="16" t="s">
        <v>235</v>
      </c>
      <c r="AZ462" s="17">
        <f t="shared" si="227"/>
        <v>0</v>
      </c>
      <c r="BA462" s="16">
        <f t="shared" si="220"/>
        <v>5500800</v>
      </c>
      <c r="BB462" s="16">
        <f t="shared" si="221"/>
        <v>5500800</v>
      </c>
      <c r="BC462">
        <v>0.03</v>
      </c>
      <c r="BD462">
        <v>0.01</v>
      </c>
      <c r="BE462" s="37">
        <f t="shared" si="222"/>
        <v>529452</v>
      </c>
      <c r="BF462" s="38">
        <f t="shared" si="223"/>
        <v>326610</v>
      </c>
      <c r="BG462" s="37">
        <f t="shared" si="203"/>
        <v>269850</v>
      </c>
      <c r="BH462" s="37">
        <f t="shared" si="224"/>
        <v>286500</v>
      </c>
      <c r="BI462">
        <v>269850</v>
      </c>
      <c r="BL462" s="8">
        <f t="shared" si="225"/>
        <v>0</v>
      </c>
      <c r="BM462" s="7" t="str">
        <f t="shared" si="206"/>
        <v>Terdaftar BPJS Kes &amp; Naker</v>
      </c>
      <c r="BN462" s="11">
        <f t="shared" si="207"/>
        <v>326610</v>
      </c>
      <c r="BO462" s="11">
        <f t="shared" si="208"/>
        <v>260142.00000000003</v>
      </c>
      <c r="BP462" s="9">
        <f t="shared" si="226"/>
        <v>0</v>
      </c>
      <c r="BQ462" t="str">
        <f>_xlfn.XLOOKUP(X462,'[2]NON TETAP'!$H:$H,'[2]NON TETAP'!$I:$I)</f>
        <v>GRAMEDIA ASRI MEDIA</v>
      </c>
    </row>
    <row r="463" spans="1:69" x14ac:dyDescent="0.3">
      <c r="A463" s="2">
        <v>462</v>
      </c>
      <c r="B463" s="4" t="s">
        <v>1311</v>
      </c>
      <c r="C463" s="6" t="s">
        <v>241</v>
      </c>
      <c r="D463" s="6"/>
      <c r="E463" s="6" t="s">
        <v>73</v>
      </c>
      <c r="F463" s="6" t="s">
        <v>73</v>
      </c>
      <c r="G463" s="6"/>
      <c r="H463" s="6"/>
      <c r="I463" s="6"/>
      <c r="J463" s="6"/>
      <c r="K463" s="6">
        <v>800566</v>
      </c>
      <c r="L463" s="6"/>
      <c r="M463" s="6" t="s">
        <v>1315</v>
      </c>
      <c r="N463" s="46" t="s">
        <v>1314</v>
      </c>
      <c r="O463" s="6">
        <v>1229141834</v>
      </c>
      <c r="P463" s="78" t="s">
        <v>1313</v>
      </c>
      <c r="Q463" s="6">
        <v>33092</v>
      </c>
      <c r="R463" s="6">
        <v>27522</v>
      </c>
      <c r="S463" s="5" t="str">
        <f>VLOOKUP(T463,'[1]Kode Posisi'!$A$3:$B$45,2,)</f>
        <v>Outsourcing Penjualan</v>
      </c>
      <c r="T463" s="36" t="s">
        <v>26</v>
      </c>
      <c r="U463" s="44" t="s">
        <v>1106</v>
      </c>
      <c r="V463" s="44" t="s">
        <v>1312</v>
      </c>
      <c r="W463" s="49" t="s">
        <v>184</v>
      </c>
      <c r="X463" s="49" t="s">
        <v>184</v>
      </c>
      <c r="Y463" s="36" t="s">
        <v>52</v>
      </c>
      <c r="Z463" s="79">
        <v>1280254785</v>
      </c>
      <c r="AA463" s="36" t="s">
        <v>1311</v>
      </c>
      <c r="AB463" s="47">
        <v>5730000</v>
      </c>
      <c r="AC463" s="41">
        <v>5730000</v>
      </c>
      <c r="AD463" s="3">
        <v>5397000</v>
      </c>
      <c r="AE463" s="16">
        <f t="shared" si="209"/>
        <v>333000</v>
      </c>
      <c r="AF463" s="16">
        <v>0</v>
      </c>
      <c r="AG463" s="17">
        <v>0</v>
      </c>
      <c r="AI463" s="16">
        <v>0</v>
      </c>
      <c r="AK463" s="16">
        <v>0</v>
      </c>
      <c r="AL463" s="11">
        <f t="shared" si="210"/>
        <v>5730000</v>
      </c>
      <c r="AM463" s="16">
        <f t="shared" si="211"/>
        <v>586752</v>
      </c>
      <c r="AN463" s="16">
        <f t="shared" si="212"/>
        <v>229200</v>
      </c>
      <c r="AO463" s="16">
        <f t="shared" si="202"/>
        <v>357552</v>
      </c>
      <c r="AP463" s="16">
        <f t="shared" si="213"/>
        <v>212010</v>
      </c>
      <c r="AQ463" s="16">
        <f t="shared" si="214"/>
        <v>6316752</v>
      </c>
      <c r="AR463" s="16">
        <f t="shared" si="205"/>
        <v>379005.12</v>
      </c>
      <c r="AS463" s="16">
        <f t="shared" si="215"/>
        <v>41690.563199999997</v>
      </c>
      <c r="AT463" s="16">
        <f t="shared" si="216"/>
        <v>-7580.1023999999998</v>
      </c>
      <c r="AU463" s="16">
        <f t="shared" si="217"/>
        <v>6688177.0175999999</v>
      </c>
      <c r="AV463" s="16">
        <f t="shared" si="218"/>
        <v>6695757.1200000001</v>
      </c>
      <c r="AW463" s="16">
        <f t="shared" si="219"/>
        <v>229200</v>
      </c>
      <c r="AX463" s="16" t="s">
        <v>235</v>
      </c>
      <c r="AZ463" s="17">
        <f t="shared" si="227"/>
        <v>0</v>
      </c>
      <c r="BA463" s="16">
        <f t="shared" si="220"/>
        <v>5500800</v>
      </c>
      <c r="BB463" s="16">
        <f t="shared" si="221"/>
        <v>5500800</v>
      </c>
      <c r="BC463">
        <v>0.03</v>
      </c>
      <c r="BD463">
        <v>0.01</v>
      </c>
      <c r="BE463" s="37">
        <f t="shared" si="222"/>
        <v>529452</v>
      </c>
      <c r="BF463" s="38">
        <f t="shared" si="223"/>
        <v>326610</v>
      </c>
      <c r="BG463" s="37">
        <f t="shared" si="203"/>
        <v>269850</v>
      </c>
      <c r="BH463" s="37">
        <f t="shared" si="224"/>
        <v>286500</v>
      </c>
      <c r="BI463">
        <v>269850</v>
      </c>
      <c r="BL463" s="8">
        <f t="shared" si="225"/>
        <v>0</v>
      </c>
      <c r="BM463" s="7" t="str">
        <f t="shared" si="206"/>
        <v>Terdaftar BPJS Kes &amp; Naker</v>
      </c>
      <c r="BN463" s="11">
        <f t="shared" si="207"/>
        <v>326610</v>
      </c>
      <c r="BO463" s="11">
        <f t="shared" si="208"/>
        <v>260142.00000000003</v>
      </c>
      <c r="BP463" s="9">
        <f t="shared" si="226"/>
        <v>0</v>
      </c>
      <c r="BQ463" t="str">
        <f>_xlfn.XLOOKUP(X463,'[2]NON TETAP'!$H:$H,'[2]NON TETAP'!$I:$I)</f>
        <v>GRAMEDIA ASRI MEDIA</v>
      </c>
    </row>
    <row r="464" spans="1:69" x14ac:dyDescent="0.3">
      <c r="A464" s="2">
        <v>463</v>
      </c>
      <c r="B464" s="4" t="s">
        <v>1304</v>
      </c>
      <c r="C464" s="6" t="s">
        <v>241</v>
      </c>
      <c r="D464" s="6"/>
      <c r="E464" s="6" t="s">
        <v>73</v>
      </c>
      <c r="F464" s="6" t="s">
        <v>73</v>
      </c>
      <c r="G464" s="6"/>
      <c r="H464" s="6"/>
      <c r="I464" s="6"/>
      <c r="J464" s="6"/>
      <c r="K464" s="6">
        <v>800567</v>
      </c>
      <c r="L464" s="6"/>
      <c r="M464" s="6"/>
      <c r="N464" s="46" t="s">
        <v>1310</v>
      </c>
      <c r="O464" s="6">
        <v>1225973349</v>
      </c>
      <c r="P464" s="78" t="s">
        <v>1309</v>
      </c>
      <c r="Q464" s="6">
        <v>51090</v>
      </c>
      <c r="R464" s="6">
        <v>27570</v>
      </c>
      <c r="S464" s="5" t="str">
        <f>VLOOKUP(T464,'[1]Kode Posisi'!$A$3:$B$45,2,)</f>
        <v>Outsourcing Petugas Administrasi</v>
      </c>
      <c r="T464" s="36" t="s">
        <v>1308</v>
      </c>
      <c r="U464" s="44" t="s">
        <v>1106</v>
      </c>
      <c r="V464" s="44" t="s">
        <v>1307</v>
      </c>
      <c r="W464" s="36" t="s">
        <v>1306</v>
      </c>
      <c r="X464" s="36" t="s">
        <v>1306</v>
      </c>
      <c r="Y464" s="36" t="s">
        <v>63</v>
      </c>
      <c r="Z464" s="79" t="s">
        <v>1305</v>
      </c>
      <c r="AA464" s="36" t="s">
        <v>1304</v>
      </c>
      <c r="AB464" s="47">
        <v>5730000</v>
      </c>
      <c r="AC464" s="41">
        <v>5730000</v>
      </c>
      <c r="AD464" s="3">
        <v>5397000</v>
      </c>
      <c r="AE464" s="16">
        <f t="shared" si="209"/>
        <v>333000</v>
      </c>
      <c r="AF464" s="16">
        <v>0</v>
      </c>
      <c r="AG464" s="17">
        <v>0</v>
      </c>
      <c r="AI464" s="16">
        <v>0</v>
      </c>
      <c r="AK464" s="16">
        <v>0</v>
      </c>
      <c r="AL464" s="11">
        <f t="shared" si="210"/>
        <v>5730000</v>
      </c>
      <c r="AM464" s="16">
        <f t="shared" si="211"/>
        <v>586752</v>
      </c>
      <c r="AN464" s="16">
        <f t="shared" si="212"/>
        <v>229200</v>
      </c>
      <c r="AO464" s="16">
        <f t="shared" si="202"/>
        <v>357552</v>
      </c>
      <c r="AP464" s="16">
        <f t="shared" si="213"/>
        <v>212010</v>
      </c>
      <c r="AQ464" s="16">
        <f t="shared" si="214"/>
        <v>6316752</v>
      </c>
      <c r="AR464" s="16">
        <f t="shared" si="205"/>
        <v>379005.12</v>
      </c>
      <c r="AS464" s="16">
        <f t="shared" si="215"/>
        <v>41690.563199999997</v>
      </c>
      <c r="AT464" s="16">
        <f t="shared" si="216"/>
        <v>-7580.1023999999998</v>
      </c>
      <c r="AU464" s="16">
        <f t="shared" si="217"/>
        <v>6688177.0175999999</v>
      </c>
      <c r="AV464" s="16">
        <f t="shared" si="218"/>
        <v>6695757.1200000001</v>
      </c>
      <c r="AW464" s="16">
        <f t="shared" si="219"/>
        <v>229200</v>
      </c>
      <c r="AX464" s="16" t="s">
        <v>235</v>
      </c>
      <c r="AZ464" s="17">
        <f t="shared" si="227"/>
        <v>2900</v>
      </c>
      <c r="BA464" s="16">
        <f t="shared" si="220"/>
        <v>5500800</v>
      </c>
      <c r="BB464" s="16">
        <f t="shared" si="221"/>
        <v>5497900</v>
      </c>
      <c r="BC464" s="15">
        <v>0.03</v>
      </c>
      <c r="BD464">
        <v>0.01</v>
      </c>
      <c r="BE464" s="37">
        <f t="shared" si="222"/>
        <v>529452</v>
      </c>
      <c r="BF464" s="38">
        <f t="shared" si="223"/>
        <v>326610</v>
      </c>
      <c r="BG464" s="37">
        <f t="shared" si="203"/>
        <v>269850</v>
      </c>
      <c r="BH464" s="37">
        <f t="shared" si="224"/>
        <v>286500</v>
      </c>
      <c r="BI464">
        <v>269850</v>
      </c>
      <c r="BL464" s="8">
        <f t="shared" si="225"/>
        <v>0</v>
      </c>
      <c r="BM464" s="7" t="str">
        <f t="shared" si="206"/>
        <v>Terdaftar BPJS Kes &amp; Naker</v>
      </c>
      <c r="BN464" s="11">
        <f t="shared" si="207"/>
        <v>326610</v>
      </c>
      <c r="BO464" s="11">
        <f t="shared" si="208"/>
        <v>260142.00000000003</v>
      </c>
      <c r="BP464" s="9">
        <f t="shared" si="226"/>
        <v>0</v>
      </c>
      <c r="BQ464" t="s">
        <v>8</v>
      </c>
    </row>
    <row r="465" spans="1:69" x14ac:dyDescent="0.3">
      <c r="A465" s="2">
        <v>464</v>
      </c>
      <c r="B465" s="5" t="s">
        <v>1299</v>
      </c>
      <c r="C465" s="6" t="s">
        <v>241</v>
      </c>
      <c r="D465" s="6"/>
      <c r="E465" s="6" t="s">
        <v>73</v>
      </c>
      <c r="F465" s="6" t="s">
        <v>73</v>
      </c>
      <c r="G465" s="6"/>
      <c r="H465" s="6"/>
      <c r="I465" s="6"/>
      <c r="J465" s="6"/>
      <c r="K465" s="6">
        <v>800570</v>
      </c>
      <c r="L465" s="6"/>
      <c r="M465" s="6" t="e">
        <v>#N/A</v>
      </c>
      <c r="N465" s="46" t="s">
        <v>1303</v>
      </c>
      <c r="O465" s="6">
        <v>1208745663</v>
      </c>
      <c r="P465" s="78" t="s">
        <v>1302</v>
      </c>
      <c r="Q465" s="6">
        <v>10088</v>
      </c>
      <c r="R465" s="6">
        <v>27552</v>
      </c>
      <c r="S465" s="5" t="str">
        <f>VLOOKUP(T465,'[1]Kode Posisi'!$A$3:$B$45,2,)</f>
        <v>Outsourcing Petugas Pemeliharaan Gedung</v>
      </c>
      <c r="T465" s="36" t="s">
        <v>1250</v>
      </c>
      <c r="U465" s="44" t="s">
        <v>1106</v>
      </c>
      <c r="V465" s="44" t="s">
        <v>1301</v>
      </c>
      <c r="W465" s="36" t="s">
        <v>1300</v>
      </c>
      <c r="X465" s="36" t="s">
        <v>1300</v>
      </c>
      <c r="Y465" t="s">
        <v>52</v>
      </c>
      <c r="Z465" s="46">
        <v>6560333658</v>
      </c>
      <c r="AA465" t="s">
        <v>1299</v>
      </c>
      <c r="AB465" s="47">
        <v>5730000</v>
      </c>
      <c r="AC465" s="41">
        <v>5730000</v>
      </c>
      <c r="AD465" s="47">
        <v>5397000</v>
      </c>
      <c r="AE465" s="16">
        <f t="shared" si="209"/>
        <v>333000</v>
      </c>
      <c r="AF465" s="16">
        <v>0</v>
      </c>
      <c r="AG465" s="17">
        <v>0</v>
      </c>
      <c r="AI465" s="16">
        <v>795511.56069364154</v>
      </c>
      <c r="AK465" s="16">
        <v>0</v>
      </c>
      <c r="AL465" s="11">
        <f t="shared" si="210"/>
        <v>6525511.5606936412</v>
      </c>
      <c r="AM465" s="16">
        <f t="shared" si="211"/>
        <v>586752</v>
      </c>
      <c r="AN465" s="16">
        <f t="shared" si="212"/>
        <v>229200</v>
      </c>
      <c r="AO465" s="16">
        <f t="shared" si="202"/>
        <v>357552</v>
      </c>
      <c r="AP465" s="16">
        <f t="shared" si="213"/>
        <v>212010</v>
      </c>
      <c r="AQ465" s="16">
        <f t="shared" si="214"/>
        <v>7112263.5606936412</v>
      </c>
      <c r="AR465" s="16">
        <f t="shared" si="205"/>
        <v>426735.81364161847</v>
      </c>
      <c r="AS465" s="16">
        <f t="shared" si="215"/>
        <v>46940.939500578032</v>
      </c>
      <c r="AT465" s="16">
        <f t="shared" si="216"/>
        <v>-8534.7162728323692</v>
      </c>
      <c r="AU465" s="16">
        <f t="shared" si="217"/>
        <v>7530464.6580624264</v>
      </c>
      <c r="AV465" s="16">
        <f t="shared" si="218"/>
        <v>7538999.3743352592</v>
      </c>
      <c r="AW465" s="16">
        <f t="shared" si="219"/>
        <v>229200</v>
      </c>
      <c r="AX465" s="16" t="s">
        <v>235</v>
      </c>
      <c r="AZ465" s="17">
        <f t="shared" si="227"/>
        <v>0</v>
      </c>
      <c r="BA465" s="16">
        <f t="shared" si="220"/>
        <v>6296311.5606936412</v>
      </c>
      <c r="BB465" s="16">
        <f t="shared" si="221"/>
        <v>6296311.5606936412</v>
      </c>
      <c r="BC465" s="15">
        <v>0.03</v>
      </c>
      <c r="BD465">
        <v>0.01</v>
      </c>
      <c r="BE465" s="37">
        <f t="shared" si="222"/>
        <v>529452</v>
      </c>
      <c r="BF465" s="38">
        <f t="shared" si="223"/>
        <v>326610</v>
      </c>
      <c r="BG465" s="37">
        <f t="shared" si="203"/>
        <v>269850</v>
      </c>
      <c r="BH465" s="37">
        <f t="shared" si="224"/>
        <v>286500</v>
      </c>
      <c r="BI465">
        <v>269850</v>
      </c>
      <c r="BL465" s="8">
        <f t="shared" si="225"/>
        <v>795511.56069364154</v>
      </c>
      <c r="BM465" s="7" t="str">
        <f t="shared" si="206"/>
        <v>Terdaftar BPJS Kes &amp; Naker</v>
      </c>
      <c r="BN465" s="11">
        <f t="shared" si="207"/>
        <v>326610</v>
      </c>
      <c r="BO465" s="11">
        <f t="shared" si="208"/>
        <v>260142.00000000003</v>
      </c>
      <c r="BP465" s="9">
        <f t="shared" si="226"/>
        <v>0</v>
      </c>
      <c r="BQ465" t="str">
        <f>_xlfn.XLOOKUP(X465,'[2]NON TETAP'!$H:$H,'[2]NON TETAP'!$I:$I)</f>
        <v>GRAMEDIA ASRI MEDIA</v>
      </c>
    </row>
    <row r="466" spans="1:69" x14ac:dyDescent="0.3">
      <c r="A466" s="2">
        <v>465</v>
      </c>
      <c r="B466" s="5" t="s">
        <v>1298</v>
      </c>
      <c r="C466" s="6" t="s">
        <v>241</v>
      </c>
      <c r="D466" s="6"/>
      <c r="E466" s="6" t="s">
        <v>73</v>
      </c>
      <c r="F466" s="6" t="s">
        <v>73</v>
      </c>
      <c r="G466" s="6" t="s">
        <v>73</v>
      </c>
      <c r="H466" s="6"/>
      <c r="I466" s="6"/>
      <c r="J466" s="6"/>
      <c r="K466" s="6">
        <v>800571</v>
      </c>
      <c r="L466" s="6"/>
      <c r="M466" s="6" t="e">
        <v>#N/A</v>
      </c>
      <c r="N466" s="46" t="s">
        <v>1297</v>
      </c>
      <c r="O466" s="6">
        <v>1842970105</v>
      </c>
      <c r="P466" s="77" t="s">
        <v>1296</v>
      </c>
      <c r="Q466" s="6">
        <v>10475</v>
      </c>
      <c r="R466" s="6">
        <v>27475</v>
      </c>
      <c r="S466" s="5" t="str">
        <f>VLOOKUP(T466,'[1]Kode Posisi'!$A$3:$B$45,2,)</f>
        <v>Outsourcing Keamanan</v>
      </c>
      <c r="T466" s="36" t="s">
        <v>37</v>
      </c>
      <c r="U466" s="44" t="s">
        <v>1273</v>
      </c>
      <c r="V466" s="44" t="s">
        <v>1295</v>
      </c>
      <c r="W466" s="36" t="s">
        <v>1271</v>
      </c>
      <c r="X466" s="36" t="s">
        <v>84</v>
      </c>
      <c r="Y466" s="36" t="s">
        <v>1294</v>
      </c>
      <c r="Z466" s="76" t="s">
        <v>1293</v>
      </c>
      <c r="AA466" s="36" t="s">
        <v>1292</v>
      </c>
      <c r="AB466" s="47">
        <v>2879000</v>
      </c>
      <c r="AC466" s="41">
        <v>2879000</v>
      </c>
      <c r="AD466" s="47">
        <v>2698000</v>
      </c>
      <c r="AE466" s="16">
        <v>0</v>
      </c>
      <c r="AF466" s="16">
        <v>0</v>
      </c>
      <c r="AG466" s="16">
        <v>0</v>
      </c>
      <c r="AH466" s="16"/>
      <c r="AI466" s="16">
        <v>0</v>
      </c>
      <c r="AJ466" s="16"/>
      <c r="AK466" s="16">
        <v>0</v>
      </c>
      <c r="AL466" s="11">
        <f t="shared" si="210"/>
        <v>2879000</v>
      </c>
      <c r="AM466" s="16">
        <f t="shared" si="211"/>
        <v>294809.59999999998</v>
      </c>
      <c r="AN466" s="16">
        <f t="shared" si="212"/>
        <v>115160</v>
      </c>
      <c r="AO466" s="16">
        <f t="shared" si="202"/>
        <v>179649.6</v>
      </c>
      <c r="AP466" s="16">
        <f t="shared" si="213"/>
        <v>106523</v>
      </c>
      <c r="AQ466" s="16">
        <f t="shared" si="214"/>
        <v>3173809.6</v>
      </c>
      <c r="AR466" s="16">
        <f t="shared" si="205"/>
        <v>190428.576</v>
      </c>
      <c r="AS466" s="16">
        <f t="shared" si="215"/>
        <v>20947.143360000002</v>
      </c>
      <c r="AT466" s="16">
        <f t="shared" si="216"/>
        <v>-3808.57152</v>
      </c>
      <c r="AU466" s="16">
        <f t="shared" si="217"/>
        <v>3360429.6044799997</v>
      </c>
      <c r="AV466" s="16">
        <f t="shared" si="218"/>
        <v>3364238.176</v>
      </c>
      <c r="AW466" s="16">
        <f t="shared" si="219"/>
        <v>115160</v>
      </c>
      <c r="AX466" s="16" t="s">
        <v>235</v>
      </c>
      <c r="AY466" s="17"/>
      <c r="AZ466" s="17">
        <f t="shared" si="227"/>
        <v>2900</v>
      </c>
      <c r="BA466" s="16">
        <f t="shared" si="220"/>
        <v>2763840</v>
      </c>
      <c r="BB466" s="16">
        <f t="shared" si="221"/>
        <v>2760940</v>
      </c>
      <c r="BC466" s="15">
        <v>0.03</v>
      </c>
      <c r="BD466" s="15">
        <v>0.01</v>
      </c>
      <c r="BE466" s="37">
        <f t="shared" si="222"/>
        <v>266019.59999999998</v>
      </c>
      <c r="BF466" s="38">
        <f t="shared" si="223"/>
        <v>164103</v>
      </c>
      <c r="BG466" s="37">
        <f t="shared" si="203"/>
        <v>134900</v>
      </c>
      <c r="BH466" s="37">
        <f t="shared" si="224"/>
        <v>143950</v>
      </c>
      <c r="BI466">
        <v>134900</v>
      </c>
      <c r="BL466" s="8">
        <f t="shared" si="225"/>
        <v>0</v>
      </c>
      <c r="BM466" s="7" t="str">
        <f t="shared" si="206"/>
        <v>Terdaftar BPJS Kes &amp; Naker</v>
      </c>
      <c r="BN466" s="11">
        <f t="shared" si="207"/>
        <v>164103</v>
      </c>
      <c r="BO466" s="11">
        <f t="shared" si="208"/>
        <v>130706.6</v>
      </c>
      <c r="BP466" s="9">
        <f t="shared" si="226"/>
        <v>0</v>
      </c>
      <c r="BQ466" t="str">
        <f>_xlfn.XLOOKUP(X466,'[2]NON TETAP'!$H:$H,'[2]NON TETAP'!$I:$I)</f>
        <v>GRAMEDIA ASRI MEDIA</v>
      </c>
    </row>
    <row r="467" spans="1:69" x14ac:dyDescent="0.3">
      <c r="A467" s="2">
        <v>466</v>
      </c>
      <c r="B467" s="5" t="s">
        <v>1291</v>
      </c>
      <c r="C467" s="6" t="s">
        <v>241</v>
      </c>
      <c r="D467" s="6"/>
      <c r="E467" s="6" t="s">
        <v>73</v>
      </c>
      <c r="F467" s="6" t="s">
        <v>73</v>
      </c>
      <c r="G467" s="6"/>
      <c r="H467" s="6"/>
      <c r="I467" s="6"/>
      <c r="J467" s="6"/>
      <c r="K467" s="6">
        <v>800572</v>
      </c>
      <c r="L467" s="72"/>
      <c r="M467" s="6" t="e">
        <v>#N/A</v>
      </c>
      <c r="N467" s="46" t="s">
        <v>1290</v>
      </c>
      <c r="O467" s="6">
        <v>1721954351</v>
      </c>
      <c r="P467" s="48" t="s">
        <v>1289</v>
      </c>
      <c r="Q467" s="6">
        <v>11196</v>
      </c>
      <c r="R467" s="6">
        <v>27591</v>
      </c>
      <c r="S467" s="5" t="str">
        <f>VLOOKUP(T467,'[1]Kode Posisi'!$A$3:$B$45,2,)</f>
        <v>Outsourcing Petugas Administrasi</v>
      </c>
      <c r="T467" t="s">
        <v>35</v>
      </c>
      <c r="U467" s="44" t="s">
        <v>1106</v>
      </c>
      <c r="V467" s="44" t="s">
        <v>1288</v>
      </c>
      <c r="W467" s="5" t="s">
        <v>1287</v>
      </c>
      <c r="X467" s="5" t="s">
        <v>302</v>
      </c>
      <c r="Y467" t="str">
        <f>_xlfn.XLOOKUP($P467,'[5]Data Perbaikan'!$H$247:$H$281,'[5]Data Perbaikan'!$AJ$247:$AJ$281)</f>
        <v>BCA</v>
      </c>
      <c r="Z467" s="46">
        <v>6041954342</v>
      </c>
      <c r="AA467" t="str">
        <f>_xlfn.XLOOKUP($P467,'[5]Data Perbaikan'!$H$247:$H$281,'[5]Data Perbaikan'!$AI$247:$AI$281)</f>
        <v>Fitria Hariaty</v>
      </c>
      <c r="AB467" s="47">
        <v>5730000</v>
      </c>
      <c r="AC467" s="41">
        <v>5730000</v>
      </c>
      <c r="AD467" s="47">
        <v>5397000</v>
      </c>
      <c r="AE467" s="16">
        <f t="shared" ref="AE467:AE502" si="228">AB467-AD467</f>
        <v>333000</v>
      </c>
      <c r="AF467" s="16">
        <v>0</v>
      </c>
      <c r="AG467" s="17">
        <v>0</v>
      </c>
      <c r="AI467" s="16">
        <v>0</v>
      </c>
      <c r="AJ467" s="11"/>
      <c r="AK467" s="16">
        <v>215880</v>
      </c>
      <c r="AL467" s="11">
        <f t="shared" si="210"/>
        <v>5514120</v>
      </c>
      <c r="AM467" s="16">
        <f t="shared" si="211"/>
        <v>586752</v>
      </c>
      <c r="AN467" s="16">
        <f t="shared" si="212"/>
        <v>229200</v>
      </c>
      <c r="AO467" s="16">
        <f t="shared" si="202"/>
        <v>357552</v>
      </c>
      <c r="AP467" s="16">
        <f t="shared" si="213"/>
        <v>212010</v>
      </c>
      <c r="AQ467" s="16">
        <f t="shared" si="214"/>
        <v>6100872</v>
      </c>
      <c r="AR467" s="16">
        <f t="shared" si="205"/>
        <v>366052.32</v>
      </c>
      <c r="AS467" s="16">
        <f t="shared" si="215"/>
        <v>40265.7552</v>
      </c>
      <c r="AT467" s="16">
        <f t="shared" si="216"/>
        <v>-7321.0464000000002</v>
      </c>
      <c r="AU467" s="16">
        <f t="shared" si="217"/>
        <v>6459603.2736</v>
      </c>
      <c r="AV467" s="16">
        <f t="shared" si="218"/>
        <v>6466924.3200000003</v>
      </c>
      <c r="AW467" s="16">
        <f t="shared" si="219"/>
        <v>229200</v>
      </c>
      <c r="AX467" s="16" t="s">
        <v>235</v>
      </c>
      <c r="AZ467" s="17">
        <f t="shared" si="227"/>
        <v>0</v>
      </c>
      <c r="BA467" s="16">
        <f t="shared" si="220"/>
        <v>5284920</v>
      </c>
      <c r="BB467" s="16">
        <f t="shared" si="221"/>
        <v>5284920</v>
      </c>
      <c r="BC467">
        <v>0.03</v>
      </c>
      <c r="BD467">
        <v>0.01</v>
      </c>
      <c r="BE467" s="37">
        <f t="shared" si="222"/>
        <v>529452</v>
      </c>
      <c r="BF467" s="38">
        <f t="shared" si="223"/>
        <v>326610</v>
      </c>
      <c r="BG467" s="37">
        <f t="shared" si="203"/>
        <v>269850</v>
      </c>
      <c r="BH467" s="37">
        <f t="shared" si="224"/>
        <v>286500</v>
      </c>
      <c r="BI467">
        <v>269850</v>
      </c>
      <c r="BL467" s="8">
        <f t="shared" si="225"/>
        <v>-215880</v>
      </c>
      <c r="BM467" s="7" t="str">
        <f t="shared" si="206"/>
        <v>Terdaftar BPJS Kes &amp; Naker</v>
      </c>
      <c r="BN467" s="11">
        <f t="shared" si="207"/>
        <v>326610</v>
      </c>
      <c r="BO467" s="11">
        <f t="shared" si="208"/>
        <v>260142.00000000003</v>
      </c>
      <c r="BP467" s="9">
        <f t="shared" si="226"/>
        <v>0</v>
      </c>
      <c r="BQ467" t="s">
        <v>8</v>
      </c>
    </row>
    <row r="468" spans="1:69" x14ac:dyDescent="0.3">
      <c r="A468" s="2">
        <v>467</v>
      </c>
      <c r="B468" s="5" t="s">
        <v>1286</v>
      </c>
      <c r="C468" s="6" t="s">
        <v>241</v>
      </c>
      <c r="D468" s="6"/>
      <c r="E468" s="6" t="s">
        <v>73</v>
      </c>
      <c r="F468" s="6" t="s">
        <v>73</v>
      </c>
      <c r="G468" s="6"/>
      <c r="H468" s="6"/>
      <c r="I468" s="6"/>
      <c r="J468" s="6"/>
      <c r="K468" s="6">
        <v>800573</v>
      </c>
      <c r="L468" s="6"/>
      <c r="M468" s="6" t="e">
        <v>#N/A</v>
      </c>
      <c r="N468" s="46" t="s">
        <v>1285</v>
      </c>
      <c r="O468" s="6">
        <v>2140379932</v>
      </c>
      <c r="P468" s="48" t="s">
        <v>1284</v>
      </c>
      <c r="Q468" s="6">
        <v>10088</v>
      </c>
      <c r="R468" s="6">
        <v>27552</v>
      </c>
      <c r="S468" s="5" t="str">
        <f>VLOOKUP(T468,'[1]Kode Posisi'!$A$3:$B$45,2,)</f>
        <v>Outsourcing Petugas Pemeliharaan Gedung</v>
      </c>
      <c r="T468" s="36" t="s">
        <v>1250</v>
      </c>
      <c r="U468" s="44" t="s">
        <v>46</v>
      </c>
      <c r="V468" s="44" t="s">
        <v>1283</v>
      </c>
      <c r="W468" s="5" t="s">
        <v>45</v>
      </c>
      <c r="X468" s="5" t="s">
        <v>1248</v>
      </c>
      <c r="Y468" t="str">
        <f>_xlfn.XLOOKUP($P468,'[5]Data Perbaikan'!$H$247:$H$281,'[5]Data Perbaikan'!$AJ$247:$AJ$281)</f>
        <v>BCA</v>
      </c>
      <c r="Z468" s="57" t="s">
        <v>1282</v>
      </c>
      <c r="AA468" t="str">
        <f>_xlfn.XLOOKUP($P468,'[5]Data Perbaikan'!$H$247:$H$281,'[5]Data Perbaikan'!$AI$247:$AI$281)</f>
        <v>Ahmad fajar zamzami</v>
      </c>
      <c r="AB468" s="47">
        <v>5730000</v>
      </c>
      <c r="AC468" s="41">
        <v>5730000</v>
      </c>
      <c r="AD468" s="47">
        <v>5397000</v>
      </c>
      <c r="AE468" s="16">
        <f t="shared" si="228"/>
        <v>333000</v>
      </c>
      <c r="AF468" s="16">
        <v>0</v>
      </c>
      <c r="AG468" s="17">
        <v>0</v>
      </c>
      <c r="AI468" s="16">
        <v>795511.56069364154</v>
      </c>
      <c r="AJ468" s="11"/>
      <c r="AK468" s="16">
        <v>0</v>
      </c>
      <c r="AL468" s="11">
        <f t="shared" si="210"/>
        <v>6525511.5606936412</v>
      </c>
      <c r="AM468" s="16">
        <f t="shared" si="211"/>
        <v>586752</v>
      </c>
      <c r="AN468" s="16">
        <f t="shared" si="212"/>
        <v>229200</v>
      </c>
      <c r="AO468" s="16">
        <f t="shared" si="202"/>
        <v>357552</v>
      </c>
      <c r="AP468" s="16">
        <f t="shared" si="213"/>
        <v>212010</v>
      </c>
      <c r="AQ468" s="16">
        <f t="shared" si="214"/>
        <v>7112263.5606936412</v>
      </c>
      <c r="AR468" s="16">
        <f t="shared" si="205"/>
        <v>426735.81364161847</v>
      </c>
      <c r="AS468" s="16">
        <f t="shared" si="215"/>
        <v>46940.939500578032</v>
      </c>
      <c r="AT468" s="16">
        <f t="shared" si="216"/>
        <v>-8534.7162728323692</v>
      </c>
      <c r="AU468" s="16">
        <f t="shared" si="217"/>
        <v>7530464.6580624264</v>
      </c>
      <c r="AV468" s="16">
        <f t="shared" si="218"/>
        <v>7538999.3743352592</v>
      </c>
      <c r="AW468" s="16">
        <f t="shared" si="219"/>
        <v>229200</v>
      </c>
      <c r="AX468" s="16" t="s">
        <v>286</v>
      </c>
      <c r="AZ468" s="17">
        <f t="shared" si="227"/>
        <v>0</v>
      </c>
      <c r="BA468" s="16">
        <f t="shared" si="220"/>
        <v>6296311.5606936412</v>
      </c>
      <c r="BB468" s="16">
        <f t="shared" si="221"/>
        <v>6296311.5606936412</v>
      </c>
      <c r="BC468">
        <v>0.03</v>
      </c>
      <c r="BD468">
        <v>0.01</v>
      </c>
      <c r="BE468" s="37">
        <f t="shared" si="222"/>
        <v>529452</v>
      </c>
      <c r="BF468" s="38">
        <f t="shared" si="223"/>
        <v>326610</v>
      </c>
      <c r="BG468" s="37">
        <f t="shared" si="203"/>
        <v>269850</v>
      </c>
      <c r="BH468" s="37">
        <f t="shared" si="224"/>
        <v>286500</v>
      </c>
      <c r="BI468">
        <v>269850</v>
      </c>
      <c r="BJ468" s="2">
        <v>269850</v>
      </c>
      <c r="BL468" s="8">
        <f t="shared" si="225"/>
        <v>795511.56069364154</v>
      </c>
      <c r="BM468" s="7" t="str">
        <f t="shared" si="206"/>
        <v>Terdaftar BPJS Kes &amp; Naker</v>
      </c>
      <c r="BN468" s="11">
        <f t="shared" si="207"/>
        <v>326610</v>
      </c>
      <c r="BO468" s="11">
        <f t="shared" si="208"/>
        <v>260142.00000000003</v>
      </c>
      <c r="BP468" s="9">
        <f t="shared" si="226"/>
        <v>0</v>
      </c>
      <c r="BQ468" t="s">
        <v>8</v>
      </c>
    </row>
    <row r="469" spans="1:69" x14ac:dyDescent="0.3">
      <c r="A469" s="2">
        <v>468</v>
      </c>
      <c r="B469" s="5" t="s">
        <v>1281</v>
      </c>
      <c r="C469" s="6" t="s">
        <v>241</v>
      </c>
      <c r="D469" s="6"/>
      <c r="E469" s="6" t="s">
        <v>73</v>
      </c>
      <c r="F469" s="6" t="s">
        <v>73</v>
      </c>
      <c r="G469" s="6"/>
      <c r="H469" s="6"/>
      <c r="I469" s="6"/>
      <c r="J469" s="6"/>
      <c r="K469" s="6">
        <v>800574</v>
      </c>
      <c r="L469" s="72"/>
      <c r="M469" s="6" t="e">
        <v>#N/A</v>
      </c>
      <c r="N469" s="46" t="s">
        <v>1280</v>
      </c>
      <c r="O469" s="6">
        <v>1842678909</v>
      </c>
      <c r="P469" s="48" t="s">
        <v>1279</v>
      </c>
      <c r="Q469" s="6">
        <v>10088</v>
      </c>
      <c r="R469" s="6">
        <v>27552</v>
      </c>
      <c r="S469" s="5" t="str">
        <f>VLOOKUP(T469,'[1]Kode Posisi'!$A$3:$B$45,2,)</f>
        <v>Outsourcing Petugas Pemeliharaan Gedung</v>
      </c>
      <c r="T469" s="36" t="s">
        <v>1250</v>
      </c>
      <c r="U469" s="44" t="s">
        <v>46</v>
      </c>
      <c r="V469" s="44" t="s">
        <v>1278</v>
      </c>
      <c r="W469" s="5" t="s">
        <v>45</v>
      </c>
      <c r="X469" s="5" t="s">
        <v>1248</v>
      </c>
      <c r="Y469" t="str">
        <f>_xlfn.XLOOKUP($P469,'[5]Data Perbaikan'!$H$247:$H$281,'[5]Data Perbaikan'!$AJ$247:$AJ$281)</f>
        <v>BCA</v>
      </c>
      <c r="Z469" s="57" t="s">
        <v>1277</v>
      </c>
      <c r="AA469" t="str">
        <f>_xlfn.XLOOKUP($P469,'[5]Data Perbaikan'!$H$247:$H$281,'[5]Data Perbaikan'!$AI$247:$AI$281)</f>
        <v>Rino herdianto</v>
      </c>
      <c r="AB469" s="47">
        <v>5730000</v>
      </c>
      <c r="AC469" s="41">
        <v>5730000</v>
      </c>
      <c r="AD469" s="47">
        <v>5397000</v>
      </c>
      <c r="AE469" s="16">
        <f t="shared" si="228"/>
        <v>333000</v>
      </c>
      <c r="AF469" s="16">
        <v>0</v>
      </c>
      <c r="AG469" s="17">
        <v>0</v>
      </c>
      <c r="AI469" s="16">
        <v>1513031.7919075144</v>
      </c>
      <c r="AJ469" s="11"/>
      <c r="AK469" s="16">
        <v>0</v>
      </c>
      <c r="AL469" s="11">
        <f t="shared" si="210"/>
        <v>7243031.7919075144</v>
      </c>
      <c r="AM469" s="16">
        <f t="shared" si="211"/>
        <v>586752</v>
      </c>
      <c r="AN469" s="16">
        <f t="shared" si="212"/>
        <v>229200</v>
      </c>
      <c r="AO469" s="16">
        <f t="shared" si="202"/>
        <v>357552</v>
      </c>
      <c r="AP469" s="16">
        <f t="shared" si="213"/>
        <v>212010</v>
      </c>
      <c r="AQ469" s="16">
        <f t="shared" si="214"/>
        <v>7829783.7919075144</v>
      </c>
      <c r="AR469" s="16">
        <f t="shared" si="205"/>
        <v>469787.02751445083</v>
      </c>
      <c r="AS469" s="16">
        <f t="shared" si="215"/>
        <v>51676.573026589591</v>
      </c>
      <c r="AT469" s="16">
        <f t="shared" si="216"/>
        <v>-9395.740550289016</v>
      </c>
      <c r="AU469" s="16">
        <f t="shared" si="217"/>
        <v>8290175.0788716767</v>
      </c>
      <c r="AV469" s="16">
        <f t="shared" si="218"/>
        <v>8299570.8194219656</v>
      </c>
      <c r="AW469" s="16">
        <f t="shared" si="219"/>
        <v>229200</v>
      </c>
      <c r="AX469" s="16" t="s">
        <v>243</v>
      </c>
      <c r="AZ469" s="17">
        <f t="shared" si="227"/>
        <v>0</v>
      </c>
      <c r="BA469" s="16">
        <f t="shared" si="220"/>
        <v>7013831.7919075144</v>
      </c>
      <c r="BB469" s="16">
        <f t="shared" si="221"/>
        <v>7013831.7919075144</v>
      </c>
      <c r="BC469">
        <v>0.03</v>
      </c>
      <c r="BD469">
        <v>0.01</v>
      </c>
      <c r="BE469" s="37">
        <f t="shared" si="222"/>
        <v>529452</v>
      </c>
      <c r="BF469" s="38">
        <f t="shared" si="223"/>
        <v>326610</v>
      </c>
      <c r="BG469" s="37">
        <f t="shared" si="203"/>
        <v>269850</v>
      </c>
      <c r="BH469" s="37">
        <f t="shared" si="224"/>
        <v>286500</v>
      </c>
      <c r="BI469">
        <v>269850</v>
      </c>
      <c r="BL469" s="8">
        <f t="shared" si="225"/>
        <v>1513031.7919075144</v>
      </c>
      <c r="BM469" s="7" t="str">
        <f t="shared" si="206"/>
        <v>Terdaftar BPJS Kes &amp; Naker</v>
      </c>
      <c r="BN469" s="11">
        <f t="shared" si="207"/>
        <v>326610</v>
      </c>
      <c r="BO469" s="11">
        <f t="shared" si="208"/>
        <v>260142.00000000003</v>
      </c>
      <c r="BP469" s="9">
        <f t="shared" si="226"/>
        <v>0</v>
      </c>
      <c r="BQ469" t="s">
        <v>8</v>
      </c>
    </row>
    <row r="470" spans="1:69" x14ac:dyDescent="0.3">
      <c r="A470" s="2">
        <v>469</v>
      </c>
      <c r="B470" s="5" t="s">
        <v>1276</v>
      </c>
      <c r="C470" s="6" t="s">
        <v>241</v>
      </c>
      <c r="D470" s="6"/>
      <c r="E470" s="6" t="s">
        <v>73</v>
      </c>
      <c r="F470" s="6" t="s">
        <v>73</v>
      </c>
      <c r="G470" s="6" t="s">
        <v>73</v>
      </c>
      <c r="H470" s="6"/>
      <c r="I470" s="6"/>
      <c r="J470" s="6"/>
      <c r="K470" s="6">
        <v>800575</v>
      </c>
      <c r="L470" s="6"/>
      <c r="M470" s="6" t="e">
        <v>#N/A</v>
      </c>
      <c r="N470" s="46" t="s">
        <v>1275</v>
      </c>
      <c r="O470" s="6">
        <v>66446875</v>
      </c>
      <c r="P470" s="48" t="s">
        <v>1274</v>
      </c>
      <c r="Q470" s="6">
        <v>10475</v>
      </c>
      <c r="R470" s="6">
        <v>27475</v>
      </c>
      <c r="S470" s="5" t="str">
        <f>VLOOKUP(T470,'[1]Kode Posisi'!$A$3:$B$45,2,)</f>
        <v>Outsourcing Keamanan</v>
      </c>
      <c r="T470" s="36" t="s">
        <v>37</v>
      </c>
      <c r="U470" s="44" t="s">
        <v>1273</v>
      </c>
      <c r="V470" s="44" t="s">
        <v>1272</v>
      </c>
      <c r="W470" s="5" t="s">
        <v>1271</v>
      </c>
      <c r="X470" s="5" t="s">
        <v>84</v>
      </c>
      <c r="Y470" t="str">
        <f>_xlfn.XLOOKUP($P470,'[5]Data Perbaikan'!$H$247:$H$281,'[5]Data Perbaikan'!$AJ$247:$AJ$281)</f>
        <v>BCA</v>
      </c>
      <c r="Z470" s="46">
        <v>7746441231</v>
      </c>
      <c r="AA470" t="str">
        <f>_xlfn.XLOOKUP($P470,'[5]Data Perbaikan'!$H$247:$H$281,'[5]Data Perbaikan'!$AI$247:$AI$281)</f>
        <v>Ading suparjo</v>
      </c>
      <c r="AB470" s="47">
        <v>2879000</v>
      </c>
      <c r="AC470" s="41">
        <v>2879000</v>
      </c>
      <c r="AD470" s="3">
        <v>2698000</v>
      </c>
      <c r="AE470" s="16">
        <f t="shared" si="228"/>
        <v>181000</v>
      </c>
      <c r="AF470" s="16">
        <v>0</v>
      </c>
      <c r="AG470" s="17">
        <v>0</v>
      </c>
      <c r="AI470" s="16">
        <v>0</v>
      </c>
      <c r="AK470" s="16">
        <v>0</v>
      </c>
      <c r="AL470" s="11">
        <f t="shared" si="210"/>
        <v>2879000</v>
      </c>
      <c r="AM470" s="16">
        <f t="shared" si="211"/>
        <v>294809.59999999998</v>
      </c>
      <c r="AN470" s="16">
        <f t="shared" si="212"/>
        <v>115160</v>
      </c>
      <c r="AO470" s="16">
        <f t="shared" si="202"/>
        <v>179649.6</v>
      </c>
      <c r="AP470" s="16">
        <f t="shared" si="213"/>
        <v>106523</v>
      </c>
      <c r="AQ470" s="16">
        <f t="shared" si="214"/>
        <v>3173809.6</v>
      </c>
      <c r="AR470" s="16">
        <f t="shared" si="205"/>
        <v>190428.576</v>
      </c>
      <c r="AS470" s="16">
        <f t="shared" si="215"/>
        <v>20947.143360000002</v>
      </c>
      <c r="AT470" s="16">
        <f t="shared" si="216"/>
        <v>-3808.57152</v>
      </c>
      <c r="AU470" s="16">
        <f t="shared" si="217"/>
        <v>3360429.6044799997</v>
      </c>
      <c r="AV470" s="16">
        <f t="shared" si="218"/>
        <v>3364238.176</v>
      </c>
      <c r="AW470" s="16">
        <f t="shared" si="219"/>
        <v>115160</v>
      </c>
      <c r="AX470" s="16" t="s">
        <v>319</v>
      </c>
      <c r="AZ470" s="17">
        <f t="shared" si="227"/>
        <v>0</v>
      </c>
      <c r="BA470" s="16">
        <f t="shared" si="220"/>
        <v>2763840</v>
      </c>
      <c r="BB470" s="16">
        <f t="shared" si="221"/>
        <v>2763840</v>
      </c>
      <c r="BC470">
        <v>0.03</v>
      </c>
      <c r="BD470">
        <v>0.01</v>
      </c>
      <c r="BE470" s="37">
        <f t="shared" si="222"/>
        <v>266019.59999999998</v>
      </c>
      <c r="BF470" s="38">
        <f t="shared" si="223"/>
        <v>164103</v>
      </c>
      <c r="BG470" s="37">
        <f t="shared" si="203"/>
        <v>134900</v>
      </c>
      <c r="BH470" s="37">
        <f t="shared" si="224"/>
        <v>143950</v>
      </c>
      <c r="BI470">
        <v>134900</v>
      </c>
      <c r="BJ470" s="2">
        <v>134900</v>
      </c>
      <c r="BL470" s="8">
        <f t="shared" si="225"/>
        <v>0</v>
      </c>
      <c r="BM470" s="7" t="str">
        <f t="shared" si="206"/>
        <v>Terdaftar BPJS Kes &amp; Naker</v>
      </c>
      <c r="BN470" s="11">
        <f t="shared" si="207"/>
        <v>164103</v>
      </c>
      <c r="BO470" s="11">
        <f t="shared" si="208"/>
        <v>130706.6</v>
      </c>
      <c r="BP470" s="9">
        <f t="shared" si="226"/>
        <v>0</v>
      </c>
      <c r="BQ470" t="str">
        <f>_xlfn.XLOOKUP(X470,'[2]NON TETAP'!$H:$H,'[2]NON TETAP'!$I:$I)</f>
        <v>GRAMEDIA ASRI MEDIA</v>
      </c>
    </row>
    <row r="471" spans="1:69" x14ac:dyDescent="0.3">
      <c r="A471" s="2">
        <v>470</v>
      </c>
      <c r="B471" s="5" t="s">
        <v>1270</v>
      </c>
      <c r="C471" s="6" t="s">
        <v>241</v>
      </c>
      <c r="D471" s="6"/>
      <c r="E471" s="6" t="s">
        <v>73</v>
      </c>
      <c r="F471" s="6" t="s">
        <v>73</v>
      </c>
      <c r="G471" s="6" t="s">
        <v>73</v>
      </c>
      <c r="H471" s="6"/>
      <c r="I471" s="6">
        <v>261000</v>
      </c>
      <c r="J471" s="6"/>
      <c r="K471" s="6">
        <v>800576</v>
      </c>
      <c r="L471" s="6"/>
      <c r="M471" s="6" t="e">
        <v>#N/A</v>
      </c>
      <c r="N471" s="46" t="s">
        <v>1269</v>
      </c>
      <c r="O471" s="6">
        <v>301341587</v>
      </c>
      <c r="P471" s="48" t="s">
        <v>1268</v>
      </c>
      <c r="Q471" s="6">
        <v>10168</v>
      </c>
      <c r="R471" s="6">
        <v>27168</v>
      </c>
      <c r="S471" s="5" t="str">
        <f>VLOOKUP(T471,'[1]Kode Posisi'!$A$3:$B$45,2,)</f>
        <v>Outsourcing Keamanan</v>
      </c>
      <c r="T471" s="36" t="s">
        <v>37</v>
      </c>
      <c r="U471" s="44" t="s">
        <v>1267</v>
      </c>
      <c r="V471" s="44" t="s">
        <v>1266</v>
      </c>
      <c r="W471" s="5" t="s">
        <v>1025</v>
      </c>
      <c r="X471" s="5" t="s">
        <v>951</v>
      </c>
      <c r="Y471" t="str">
        <f>_xlfn.XLOOKUP($P471,'[5]Data Perbaikan'!$H$247:$H$281,'[5]Data Perbaikan'!$AJ$247:$AJ$281)</f>
        <v>BCA</v>
      </c>
      <c r="Z471" s="46">
        <v>7871251260</v>
      </c>
      <c r="AA471" t="str">
        <f>_xlfn.XLOOKUP($P471,'[5]Data Perbaikan'!$H$247:$H$281,'[5]Data Perbaikan'!$AI$247:$AI$281)</f>
        <v>JEFRI JULIANDA</v>
      </c>
      <c r="AB471" s="3">
        <v>3608000</v>
      </c>
      <c r="AC471" s="47">
        <v>3869000</v>
      </c>
      <c r="AD471" s="3">
        <v>3608000</v>
      </c>
      <c r="AE471" s="16">
        <f t="shared" si="228"/>
        <v>0</v>
      </c>
      <c r="AF471" s="16">
        <v>0</v>
      </c>
      <c r="AG471" s="17">
        <v>0</v>
      </c>
      <c r="AI471" s="16">
        <v>333687.86127167632</v>
      </c>
      <c r="AK471" s="16">
        <v>0</v>
      </c>
      <c r="AL471" s="11">
        <f t="shared" si="210"/>
        <v>3941687.8612716761</v>
      </c>
      <c r="AM471" s="16">
        <f t="shared" si="211"/>
        <v>396185.59999999998</v>
      </c>
      <c r="AN471" s="16">
        <f t="shared" si="212"/>
        <v>154760</v>
      </c>
      <c r="AO471" s="16">
        <f t="shared" si="202"/>
        <v>241425.59999999998</v>
      </c>
      <c r="AP471" s="16">
        <f t="shared" si="213"/>
        <v>133496</v>
      </c>
      <c r="AQ471" s="16">
        <f t="shared" si="214"/>
        <v>4337873.4612716762</v>
      </c>
      <c r="AR471" s="16">
        <f t="shared" si="205"/>
        <v>260272.40767630056</v>
      </c>
      <c r="AS471" s="16">
        <f t="shared" si="215"/>
        <v>28629.96484439306</v>
      </c>
      <c r="AT471" s="16">
        <f t="shared" si="216"/>
        <v>-5205.4481535260111</v>
      </c>
      <c r="AU471" s="16">
        <f t="shared" si="217"/>
        <v>4592940.4207944516</v>
      </c>
      <c r="AV471" s="16">
        <f t="shared" si="218"/>
        <v>4598145.8689479772</v>
      </c>
      <c r="AW471" s="16">
        <f t="shared" si="219"/>
        <v>154760</v>
      </c>
      <c r="AX471" s="16" t="s">
        <v>319</v>
      </c>
      <c r="AZ471" s="17">
        <f t="shared" si="227"/>
        <v>0</v>
      </c>
      <c r="BA471" s="16">
        <f t="shared" si="220"/>
        <v>3786927.8612716761</v>
      </c>
      <c r="BB471" s="16">
        <f t="shared" si="221"/>
        <v>3786927.8612716761</v>
      </c>
      <c r="BC471">
        <v>0.03</v>
      </c>
      <c r="BD471">
        <v>0.01</v>
      </c>
      <c r="BE471" s="37">
        <f t="shared" si="222"/>
        <v>357495.6</v>
      </c>
      <c r="BF471" s="38">
        <f t="shared" si="223"/>
        <v>220533</v>
      </c>
      <c r="BG471" s="37">
        <f t="shared" si="203"/>
        <v>180400</v>
      </c>
      <c r="BH471" s="37">
        <f t="shared" si="224"/>
        <v>193450</v>
      </c>
      <c r="BI471">
        <v>180400</v>
      </c>
      <c r="BL471" s="8">
        <f t="shared" si="225"/>
        <v>333687.86127167632</v>
      </c>
      <c r="BM471" s="7" t="str">
        <f t="shared" si="206"/>
        <v>Terdaftar BPJS Kes &amp; Naker</v>
      </c>
      <c r="BN471" s="11">
        <f t="shared" si="207"/>
        <v>220533</v>
      </c>
      <c r="BO471" s="11">
        <f t="shared" si="208"/>
        <v>175652.6</v>
      </c>
      <c r="BP471" s="9">
        <f t="shared" si="226"/>
        <v>0</v>
      </c>
      <c r="BQ471" t="str">
        <f>_xlfn.XLOOKUP(X471,'[2]NON TETAP'!$H:$H,'[2]NON TETAP'!$I:$I)</f>
        <v>GRAMEDIA ASRI MEDIA</v>
      </c>
    </row>
    <row r="472" spans="1:69" x14ac:dyDescent="0.3">
      <c r="A472" s="2">
        <v>471</v>
      </c>
      <c r="B472" s="5" t="s">
        <v>1265</v>
      </c>
      <c r="C472" s="6" t="s">
        <v>241</v>
      </c>
      <c r="D472" s="6"/>
      <c r="E472" s="6" t="s">
        <v>73</v>
      </c>
      <c r="F472" s="6" t="s">
        <v>73</v>
      </c>
      <c r="G472" s="6"/>
      <c r="H472" s="6"/>
      <c r="I472" s="6"/>
      <c r="J472" s="6"/>
      <c r="K472" s="6">
        <v>800577</v>
      </c>
      <c r="L472" s="6"/>
      <c r="M472" s="6" t="e">
        <v>#N/A</v>
      </c>
      <c r="N472" s="46" t="s">
        <v>1264</v>
      </c>
      <c r="O472" s="6">
        <v>197880074</v>
      </c>
      <c r="P472" s="48" t="s">
        <v>1263</v>
      </c>
      <c r="Q472" s="6">
        <v>10239</v>
      </c>
      <c r="R472" s="6">
        <v>27239</v>
      </c>
      <c r="S472" s="5" t="str">
        <f>VLOOKUP(T472,'[1]Kode Posisi'!$A$3:$B$45,2,)</f>
        <v>Outsourcing Keamanan</v>
      </c>
      <c r="T472" s="36" t="s">
        <v>37</v>
      </c>
      <c r="U472" s="44" t="s">
        <v>1262</v>
      </c>
      <c r="V472" s="44" t="s">
        <v>1261</v>
      </c>
      <c r="W472" s="5" t="s">
        <v>1008</v>
      </c>
      <c r="X472" s="5" t="s">
        <v>1260</v>
      </c>
      <c r="Y472" t="str">
        <f>_xlfn.XLOOKUP($P472,'[5]Data Perbaikan'!$H$247:$H$281,'[5]Data Perbaikan'!$AJ$247:$AJ$281)</f>
        <v>BSI</v>
      </c>
      <c r="Z472" s="46" t="s">
        <v>1259</v>
      </c>
      <c r="AA472" t="str">
        <f>_xlfn.XLOOKUP($P472,'[5]Data Perbaikan'!$H$247:$H$281,'[5]Data Perbaikan'!$AI$247:$AI$281)</f>
        <v>Nuzul Ramadhan</v>
      </c>
      <c r="AB472" s="3">
        <v>3899000</v>
      </c>
      <c r="AC472" s="3">
        <v>3899000</v>
      </c>
      <c r="AD472" s="3">
        <v>3899000</v>
      </c>
      <c r="AE472" s="16">
        <f t="shared" si="228"/>
        <v>0</v>
      </c>
      <c r="AF472" s="16">
        <v>0</v>
      </c>
      <c r="AG472" s="17">
        <v>0</v>
      </c>
      <c r="AI472" s="16">
        <v>0</v>
      </c>
      <c r="AK472" s="16">
        <v>0</v>
      </c>
      <c r="AL472" s="11">
        <f t="shared" si="210"/>
        <v>3899000</v>
      </c>
      <c r="AM472" s="16">
        <f t="shared" si="211"/>
        <v>399257.59999999998</v>
      </c>
      <c r="AN472" s="16">
        <f t="shared" si="212"/>
        <v>155960</v>
      </c>
      <c r="AO472" s="16">
        <f t="shared" si="202"/>
        <v>243297.59999999998</v>
      </c>
      <c r="AP472" s="16">
        <f t="shared" si="213"/>
        <v>144263</v>
      </c>
      <c r="AQ472" s="16">
        <f t="shared" si="214"/>
        <v>4298257.5999999996</v>
      </c>
      <c r="AR472" s="16">
        <f t="shared" si="205"/>
        <v>257895.45599999998</v>
      </c>
      <c r="AS472" s="16">
        <f t="shared" si="215"/>
        <v>28368.500159999996</v>
      </c>
      <c r="AT472" s="16">
        <f t="shared" si="216"/>
        <v>-5157.9091199999993</v>
      </c>
      <c r="AU472" s="16">
        <f t="shared" si="217"/>
        <v>4550995.1468799999</v>
      </c>
      <c r="AV472" s="16">
        <f t="shared" si="218"/>
        <v>4556153.0559999999</v>
      </c>
      <c r="AW472" s="16">
        <f t="shared" si="219"/>
        <v>155960</v>
      </c>
      <c r="AX472" s="16" t="s">
        <v>235</v>
      </c>
      <c r="AZ472" s="17">
        <f t="shared" si="227"/>
        <v>2900</v>
      </c>
      <c r="BA472" s="16">
        <f t="shared" si="220"/>
        <v>3743040</v>
      </c>
      <c r="BB472" s="16">
        <f t="shared" si="221"/>
        <v>3740140</v>
      </c>
      <c r="BC472">
        <v>0.03</v>
      </c>
      <c r="BD472">
        <v>0.01</v>
      </c>
      <c r="BE472" s="37">
        <f t="shared" si="222"/>
        <v>360267.6</v>
      </c>
      <c r="BF472" s="38">
        <f t="shared" si="223"/>
        <v>222243</v>
      </c>
      <c r="BG472" s="37">
        <f t="shared" si="203"/>
        <v>194950</v>
      </c>
      <c r="BH472" s="37">
        <f t="shared" si="224"/>
        <v>194950</v>
      </c>
      <c r="BI472">
        <v>194950</v>
      </c>
      <c r="BJ472" s="2">
        <v>194950</v>
      </c>
      <c r="BL472" s="8">
        <f t="shared" si="225"/>
        <v>0</v>
      </c>
      <c r="BM472" s="7" t="str">
        <f t="shared" si="206"/>
        <v>Terdaftar BPJS Kes &amp; Naker</v>
      </c>
      <c r="BN472" s="11">
        <f t="shared" si="207"/>
        <v>222243</v>
      </c>
      <c r="BO472" s="11">
        <f t="shared" si="208"/>
        <v>177014.6</v>
      </c>
      <c r="BP472" s="9">
        <f t="shared" si="226"/>
        <v>0</v>
      </c>
      <c r="BQ472" t="str">
        <f>_xlfn.XLOOKUP(X472,'[2]NON TETAP'!$H:$H,'[2]NON TETAP'!$I:$I)</f>
        <v>GRAMEDIA ASRI MEDIA</v>
      </c>
    </row>
    <row r="473" spans="1:69" x14ac:dyDescent="0.3">
      <c r="A473" s="2">
        <v>472</v>
      </c>
      <c r="B473" s="4" t="s">
        <v>1254</v>
      </c>
      <c r="C473" s="6" t="s">
        <v>241</v>
      </c>
      <c r="D473" s="6"/>
      <c r="E473" s="6" t="s">
        <v>73</v>
      </c>
      <c r="F473" s="6" t="s">
        <v>73</v>
      </c>
      <c r="G473" s="6"/>
      <c r="H473" s="6"/>
      <c r="J473" s="6" t="s">
        <v>1157</v>
      </c>
      <c r="K473" s="6">
        <v>800578</v>
      </c>
      <c r="L473" s="6"/>
      <c r="M473" s="6"/>
      <c r="N473" s="46" t="s">
        <v>1258</v>
      </c>
      <c r="O473" s="6">
        <v>1654283002</v>
      </c>
      <c r="P473" s="48" t="s">
        <v>1257</v>
      </c>
      <c r="Q473" s="6">
        <v>99090</v>
      </c>
      <c r="R473" s="6">
        <v>27004</v>
      </c>
      <c r="S473" s="5" t="str">
        <f>VLOOKUP(T473,'[1]Kode Posisi'!$A$3:$B$45,2,)</f>
        <v>Outsourcing Penjualan</v>
      </c>
      <c r="T473" t="s">
        <v>21</v>
      </c>
      <c r="U473" s="6"/>
      <c r="V473" s="44" t="s">
        <v>1256</v>
      </c>
      <c r="W473" s="5" t="s">
        <v>1255</v>
      </c>
      <c r="X473" s="36" t="s">
        <v>23</v>
      </c>
      <c r="Y473" t="s">
        <v>52</v>
      </c>
      <c r="Z473" s="46">
        <v>8415951333</v>
      </c>
      <c r="AA473" t="s">
        <v>1254</v>
      </c>
      <c r="AB473" s="47">
        <v>6000000</v>
      </c>
      <c r="AC473" s="41">
        <v>6000000</v>
      </c>
      <c r="AD473" s="3">
        <v>5691000</v>
      </c>
      <c r="AE473" s="16">
        <f t="shared" si="228"/>
        <v>309000</v>
      </c>
      <c r="AF473" s="16">
        <v>0</v>
      </c>
      <c r="AG473" s="17">
        <v>0</v>
      </c>
      <c r="AI473" s="16">
        <v>0</v>
      </c>
      <c r="AK473" s="16">
        <v>0</v>
      </c>
      <c r="AL473" s="11">
        <f t="shared" si="210"/>
        <v>6000000</v>
      </c>
      <c r="AM473" s="16">
        <f t="shared" si="211"/>
        <v>614400</v>
      </c>
      <c r="AN473" s="16">
        <f t="shared" si="212"/>
        <v>240000</v>
      </c>
      <c r="AO473" s="16">
        <f t="shared" si="202"/>
        <v>374400</v>
      </c>
      <c r="AP473" s="16">
        <f t="shared" si="213"/>
        <v>222000</v>
      </c>
      <c r="AQ473" s="16">
        <f t="shared" si="214"/>
        <v>6614400</v>
      </c>
      <c r="AR473" s="16">
        <f t="shared" si="205"/>
        <v>396864</v>
      </c>
      <c r="AS473" s="16">
        <f t="shared" si="215"/>
        <v>43655.040000000001</v>
      </c>
      <c r="AT473" s="16">
        <f t="shared" si="216"/>
        <v>-7937.28</v>
      </c>
      <c r="AU473" s="16">
        <f t="shared" si="217"/>
        <v>7003326.7199999997</v>
      </c>
      <c r="AV473" s="16">
        <f t="shared" si="218"/>
        <v>7011264</v>
      </c>
      <c r="AW473" s="16">
        <f t="shared" si="219"/>
        <v>240000</v>
      </c>
      <c r="AX473" s="16" t="s">
        <v>235</v>
      </c>
      <c r="AZ473" s="17">
        <f t="shared" si="227"/>
        <v>0</v>
      </c>
      <c r="BA473" s="16">
        <f t="shared" si="220"/>
        <v>5760000</v>
      </c>
      <c r="BB473" s="16">
        <f t="shared" si="221"/>
        <v>5760000</v>
      </c>
      <c r="BC473" s="15">
        <v>0.03</v>
      </c>
      <c r="BD473">
        <v>0.01</v>
      </c>
      <c r="BE473" s="37">
        <f t="shared" si="222"/>
        <v>554400</v>
      </c>
      <c r="BF473" s="38">
        <f t="shared" si="223"/>
        <v>342000</v>
      </c>
      <c r="BG473" s="37">
        <f t="shared" si="203"/>
        <v>284550</v>
      </c>
      <c r="BH473" s="37">
        <f t="shared" si="224"/>
        <v>300000</v>
      </c>
      <c r="BI473">
        <v>284550</v>
      </c>
      <c r="BL473" s="8">
        <f t="shared" si="225"/>
        <v>0</v>
      </c>
      <c r="BM473" s="7" t="str">
        <f t="shared" si="206"/>
        <v>Terdaftar BPJS Kes &amp; Naker</v>
      </c>
      <c r="BN473" s="11">
        <f t="shared" si="207"/>
        <v>342000</v>
      </c>
      <c r="BO473" s="11">
        <f t="shared" si="208"/>
        <v>272400</v>
      </c>
      <c r="BP473" s="9">
        <f t="shared" si="226"/>
        <v>0</v>
      </c>
      <c r="BQ473" t="str">
        <f>_xlfn.XLOOKUP(X473,'[2]NON TETAP'!$H:$H,'[2]NON TETAP'!$I:$I)</f>
        <v>GLOBAL LINTAS KARYA UTAMA</v>
      </c>
    </row>
    <row r="474" spans="1:69" x14ac:dyDescent="0.3">
      <c r="A474" s="2">
        <v>473</v>
      </c>
      <c r="B474" s="5" t="s">
        <v>1253</v>
      </c>
      <c r="C474" s="6" t="s">
        <v>241</v>
      </c>
      <c r="D474" s="6"/>
      <c r="E474" s="6" t="s">
        <v>73</v>
      </c>
      <c r="F474" s="6" t="s">
        <v>73</v>
      </c>
      <c r="G474" s="6"/>
      <c r="H474" s="6"/>
      <c r="J474" s="6"/>
      <c r="K474" s="6">
        <v>800580</v>
      </c>
      <c r="L474" s="6"/>
      <c r="M474" s="6" t="e">
        <v>#N/A</v>
      </c>
      <c r="N474" s="46" t="s">
        <v>1252</v>
      </c>
      <c r="O474" s="6">
        <v>2340553792</v>
      </c>
      <c r="P474" s="48" t="s">
        <v>1251</v>
      </c>
      <c r="Q474" s="6">
        <v>10088</v>
      </c>
      <c r="R474" s="6">
        <v>27552</v>
      </c>
      <c r="S474" s="5" t="str">
        <f>VLOOKUP(T474,'[1]Kode Posisi'!$A$3:$B$45,2,)</f>
        <v>Outsourcing Petugas Pemeliharaan Gedung</v>
      </c>
      <c r="T474" t="s">
        <v>1250</v>
      </c>
      <c r="U474" s="44" t="s">
        <v>46</v>
      </c>
      <c r="V474" s="44" t="s">
        <v>1249</v>
      </c>
      <c r="W474" s="5" t="s">
        <v>45</v>
      </c>
      <c r="X474" s="36" t="s">
        <v>1248</v>
      </c>
      <c r="Y474" t="str">
        <f>_xlfn.XLOOKUP($P474,'[5]Data Perbaikan'!$H$247:$H$281,'[5]Data Perbaikan'!$AJ$247:$AJ$281)</f>
        <v>BCA</v>
      </c>
      <c r="Z474" s="46">
        <v>4120192669</v>
      </c>
      <c r="AA474" t="str">
        <f>_xlfn.XLOOKUP($P474,'[5]Data Perbaikan'!$H$247:$H$281,'[5]Data Perbaikan'!$AI$247:$AI$281)</f>
        <v>Ivan Wibisono</v>
      </c>
      <c r="AB474" s="47">
        <v>5730000</v>
      </c>
      <c r="AC474" s="41">
        <v>5730000</v>
      </c>
      <c r="AD474" s="47">
        <v>5397000</v>
      </c>
      <c r="AE474" s="16">
        <f t="shared" si="228"/>
        <v>333000</v>
      </c>
      <c r="AF474" s="16">
        <v>0</v>
      </c>
      <c r="AG474" s="17">
        <v>0</v>
      </c>
      <c r="AI474" s="16">
        <v>795511.56069364154</v>
      </c>
      <c r="AK474" s="16">
        <v>0</v>
      </c>
      <c r="AL474" s="11">
        <f t="shared" si="210"/>
        <v>6525511.5606936412</v>
      </c>
      <c r="AM474" s="16">
        <f t="shared" si="211"/>
        <v>586752</v>
      </c>
      <c r="AN474" s="16">
        <f t="shared" si="212"/>
        <v>229200</v>
      </c>
      <c r="AO474" s="16">
        <f t="shared" si="202"/>
        <v>357552</v>
      </c>
      <c r="AP474" s="16">
        <f t="shared" si="213"/>
        <v>212010</v>
      </c>
      <c r="AQ474" s="16">
        <f t="shared" si="214"/>
        <v>7112263.5606936412</v>
      </c>
      <c r="AR474" s="16">
        <f t="shared" si="205"/>
        <v>426735.81364161847</v>
      </c>
      <c r="AS474" s="16">
        <f t="shared" si="215"/>
        <v>46940.939500578032</v>
      </c>
      <c r="AT474" s="16">
        <f t="shared" si="216"/>
        <v>-8534.7162728323692</v>
      </c>
      <c r="AU474" s="16">
        <f t="shared" si="217"/>
        <v>7530464.6580624264</v>
      </c>
      <c r="AV474" s="16">
        <f t="shared" si="218"/>
        <v>7538999.3743352592</v>
      </c>
      <c r="AW474" s="16">
        <f t="shared" si="219"/>
        <v>229200</v>
      </c>
      <c r="AX474" s="16" t="s">
        <v>91</v>
      </c>
      <c r="AZ474" s="17">
        <f t="shared" si="227"/>
        <v>0</v>
      </c>
      <c r="BA474" s="16">
        <f t="shared" si="220"/>
        <v>6296311.5606936412</v>
      </c>
      <c r="BB474" s="16">
        <f t="shared" si="221"/>
        <v>6296311.5606936412</v>
      </c>
      <c r="BC474">
        <v>0.03</v>
      </c>
      <c r="BD474">
        <v>0.01</v>
      </c>
      <c r="BE474" s="37">
        <f t="shared" si="222"/>
        <v>529452</v>
      </c>
      <c r="BF474" s="38">
        <f t="shared" si="223"/>
        <v>326610</v>
      </c>
      <c r="BG474" s="37">
        <f t="shared" si="203"/>
        <v>269850</v>
      </c>
      <c r="BH474" s="37">
        <f t="shared" si="224"/>
        <v>286500</v>
      </c>
      <c r="BI474">
        <v>269850</v>
      </c>
      <c r="BL474" s="8">
        <f t="shared" si="225"/>
        <v>795511.56069364154</v>
      </c>
      <c r="BM474" s="7" t="str">
        <f t="shared" si="206"/>
        <v>Terdaftar BPJS Kes &amp; Naker</v>
      </c>
      <c r="BN474" s="11">
        <f t="shared" si="207"/>
        <v>326610</v>
      </c>
      <c r="BO474" s="11">
        <f t="shared" si="208"/>
        <v>260142.00000000003</v>
      </c>
      <c r="BP474" s="9">
        <f t="shared" si="226"/>
        <v>0</v>
      </c>
      <c r="BQ474" t="s">
        <v>8</v>
      </c>
    </row>
    <row r="475" spans="1:69" x14ac:dyDescent="0.3">
      <c r="A475" s="2">
        <v>474</v>
      </c>
      <c r="B475" s="4" t="s">
        <v>1243</v>
      </c>
      <c r="C475" s="6" t="s">
        <v>241</v>
      </c>
      <c r="D475" s="6"/>
      <c r="E475" s="6" t="s">
        <v>73</v>
      </c>
      <c r="F475" s="6" t="s">
        <v>73</v>
      </c>
      <c r="G475" s="6"/>
      <c r="H475" s="6"/>
      <c r="J475" s="6" t="s">
        <v>1157</v>
      </c>
      <c r="K475" s="6">
        <v>800581</v>
      </c>
      <c r="L475" s="6"/>
      <c r="M475" s="6"/>
      <c r="N475" s="46" t="s">
        <v>1247</v>
      </c>
      <c r="O475" s="6">
        <v>2508009985</v>
      </c>
      <c r="P475" s="48" t="s">
        <v>1246</v>
      </c>
      <c r="Q475" s="6">
        <v>99090</v>
      </c>
      <c r="R475" s="6">
        <v>27004</v>
      </c>
      <c r="S475" s="5" t="str">
        <f>VLOOKUP(T475,'[1]Kode Posisi'!$A$3:$B$45,2,)</f>
        <v>Outsourcing Penjualan</v>
      </c>
      <c r="T475" t="s">
        <v>21</v>
      </c>
      <c r="U475" s="6"/>
      <c r="V475" s="44" t="s">
        <v>1245</v>
      </c>
      <c r="W475" s="5" t="s">
        <v>1244</v>
      </c>
      <c r="X475" s="36" t="s">
        <v>23</v>
      </c>
      <c r="Y475" t="s">
        <v>52</v>
      </c>
      <c r="Z475" s="46">
        <v>5860297762</v>
      </c>
      <c r="AA475" t="s">
        <v>1243</v>
      </c>
      <c r="AB475" s="47">
        <v>5730000</v>
      </c>
      <c r="AC475" s="41">
        <v>5730000</v>
      </c>
      <c r="AD475" s="3">
        <v>5397000</v>
      </c>
      <c r="AE475" s="16">
        <f t="shared" si="228"/>
        <v>333000</v>
      </c>
      <c r="AF475" s="16">
        <v>0</v>
      </c>
      <c r="AG475" s="17">
        <v>0</v>
      </c>
      <c r="AI475" s="16">
        <v>0</v>
      </c>
      <c r="AK475" s="16">
        <v>0</v>
      </c>
      <c r="AL475" s="11">
        <f t="shared" si="210"/>
        <v>5730000</v>
      </c>
      <c r="AM475" s="16">
        <f t="shared" si="211"/>
        <v>586752</v>
      </c>
      <c r="AN475" s="16">
        <f t="shared" si="212"/>
        <v>229200</v>
      </c>
      <c r="AO475" s="16">
        <f t="shared" si="202"/>
        <v>357552</v>
      </c>
      <c r="AP475" s="16">
        <f t="shared" si="213"/>
        <v>212010</v>
      </c>
      <c r="AQ475" s="16">
        <f t="shared" si="214"/>
        <v>6316752</v>
      </c>
      <c r="AR475" s="16">
        <f t="shared" si="205"/>
        <v>379005.12</v>
      </c>
      <c r="AS475" s="16">
        <f t="shared" si="215"/>
        <v>41690.563199999997</v>
      </c>
      <c r="AT475" s="16">
        <f t="shared" si="216"/>
        <v>-7580.1023999999998</v>
      </c>
      <c r="AU475" s="16">
        <f t="shared" si="217"/>
        <v>6688177.0175999999</v>
      </c>
      <c r="AV475" s="16">
        <f t="shared" si="218"/>
        <v>6695757.1200000001</v>
      </c>
      <c r="AW475" s="16">
        <f t="shared" si="219"/>
        <v>229200</v>
      </c>
      <c r="AX475" s="16" t="s">
        <v>91</v>
      </c>
      <c r="AZ475" s="17">
        <f t="shared" si="227"/>
        <v>0</v>
      </c>
      <c r="BA475" s="16">
        <f t="shared" si="220"/>
        <v>5500800</v>
      </c>
      <c r="BB475" s="16">
        <f t="shared" si="221"/>
        <v>5500800</v>
      </c>
      <c r="BC475" s="15">
        <v>0.03</v>
      </c>
      <c r="BD475">
        <v>0.01</v>
      </c>
      <c r="BE475" s="37">
        <f t="shared" si="222"/>
        <v>529452</v>
      </c>
      <c r="BF475" s="38">
        <f t="shared" si="223"/>
        <v>326610</v>
      </c>
      <c r="BG475" s="37">
        <f t="shared" si="203"/>
        <v>269850</v>
      </c>
      <c r="BH475" s="37">
        <f t="shared" si="224"/>
        <v>286500</v>
      </c>
      <c r="BI475">
        <v>269850</v>
      </c>
      <c r="BL475" s="8">
        <f t="shared" si="225"/>
        <v>0</v>
      </c>
      <c r="BM475" s="7" t="str">
        <f t="shared" si="206"/>
        <v>Terdaftar BPJS Kes &amp; Naker</v>
      </c>
      <c r="BN475" s="11">
        <f t="shared" si="207"/>
        <v>326610</v>
      </c>
      <c r="BO475" s="11">
        <f t="shared" si="208"/>
        <v>260142.00000000003</v>
      </c>
      <c r="BP475" s="9">
        <f t="shared" si="226"/>
        <v>0</v>
      </c>
      <c r="BQ475" t="str">
        <f>_xlfn.XLOOKUP(X475,'[2]NON TETAP'!$H:$H,'[2]NON TETAP'!$I:$I)</f>
        <v>GLOBAL LINTAS KARYA UTAMA</v>
      </c>
    </row>
    <row r="476" spans="1:69" x14ac:dyDescent="0.3">
      <c r="A476" s="2">
        <v>475</v>
      </c>
      <c r="B476" s="4" t="s">
        <v>1238</v>
      </c>
      <c r="C476" s="6"/>
      <c r="D476" s="6"/>
      <c r="E476" s="6" t="s">
        <v>73</v>
      </c>
      <c r="F476" s="6" t="s">
        <v>73</v>
      </c>
      <c r="G476" s="6"/>
      <c r="H476" s="6"/>
      <c r="J476" s="6" t="s">
        <v>1157</v>
      </c>
      <c r="K476" s="6">
        <v>800583</v>
      </c>
      <c r="L476" s="6"/>
      <c r="M476" s="6"/>
      <c r="N476" s="46" t="s">
        <v>1242</v>
      </c>
      <c r="O476" s="6">
        <v>1124922857</v>
      </c>
      <c r="P476" s="48" t="s">
        <v>1241</v>
      </c>
      <c r="Q476" s="6">
        <v>99090</v>
      </c>
      <c r="R476" s="6">
        <v>27004</v>
      </c>
      <c r="S476" s="5" t="str">
        <f>VLOOKUP(T476,'[1]Kode Posisi'!$A$3:$B$45,2,)</f>
        <v>Outsourcing Penjualan</v>
      </c>
      <c r="T476" t="s">
        <v>21</v>
      </c>
      <c r="U476" s="6"/>
      <c r="V476" s="44" t="s">
        <v>1240</v>
      </c>
      <c r="W476" s="5" t="s">
        <v>440</v>
      </c>
      <c r="X476" s="36" t="s">
        <v>23</v>
      </c>
      <c r="Y476" t="s">
        <v>52</v>
      </c>
      <c r="Z476" s="57" t="s">
        <v>1239</v>
      </c>
      <c r="AA476" t="s">
        <v>1238</v>
      </c>
      <c r="AB476" s="47">
        <v>3702000</v>
      </c>
      <c r="AC476" s="41">
        <v>3702000</v>
      </c>
      <c r="AD476" s="3">
        <v>3535000</v>
      </c>
      <c r="AE476" s="16">
        <f t="shared" si="228"/>
        <v>167000</v>
      </c>
      <c r="AF476" s="16">
        <v>0</v>
      </c>
      <c r="AG476" s="17">
        <v>0</v>
      </c>
      <c r="AI476" s="16">
        <v>0</v>
      </c>
      <c r="AK476" s="16">
        <v>0</v>
      </c>
      <c r="AL476" s="11">
        <f t="shared" si="210"/>
        <v>3702000</v>
      </c>
      <c r="AM476" s="16">
        <f t="shared" si="211"/>
        <v>379084.79999999999</v>
      </c>
      <c r="AN476" s="16">
        <f t="shared" si="212"/>
        <v>148080</v>
      </c>
      <c r="AO476" s="16">
        <f t="shared" si="202"/>
        <v>231004.79999999999</v>
      </c>
      <c r="AP476" s="16">
        <f t="shared" si="213"/>
        <v>136974</v>
      </c>
      <c r="AQ476" s="16">
        <f t="shared" si="214"/>
        <v>4081084.8</v>
      </c>
      <c r="AR476" s="16">
        <f t="shared" si="205"/>
        <v>244865.08799999999</v>
      </c>
      <c r="AS476" s="16">
        <f t="shared" si="215"/>
        <v>26935.159680000001</v>
      </c>
      <c r="AT476" s="16">
        <f t="shared" si="216"/>
        <v>-4897.3017600000003</v>
      </c>
      <c r="AU476" s="16">
        <f t="shared" si="217"/>
        <v>4321052.5862400001</v>
      </c>
      <c r="AV476" s="16">
        <f t="shared" si="218"/>
        <v>4325949.8880000003</v>
      </c>
      <c r="AW476" s="16">
        <f t="shared" si="219"/>
        <v>148080</v>
      </c>
      <c r="AX476" s="16" t="s">
        <v>286</v>
      </c>
      <c r="AZ476" s="17">
        <f t="shared" si="227"/>
        <v>0</v>
      </c>
      <c r="BA476" s="16">
        <f t="shared" si="220"/>
        <v>3553920</v>
      </c>
      <c r="BB476" s="16">
        <f t="shared" si="221"/>
        <v>3553920</v>
      </c>
      <c r="BC476" s="15">
        <v>0.03</v>
      </c>
      <c r="BD476">
        <v>0.01</v>
      </c>
      <c r="BE476" s="37">
        <f t="shared" si="222"/>
        <v>342064.8</v>
      </c>
      <c r="BF476" s="38">
        <f t="shared" si="223"/>
        <v>211014</v>
      </c>
      <c r="BG476" s="37">
        <f t="shared" si="203"/>
        <v>176750</v>
      </c>
      <c r="BH476" s="37">
        <f t="shared" si="224"/>
        <v>185100</v>
      </c>
      <c r="BI476">
        <v>176750</v>
      </c>
      <c r="BL476" s="8">
        <f t="shared" si="225"/>
        <v>0</v>
      </c>
      <c r="BM476" s="7" t="str">
        <f t="shared" si="206"/>
        <v>Terdaftar BPJS Kes &amp; Naker</v>
      </c>
      <c r="BN476" s="11">
        <f t="shared" si="207"/>
        <v>211014</v>
      </c>
      <c r="BO476" s="11">
        <f t="shared" si="208"/>
        <v>168070.80000000002</v>
      </c>
      <c r="BP476" s="9">
        <f t="shared" si="226"/>
        <v>0</v>
      </c>
      <c r="BQ476" t="str">
        <f>_xlfn.XLOOKUP(X476,'[2]NON TETAP'!$H:$H,'[2]NON TETAP'!$I:$I)</f>
        <v>GLOBAL LINTAS KARYA UTAMA</v>
      </c>
    </row>
    <row r="477" spans="1:69" x14ac:dyDescent="0.3">
      <c r="A477" s="2">
        <v>476</v>
      </c>
      <c r="B477" s="5" t="s">
        <v>1237</v>
      </c>
      <c r="C477" s="6" t="s">
        <v>241</v>
      </c>
      <c r="D477" s="6"/>
      <c r="E477" s="6" t="s">
        <v>73</v>
      </c>
      <c r="F477" s="6" t="s">
        <v>73</v>
      </c>
      <c r="G477" s="6"/>
      <c r="H477" s="6"/>
      <c r="I477" s="6"/>
      <c r="J477" s="6"/>
      <c r="K477" s="6">
        <v>800584</v>
      </c>
      <c r="L477" s="6"/>
      <c r="M477" s="6" t="e">
        <v>#N/A</v>
      </c>
      <c r="N477" s="46" t="s">
        <v>1236</v>
      </c>
      <c r="O477" s="6">
        <v>1766252575</v>
      </c>
      <c r="P477" s="48" t="s">
        <v>1235</v>
      </c>
      <c r="Q477" s="6">
        <v>20385</v>
      </c>
      <c r="R477" s="6">
        <v>27065</v>
      </c>
      <c r="S477" s="5" t="s">
        <v>1234</v>
      </c>
      <c r="T477" t="s">
        <v>201</v>
      </c>
      <c r="U477" s="44" t="s">
        <v>1106</v>
      </c>
      <c r="V477" s="44" t="s">
        <v>1233</v>
      </c>
      <c r="W477" s="5" t="s">
        <v>1232</v>
      </c>
      <c r="X477" s="5" t="s">
        <v>1231</v>
      </c>
      <c r="Y477" t="str">
        <f>_xlfn.XLOOKUP($P477,'[5]Data Perbaikan'!$H$247:$H$281,'[5]Data Perbaikan'!$AJ$247:$AJ$281)</f>
        <v>BCA</v>
      </c>
      <c r="Z477" s="46">
        <v>7485045317</v>
      </c>
      <c r="AA477" t="str">
        <f>_xlfn.XLOOKUP($P477,'[5]Data Perbaikan'!$H$247:$H$281,'[5]Data Perbaikan'!$AI$247:$AI$281)</f>
        <v>Nur Rizqi Alwandy</v>
      </c>
      <c r="AB477" s="47">
        <v>5730000</v>
      </c>
      <c r="AC477" s="41">
        <v>5730000</v>
      </c>
      <c r="AD477" s="47">
        <v>5397000</v>
      </c>
      <c r="AE477" s="16">
        <f t="shared" si="228"/>
        <v>333000</v>
      </c>
      <c r="AF477" s="16">
        <v>0</v>
      </c>
      <c r="AG477" s="17">
        <v>0</v>
      </c>
      <c r="AI477" s="16">
        <v>0</v>
      </c>
      <c r="AK477" s="16">
        <v>0</v>
      </c>
      <c r="AL477" s="11">
        <f t="shared" si="210"/>
        <v>5730000</v>
      </c>
      <c r="AM477" s="16">
        <f t="shared" si="211"/>
        <v>586752</v>
      </c>
      <c r="AN477" s="16">
        <f t="shared" si="212"/>
        <v>229200</v>
      </c>
      <c r="AO477" s="16">
        <f t="shared" si="202"/>
        <v>357552</v>
      </c>
      <c r="AP477" s="16">
        <f t="shared" si="213"/>
        <v>212010</v>
      </c>
      <c r="AQ477" s="16">
        <f t="shared" si="214"/>
        <v>6316752</v>
      </c>
      <c r="AR477" s="16">
        <f t="shared" si="205"/>
        <v>379005.12</v>
      </c>
      <c r="AS477" s="16">
        <f t="shared" si="215"/>
        <v>41690.563199999997</v>
      </c>
      <c r="AT477" s="16">
        <f t="shared" si="216"/>
        <v>-7580.1023999999998</v>
      </c>
      <c r="AU477" s="16">
        <f t="shared" si="217"/>
        <v>6688177.0175999999</v>
      </c>
      <c r="AV477" s="16">
        <f t="shared" si="218"/>
        <v>6695757.1200000001</v>
      </c>
      <c r="AW477" s="16">
        <f t="shared" si="219"/>
        <v>229200</v>
      </c>
      <c r="AX477" s="16" t="s">
        <v>91</v>
      </c>
      <c r="AZ477" s="17">
        <f t="shared" si="227"/>
        <v>0</v>
      </c>
      <c r="BA477" s="16">
        <f t="shared" si="220"/>
        <v>5500800</v>
      </c>
      <c r="BB477" s="16">
        <f t="shared" si="221"/>
        <v>5500800</v>
      </c>
      <c r="BC477">
        <v>0.03</v>
      </c>
      <c r="BD477">
        <v>0.01</v>
      </c>
      <c r="BE477" s="37">
        <f t="shared" si="222"/>
        <v>529452</v>
      </c>
      <c r="BF477" s="38">
        <f t="shared" si="223"/>
        <v>326610</v>
      </c>
      <c r="BG477" s="37">
        <f t="shared" si="203"/>
        <v>269850</v>
      </c>
      <c r="BH477" s="37">
        <f t="shared" si="224"/>
        <v>286500</v>
      </c>
      <c r="BI477">
        <v>269850</v>
      </c>
      <c r="BL477" s="8">
        <f t="shared" si="225"/>
        <v>0</v>
      </c>
      <c r="BM477" s="7" t="str">
        <f t="shared" si="206"/>
        <v>Terdaftar BPJS Kes &amp; Naker</v>
      </c>
      <c r="BN477" s="11">
        <f t="shared" si="207"/>
        <v>326610</v>
      </c>
      <c r="BO477" s="11">
        <f t="shared" si="208"/>
        <v>260142.00000000003</v>
      </c>
      <c r="BP477" s="9">
        <f t="shared" si="226"/>
        <v>0</v>
      </c>
      <c r="BQ477" t="str">
        <f>_xlfn.XLOOKUP(X477,'[2]NON TETAP'!$H:$H,'[2]NON TETAP'!$I:$I)</f>
        <v>GRAMEDIA PUSTAKA UTAMA</v>
      </c>
    </row>
    <row r="478" spans="1:69" s="19" customFormat="1" x14ac:dyDescent="0.3">
      <c r="A478" s="28">
        <v>477</v>
      </c>
      <c r="B478" s="25" t="s">
        <v>1230</v>
      </c>
      <c r="C478" s="26" t="s">
        <v>241</v>
      </c>
      <c r="D478" s="26"/>
      <c r="E478" s="26" t="s">
        <v>73</v>
      </c>
      <c r="F478" s="26" t="s">
        <v>73</v>
      </c>
      <c r="G478" s="26" t="s">
        <v>73</v>
      </c>
      <c r="H478" s="26"/>
      <c r="I478" s="26"/>
      <c r="J478" s="26"/>
      <c r="K478" s="26">
        <v>800585</v>
      </c>
      <c r="L478" s="26"/>
      <c r="M478" s="26" t="e">
        <v>#N/A</v>
      </c>
      <c r="N478" s="67" t="s">
        <v>1229</v>
      </c>
      <c r="O478" s="26">
        <v>794385189</v>
      </c>
      <c r="P478" s="70" t="s">
        <v>1228</v>
      </c>
      <c r="Q478" s="26">
        <v>10161</v>
      </c>
      <c r="R478" s="26">
        <v>27161</v>
      </c>
      <c r="S478" s="25" t="str">
        <f>VLOOKUP(T478,'[1]Kode Posisi'!$A$3:$B$45,2,)</f>
        <v>Outsourcing Keamanan</v>
      </c>
      <c r="T478" s="68" t="s">
        <v>37</v>
      </c>
      <c r="U478" s="69" t="s">
        <v>1227</v>
      </c>
      <c r="V478" s="69" t="s">
        <v>1226</v>
      </c>
      <c r="W478" s="25" t="s">
        <v>1225</v>
      </c>
      <c r="X478" s="25" t="s">
        <v>427</v>
      </c>
      <c r="Y478" s="19" t="str">
        <f>_xlfn.XLOOKUP($P478,'[5]Data Perbaikan'!$H$247:$H$281,'[5]Data Perbaikan'!$AJ$247:$AJ$281)</f>
        <v>BCA</v>
      </c>
      <c r="Z478" s="67">
        <v>8700100597</v>
      </c>
      <c r="AA478" s="19" t="str">
        <f>_xlfn.XLOOKUP($P478,'[5]Data Perbaikan'!$H$247:$H$281,'[5]Data Perbaikan'!$AI$247:$AI$281)</f>
        <v>Hasan basri</v>
      </c>
      <c r="AB478" s="75">
        <v>5248000</v>
      </c>
      <c r="AC478" s="66">
        <v>5248000</v>
      </c>
      <c r="AD478" s="24">
        <v>4975000</v>
      </c>
      <c r="AE478" s="22">
        <f t="shared" si="228"/>
        <v>273000</v>
      </c>
      <c r="AF478" s="22">
        <v>0</v>
      </c>
      <c r="AG478" s="23">
        <v>0</v>
      </c>
      <c r="AI478" s="22">
        <v>0</v>
      </c>
      <c r="AK478" s="22">
        <v>0</v>
      </c>
      <c r="AL478" s="20">
        <f t="shared" si="210"/>
        <v>5248000</v>
      </c>
      <c r="AM478" s="22">
        <f t="shared" si="211"/>
        <v>537395.19999999995</v>
      </c>
      <c r="AN478" s="22">
        <f t="shared" si="212"/>
        <v>209920</v>
      </c>
      <c r="AO478" s="22">
        <f t="shared" si="202"/>
        <v>327475.20000000001</v>
      </c>
      <c r="AP478" s="22">
        <f t="shared" si="213"/>
        <v>194176</v>
      </c>
      <c r="AQ478" s="22">
        <f t="shared" si="214"/>
        <v>5785395.2000000002</v>
      </c>
      <c r="AR478" s="22">
        <f t="shared" si="205"/>
        <v>347123.712</v>
      </c>
      <c r="AS478" s="22">
        <f t="shared" si="215"/>
        <v>38183.608319999999</v>
      </c>
      <c r="AT478" s="22">
        <f t="shared" si="216"/>
        <v>-6942.4742400000005</v>
      </c>
      <c r="AU478" s="22">
        <f t="shared" si="217"/>
        <v>6125576.4377600001</v>
      </c>
      <c r="AV478" s="22">
        <f t="shared" si="218"/>
        <v>6132518.9120000005</v>
      </c>
      <c r="AW478" s="22">
        <f t="shared" si="219"/>
        <v>209920</v>
      </c>
      <c r="AX478" s="22" t="s">
        <v>91</v>
      </c>
      <c r="AZ478" s="23">
        <f t="shared" si="227"/>
        <v>0</v>
      </c>
      <c r="BA478" s="22">
        <f t="shared" si="220"/>
        <v>5038080</v>
      </c>
      <c r="BB478" s="22">
        <f t="shared" si="221"/>
        <v>5038080</v>
      </c>
      <c r="BC478" s="19">
        <v>0.03</v>
      </c>
      <c r="BD478" s="19">
        <v>0.01</v>
      </c>
      <c r="BE478" s="64">
        <f t="shared" si="222"/>
        <v>484915.19999999995</v>
      </c>
      <c r="BF478" s="64">
        <f t="shared" si="223"/>
        <v>299136</v>
      </c>
      <c r="BG478" s="64">
        <f t="shared" si="203"/>
        <v>248750</v>
      </c>
      <c r="BH478" s="64">
        <f t="shared" si="224"/>
        <v>262400</v>
      </c>
      <c r="BI478" s="19">
        <v>248750</v>
      </c>
      <c r="BL478" s="63">
        <f t="shared" si="225"/>
        <v>0</v>
      </c>
      <c r="BM478" s="62" t="str">
        <f t="shared" si="206"/>
        <v>Terdaftar BPJS Kes &amp; Naker</v>
      </c>
      <c r="BN478" s="20">
        <f t="shared" si="207"/>
        <v>299136</v>
      </c>
      <c r="BO478" s="20">
        <f t="shared" si="208"/>
        <v>238259.20000000001</v>
      </c>
      <c r="BP478" s="13">
        <f t="shared" si="226"/>
        <v>0</v>
      </c>
      <c r="BQ478" t="str">
        <f>_xlfn.XLOOKUP(X478,'[2]NON TETAP'!$H:$H,'[2]NON TETAP'!$I:$I)</f>
        <v>GRAMEDIA ASRI MEDIA</v>
      </c>
    </row>
    <row r="479" spans="1:69" x14ac:dyDescent="0.3">
      <c r="A479" s="2">
        <v>478</v>
      </c>
      <c r="B479" s="5" t="s">
        <v>1224</v>
      </c>
      <c r="C479" s="6" t="s">
        <v>241</v>
      </c>
      <c r="D479" s="6"/>
      <c r="E479" s="6" t="s">
        <v>73</v>
      </c>
      <c r="F479" s="6" t="s">
        <v>73</v>
      </c>
      <c r="G479" s="6"/>
      <c r="H479" s="6"/>
      <c r="I479" s="6"/>
      <c r="J479" s="6"/>
      <c r="K479" s="6">
        <v>800586</v>
      </c>
      <c r="L479" s="6"/>
      <c r="M479" s="6" t="e">
        <v>#N/A</v>
      </c>
      <c r="N479" s="46" t="s">
        <v>1223</v>
      </c>
      <c r="O479" s="6">
        <v>2886095744</v>
      </c>
      <c r="P479" s="48" t="s">
        <v>1222</v>
      </c>
      <c r="Q479" s="6">
        <v>10176</v>
      </c>
      <c r="R479" s="6">
        <v>27176</v>
      </c>
      <c r="S479" s="5" t="str">
        <f>VLOOKUP(T479,'[1]Kode Posisi'!$A$3:$B$45,2,)</f>
        <v>Outsourcing Keamanan</v>
      </c>
      <c r="T479" s="36" t="s">
        <v>37</v>
      </c>
      <c r="U479" s="44" t="s">
        <v>1221</v>
      </c>
      <c r="V479" s="44" t="s">
        <v>1220</v>
      </c>
      <c r="W479" s="5" t="s">
        <v>1219</v>
      </c>
      <c r="X479" s="5" t="s">
        <v>1218</v>
      </c>
      <c r="Y479" t="str">
        <f>_xlfn.XLOOKUP($P479,'[5]Data Perbaikan'!$H$247:$H$281,'[5]Data Perbaikan'!$AJ$247:$AJ$281)</f>
        <v>BCA</v>
      </c>
      <c r="Z479" s="46">
        <v>7805370041</v>
      </c>
      <c r="AA479" t="str">
        <f>_xlfn.XLOOKUP($P479,'[5]Data Perbaikan'!$H$247:$H$281,'[5]Data Perbaikan'!$AI$247:$AI$281)</f>
        <v>Dzawil Fahmi Maulana</v>
      </c>
      <c r="AB479" s="47">
        <v>4743000</v>
      </c>
      <c r="AC479" s="41">
        <v>4743000</v>
      </c>
      <c r="AD479" s="3">
        <v>4461000</v>
      </c>
      <c r="AE479" s="16">
        <f t="shared" si="228"/>
        <v>282000</v>
      </c>
      <c r="AF479" s="16">
        <v>0</v>
      </c>
      <c r="AG479" s="17">
        <v>0</v>
      </c>
      <c r="AI479" s="16">
        <v>0</v>
      </c>
      <c r="AK479" s="16">
        <v>0</v>
      </c>
      <c r="AL479" s="11">
        <f t="shared" si="210"/>
        <v>4743000</v>
      </c>
      <c r="AM479" s="16">
        <f t="shared" si="211"/>
        <v>485683.20000000001</v>
      </c>
      <c r="AN479" s="16">
        <f t="shared" si="212"/>
        <v>189720</v>
      </c>
      <c r="AO479" s="16">
        <f t="shared" si="202"/>
        <v>295963.2</v>
      </c>
      <c r="AP479" s="16">
        <f t="shared" si="213"/>
        <v>175491</v>
      </c>
      <c r="AQ479" s="16">
        <f t="shared" si="214"/>
        <v>5228683.2</v>
      </c>
      <c r="AR479" s="16">
        <f t="shared" si="205"/>
        <v>313720.99200000003</v>
      </c>
      <c r="AS479" s="16">
        <f t="shared" si="215"/>
        <v>34509.309120000005</v>
      </c>
      <c r="AT479" s="16">
        <f t="shared" si="216"/>
        <v>-6274.4198400000005</v>
      </c>
      <c r="AU479" s="16">
        <f t="shared" si="217"/>
        <v>5536129.7721600002</v>
      </c>
      <c r="AV479" s="16">
        <f t="shared" si="218"/>
        <v>5542404.1919999998</v>
      </c>
      <c r="AW479" s="16">
        <f t="shared" si="219"/>
        <v>189720</v>
      </c>
      <c r="AX479" s="16" t="s">
        <v>235</v>
      </c>
      <c r="AZ479" s="17">
        <f t="shared" si="227"/>
        <v>0</v>
      </c>
      <c r="BA479" s="16">
        <f t="shared" si="220"/>
        <v>4553280</v>
      </c>
      <c r="BB479" s="16">
        <f t="shared" si="221"/>
        <v>4553280</v>
      </c>
      <c r="BC479">
        <v>0.03</v>
      </c>
      <c r="BD479">
        <v>0.01</v>
      </c>
      <c r="BE479" s="37">
        <f t="shared" si="222"/>
        <v>438253.19999999995</v>
      </c>
      <c r="BF479" s="38">
        <f t="shared" si="223"/>
        <v>270351</v>
      </c>
      <c r="BG479" s="37">
        <f t="shared" si="203"/>
        <v>223050</v>
      </c>
      <c r="BH479" s="37">
        <f t="shared" si="224"/>
        <v>237150</v>
      </c>
      <c r="BI479">
        <v>223050</v>
      </c>
      <c r="BL479" s="8">
        <f t="shared" si="225"/>
        <v>0</v>
      </c>
      <c r="BM479" s="7" t="str">
        <f t="shared" si="206"/>
        <v>Terdaftar BPJS Kes &amp; Naker</v>
      </c>
      <c r="BN479" s="11">
        <f t="shared" si="207"/>
        <v>270351</v>
      </c>
      <c r="BO479" s="11">
        <f t="shared" si="208"/>
        <v>215332.2</v>
      </c>
      <c r="BP479" s="9">
        <f t="shared" si="226"/>
        <v>0</v>
      </c>
      <c r="BQ479" t="str">
        <f>_xlfn.XLOOKUP(X479,'[2]NON TETAP'!$H:$H,'[2]NON TETAP'!$I:$I)</f>
        <v>GRAMEDIA ASRI MEDIA</v>
      </c>
    </row>
    <row r="480" spans="1:69" x14ac:dyDescent="0.3">
      <c r="A480" s="2">
        <v>479</v>
      </c>
      <c r="B480" s="5" t="s">
        <v>1217</v>
      </c>
      <c r="C480" s="6" t="s">
        <v>241</v>
      </c>
      <c r="D480" s="6"/>
      <c r="E480" s="6" t="s">
        <v>73</v>
      </c>
      <c r="F480" s="6" t="s">
        <v>73</v>
      </c>
      <c r="G480" s="6"/>
      <c r="H480" s="6"/>
      <c r="I480" s="6"/>
      <c r="J480" s="6"/>
      <c r="K480" s="6">
        <v>800588</v>
      </c>
      <c r="L480" s="6"/>
      <c r="M480" s="6" t="e">
        <v>#N/A</v>
      </c>
      <c r="N480" s="46" t="s">
        <v>1216</v>
      </c>
      <c r="O480" s="6">
        <v>2519813711</v>
      </c>
      <c r="P480" s="48" t="s">
        <v>1215</v>
      </c>
      <c r="Q480" s="6">
        <v>22010</v>
      </c>
      <c r="R480" s="6">
        <v>27060</v>
      </c>
      <c r="S480" s="5" t="s">
        <v>120</v>
      </c>
      <c r="T480" t="s">
        <v>201</v>
      </c>
      <c r="U480" s="44" t="s">
        <v>1085</v>
      </c>
      <c r="V480" s="44" t="s">
        <v>1214</v>
      </c>
      <c r="W480" s="5" t="s">
        <v>1213</v>
      </c>
      <c r="X480" s="5" t="s">
        <v>166</v>
      </c>
      <c r="Y480" t="str">
        <f>_xlfn.XLOOKUP($P480,'[5]Data Perbaikan'!$H$247:$H$281,'[5]Data Perbaikan'!$AJ$247:$AJ$281)</f>
        <v>BCA</v>
      </c>
      <c r="Z480" s="46">
        <v>6801333866</v>
      </c>
      <c r="AA480" t="str">
        <f>_xlfn.XLOOKUP($P480,'[5]Data Perbaikan'!$H$247:$H$281,'[5]Data Perbaikan'!$AI$247:$AI$281)</f>
        <v>Usman firlana sujarwo</v>
      </c>
      <c r="AB480" s="47">
        <v>5248000</v>
      </c>
      <c r="AC480" s="41">
        <v>5248000</v>
      </c>
      <c r="AD480" s="3">
        <v>4975000</v>
      </c>
      <c r="AE480" s="16">
        <f t="shared" si="228"/>
        <v>273000</v>
      </c>
      <c r="AF480" s="16">
        <v>422000</v>
      </c>
      <c r="AG480" s="17">
        <v>0</v>
      </c>
      <c r="AI480" s="16">
        <v>0</v>
      </c>
      <c r="AK480" s="16">
        <v>0</v>
      </c>
      <c r="AL480" s="11">
        <f t="shared" si="210"/>
        <v>5670000</v>
      </c>
      <c r="AM480" s="16">
        <f t="shared" si="211"/>
        <v>537395.19999999995</v>
      </c>
      <c r="AN480" s="16">
        <f t="shared" si="212"/>
        <v>209920</v>
      </c>
      <c r="AO480" s="16">
        <f t="shared" si="202"/>
        <v>327475.20000000001</v>
      </c>
      <c r="AP480" s="16">
        <f t="shared" si="213"/>
        <v>209790</v>
      </c>
      <c r="AQ480" s="16">
        <f t="shared" si="214"/>
        <v>6207395.2000000002</v>
      </c>
      <c r="AR480" s="16">
        <f t="shared" si="205"/>
        <v>372443.712</v>
      </c>
      <c r="AS480" s="16">
        <f t="shared" si="215"/>
        <v>40968.808320000004</v>
      </c>
      <c r="AT480" s="16">
        <f t="shared" si="216"/>
        <v>-7448.8742400000001</v>
      </c>
      <c r="AU480" s="16">
        <f t="shared" si="217"/>
        <v>6572390.0377600007</v>
      </c>
      <c r="AV480" s="16">
        <f t="shared" si="218"/>
        <v>6579838.9120000005</v>
      </c>
      <c r="AW480" s="16">
        <f t="shared" si="219"/>
        <v>209920</v>
      </c>
      <c r="AX480" s="16" t="s">
        <v>235</v>
      </c>
      <c r="AZ480" s="17">
        <f t="shared" si="227"/>
        <v>0</v>
      </c>
      <c r="BA480" s="16">
        <f t="shared" si="220"/>
        <v>5460080</v>
      </c>
      <c r="BB480" s="16">
        <f t="shared" si="221"/>
        <v>5460080</v>
      </c>
      <c r="BC480">
        <v>0.03</v>
      </c>
      <c r="BD480">
        <v>0.01</v>
      </c>
      <c r="BE480" s="37">
        <f t="shared" si="222"/>
        <v>484915.19999999995</v>
      </c>
      <c r="BF480" s="38">
        <f t="shared" si="223"/>
        <v>299136</v>
      </c>
      <c r="BG480" s="37">
        <f t="shared" si="203"/>
        <v>248750</v>
      </c>
      <c r="BH480" s="37">
        <f t="shared" si="224"/>
        <v>262400</v>
      </c>
      <c r="BI480">
        <v>248750</v>
      </c>
      <c r="BL480" s="8">
        <f t="shared" si="225"/>
        <v>422000</v>
      </c>
      <c r="BM480" s="7" t="str">
        <f t="shared" si="206"/>
        <v>Terdaftar BPJS Kes &amp; Naker</v>
      </c>
      <c r="BN480" s="11">
        <f t="shared" si="207"/>
        <v>299136</v>
      </c>
      <c r="BO480" s="11">
        <f t="shared" si="208"/>
        <v>238259.20000000001</v>
      </c>
      <c r="BP480" s="9">
        <f t="shared" si="226"/>
        <v>0</v>
      </c>
      <c r="BQ480" t="str">
        <f>_xlfn.XLOOKUP(X480,'[2]NON TETAP'!$H:$H,'[2]NON TETAP'!$I:$I)</f>
        <v>Elex Media Komputindo</v>
      </c>
    </row>
    <row r="481" spans="1:69" x14ac:dyDescent="0.3">
      <c r="A481" s="2">
        <v>480</v>
      </c>
      <c r="B481" s="5" t="s">
        <v>1212</v>
      </c>
      <c r="C481" s="6" t="s">
        <v>241</v>
      </c>
      <c r="D481" s="6"/>
      <c r="E481" s="6" t="s">
        <v>73</v>
      </c>
      <c r="F481" s="6" t="s">
        <v>73</v>
      </c>
      <c r="G481" s="6"/>
      <c r="H481" s="6"/>
      <c r="I481" s="6"/>
      <c r="J481" s="6"/>
      <c r="K481" s="6">
        <v>800589</v>
      </c>
      <c r="L481" s="6"/>
      <c r="M481" s="6" t="e">
        <v>#N/A</v>
      </c>
      <c r="N481" s="46" t="s">
        <v>1211</v>
      </c>
      <c r="O481" s="6">
        <v>1386689703</v>
      </c>
      <c r="P481" s="48" t="s">
        <v>1210</v>
      </c>
      <c r="Q481" s="6">
        <v>18108</v>
      </c>
      <c r="R481" s="6">
        <v>27190</v>
      </c>
      <c r="S481" s="5" t="str">
        <f>VLOOKUP(T481,'[1]Kode Posisi'!$A$3:$B$45,2,)</f>
        <v>Outsourcing Petugas Pemeliharaan Gedung</v>
      </c>
      <c r="T481" t="s">
        <v>247</v>
      </c>
      <c r="U481" s="44" t="s">
        <v>1148</v>
      </c>
      <c r="V481" s="44" t="s">
        <v>1209</v>
      </c>
      <c r="W481" s="5" t="s">
        <v>54</v>
      </c>
      <c r="X481" s="36" t="s">
        <v>108</v>
      </c>
      <c r="Y481" t="str">
        <f>_xlfn.XLOOKUP($P481,'[5]Data Perbaikan'!$H$247:$H$281,'[5]Data Perbaikan'!$AJ$247:$AJ$281)</f>
        <v>MANDIRI</v>
      </c>
      <c r="Z481" s="57" t="s">
        <v>1208</v>
      </c>
      <c r="AA481" t="str">
        <f>_xlfn.XLOOKUP($P481,'[5]Data Perbaikan'!$H$247:$H$281,'[5]Data Perbaikan'!$AI$247:$AI$281)</f>
        <v>MARIO IMMANUEL P</v>
      </c>
      <c r="AB481" s="47">
        <v>3857000</v>
      </c>
      <c r="AC481" s="41">
        <v>3857000</v>
      </c>
      <c r="AD481" s="3">
        <v>3702000</v>
      </c>
      <c r="AE481" s="16">
        <f t="shared" si="228"/>
        <v>155000</v>
      </c>
      <c r="AF481" s="16">
        <v>0</v>
      </c>
      <c r="AG481" s="17">
        <v>0</v>
      </c>
      <c r="AI481" s="16">
        <v>0</v>
      </c>
      <c r="AK481" s="16">
        <v>0</v>
      </c>
      <c r="AL481" s="11">
        <f t="shared" si="210"/>
        <v>3857000</v>
      </c>
      <c r="AM481" s="16">
        <f t="shared" si="211"/>
        <v>394956.79999999999</v>
      </c>
      <c r="AN481" s="16">
        <f t="shared" si="212"/>
        <v>154280</v>
      </c>
      <c r="AO481" s="16">
        <f t="shared" si="202"/>
        <v>240676.8</v>
      </c>
      <c r="AP481" s="16">
        <f t="shared" si="213"/>
        <v>142709</v>
      </c>
      <c r="AQ481" s="16">
        <f t="shared" si="214"/>
        <v>4251956.8</v>
      </c>
      <c r="AR481" s="16">
        <f t="shared" si="205"/>
        <v>255117.40799999997</v>
      </c>
      <c r="AS481" s="16">
        <f t="shared" si="215"/>
        <v>28062.914879999997</v>
      </c>
      <c r="AT481" s="16">
        <f t="shared" si="216"/>
        <v>-5102.3481599999996</v>
      </c>
      <c r="AU481" s="16">
        <f t="shared" si="217"/>
        <v>4501971.85984</v>
      </c>
      <c r="AV481" s="16">
        <f t="shared" si="218"/>
        <v>4507074.2079999996</v>
      </c>
      <c r="AW481" s="16">
        <f t="shared" si="219"/>
        <v>154280</v>
      </c>
      <c r="AX481" s="16" t="s">
        <v>235</v>
      </c>
      <c r="AZ481" s="17">
        <f t="shared" si="227"/>
        <v>2900</v>
      </c>
      <c r="BA481" s="16">
        <f t="shared" si="220"/>
        <v>3702720</v>
      </c>
      <c r="BB481" s="16">
        <f t="shared" si="221"/>
        <v>3699820</v>
      </c>
      <c r="BC481">
        <v>0.03</v>
      </c>
      <c r="BD481">
        <v>0.01</v>
      </c>
      <c r="BE481" s="37">
        <f t="shared" si="222"/>
        <v>356386.8</v>
      </c>
      <c r="BF481" s="38">
        <f t="shared" si="223"/>
        <v>219849</v>
      </c>
      <c r="BG481" s="37">
        <f t="shared" si="203"/>
        <v>185100</v>
      </c>
      <c r="BH481" s="37">
        <f t="shared" si="224"/>
        <v>192850</v>
      </c>
      <c r="BI481">
        <v>185100</v>
      </c>
      <c r="BJ481" s="2">
        <v>185100</v>
      </c>
      <c r="BL481" s="8">
        <f t="shared" si="225"/>
        <v>0</v>
      </c>
      <c r="BM481" s="7" t="str">
        <f t="shared" si="206"/>
        <v>Terdaftar BPJS Kes &amp; Naker</v>
      </c>
      <c r="BN481" s="11">
        <f t="shared" si="207"/>
        <v>219849</v>
      </c>
      <c r="BO481" s="11">
        <f t="shared" si="208"/>
        <v>175107.80000000002</v>
      </c>
      <c r="BP481" s="9">
        <f t="shared" si="226"/>
        <v>0</v>
      </c>
      <c r="BQ481" t="s">
        <v>8</v>
      </c>
    </row>
    <row r="482" spans="1:69" x14ac:dyDescent="0.3">
      <c r="A482" s="2">
        <v>481</v>
      </c>
      <c r="B482" s="5" t="s">
        <v>1207</v>
      </c>
      <c r="C482" s="6" t="s">
        <v>241</v>
      </c>
      <c r="D482" s="6"/>
      <c r="E482" s="6" t="s">
        <v>73</v>
      </c>
      <c r="F482" s="6" t="s">
        <v>73</v>
      </c>
      <c r="G482" s="6" t="s">
        <v>73</v>
      </c>
      <c r="H482" s="6"/>
      <c r="I482" s="6"/>
      <c r="J482" s="6"/>
      <c r="K482" s="6">
        <v>800590</v>
      </c>
      <c r="L482" s="6"/>
      <c r="M482" s="6" t="e">
        <v>#N/A</v>
      </c>
      <c r="N482" s="46" t="s">
        <v>1206</v>
      </c>
      <c r="O482" s="6">
        <v>1897586829</v>
      </c>
      <c r="P482" s="48" t="s">
        <v>1205</v>
      </c>
      <c r="Q482" s="6">
        <v>10477</v>
      </c>
      <c r="R482" s="6">
        <v>27477</v>
      </c>
      <c r="S482" s="5" t="str">
        <f>VLOOKUP(T482,'[1]Kode Posisi'!$A$3:$B$45,2,)</f>
        <v>Outsourcing Keamanan</v>
      </c>
      <c r="T482" s="36" t="s">
        <v>37</v>
      </c>
      <c r="U482" s="44" t="s">
        <v>1195</v>
      </c>
      <c r="V482" s="44" t="s">
        <v>1204</v>
      </c>
      <c r="W482" s="5" t="s">
        <v>12</v>
      </c>
      <c r="X482" s="5" t="s">
        <v>11</v>
      </c>
      <c r="Y482" t="str">
        <f>_xlfn.XLOOKUP($P482,'[5]Data Perbaikan'!$H$247:$H$281,'[5]Data Perbaikan'!$AJ$247:$AJ$281)</f>
        <v>BCA</v>
      </c>
      <c r="Z482" s="46">
        <v>1092174641</v>
      </c>
      <c r="AA482" t="str">
        <f>_xlfn.XLOOKUP($P482,'[5]Data Perbaikan'!$H$247:$H$281,'[5]Data Perbaikan'!$AI$247:$AI$281)</f>
        <v>NINAWATI</v>
      </c>
      <c r="AB482" s="47">
        <v>5730000</v>
      </c>
      <c r="AC482" s="41">
        <v>5730000</v>
      </c>
      <c r="AD482" s="47">
        <v>5397000</v>
      </c>
      <c r="AE482" s="16">
        <f t="shared" si="228"/>
        <v>333000</v>
      </c>
      <c r="AF482" s="16">
        <v>0</v>
      </c>
      <c r="AG482" s="17">
        <v>0</v>
      </c>
      <c r="AI482" s="16">
        <v>0</v>
      </c>
      <c r="AK482" s="16">
        <v>0</v>
      </c>
      <c r="AL482" s="11">
        <f t="shared" si="210"/>
        <v>5730000</v>
      </c>
      <c r="AM482" s="16">
        <f t="shared" si="211"/>
        <v>586752</v>
      </c>
      <c r="AN482" s="16">
        <f t="shared" si="212"/>
        <v>229200</v>
      </c>
      <c r="AO482" s="16">
        <f t="shared" si="202"/>
        <v>357552</v>
      </c>
      <c r="AP482" s="16">
        <f t="shared" si="213"/>
        <v>212010</v>
      </c>
      <c r="AQ482" s="16">
        <f t="shared" si="214"/>
        <v>6316752</v>
      </c>
      <c r="AR482" s="16">
        <f t="shared" si="205"/>
        <v>379005.12</v>
      </c>
      <c r="AS482" s="16">
        <f t="shared" si="215"/>
        <v>41690.563199999997</v>
      </c>
      <c r="AT482" s="16">
        <f t="shared" si="216"/>
        <v>-7580.1023999999998</v>
      </c>
      <c r="AU482" s="16">
        <f t="shared" si="217"/>
        <v>6688177.0175999999</v>
      </c>
      <c r="AV482" s="16">
        <f t="shared" si="218"/>
        <v>6695757.1200000001</v>
      </c>
      <c r="AW482" s="16">
        <f t="shared" si="219"/>
        <v>229200</v>
      </c>
      <c r="AX482" s="16" t="s">
        <v>477</v>
      </c>
      <c r="AZ482" s="17">
        <f t="shared" si="227"/>
        <v>0</v>
      </c>
      <c r="BA482" s="16">
        <f t="shared" si="220"/>
        <v>5500800</v>
      </c>
      <c r="BB482" s="16">
        <f t="shared" si="221"/>
        <v>5500800</v>
      </c>
      <c r="BC482">
        <v>0.03</v>
      </c>
      <c r="BD482">
        <v>0.01</v>
      </c>
      <c r="BE482" s="37">
        <f t="shared" si="222"/>
        <v>529452</v>
      </c>
      <c r="BF482" s="38">
        <f t="shared" si="223"/>
        <v>326610</v>
      </c>
      <c r="BG482" s="37">
        <f t="shared" si="203"/>
        <v>269850</v>
      </c>
      <c r="BH482" s="37">
        <f t="shared" si="224"/>
        <v>286500</v>
      </c>
      <c r="BI482">
        <v>269850</v>
      </c>
      <c r="BJ482" s="2">
        <v>269850</v>
      </c>
      <c r="BL482" s="8">
        <f t="shared" si="225"/>
        <v>0</v>
      </c>
      <c r="BM482" s="7" t="str">
        <f t="shared" si="206"/>
        <v>Terdaftar BPJS Kes &amp; Naker</v>
      </c>
      <c r="BN482" s="11">
        <f t="shared" si="207"/>
        <v>326610</v>
      </c>
      <c r="BO482" s="11">
        <f t="shared" si="208"/>
        <v>260142.00000000003</v>
      </c>
      <c r="BP482" s="9">
        <f t="shared" si="226"/>
        <v>0</v>
      </c>
      <c r="BQ482" t="str">
        <f>_xlfn.XLOOKUP(X482,'[2]NON TETAP'!$H:$H,'[2]NON TETAP'!$I:$I)</f>
        <v>GRAMEDIA ASRI MEDIA</v>
      </c>
    </row>
    <row r="483" spans="1:69" x14ac:dyDescent="0.3">
      <c r="A483" s="2">
        <v>482</v>
      </c>
      <c r="B483" s="5" t="s">
        <v>1203</v>
      </c>
      <c r="C483" s="6" t="s">
        <v>241</v>
      </c>
      <c r="D483" s="6"/>
      <c r="E483" s="6" t="s">
        <v>73</v>
      </c>
      <c r="F483" s="6" t="s">
        <v>73</v>
      </c>
      <c r="G483" s="6" t="s">
        <v>73</v>
      </c>
      <c r="H483" s="6"/>
      <c r="I483" s="6"/>
      <c r="J483" s="6"/>
      <c r="K483" s="6">
        <v>800591</v>
      </c>
      <c r="L483" s="6"/>
      <c r="M483" s="6" t="e">
        <v>#N/A</v>
      </c>
      <c r="N483" s="46" t="s">
        <v>1202</v>
      </c>
      <c r="O483" s="6">
        <v>1238651932</v>
      </c>
      <c r="P483" s="48" t="s">
        <v>1201</v>
      </c>
      <c r="Q483" s="6">
        <v>10477</v>
      </c>
      <c r="R483" s="6">
        <v>27477</v>
      </c>
      <c r="S483" s="5" t="str">
        <f>VLOOKUP(T483,'[1]Kode Posisi'!$A$3:$B$45,2,)</f>
        <v>Outsourcing Cleaning Service</v>
      </c>
      <c r="T483" t="s">
        <v>47</v>
      </c>
      <c r="U483" s="44" t="s">
        <v>1195</v>
      </c>
      <c r="V483" s="44" t="s">
        <v>1200</v>
      </c>
      <c r="W483" s="5" t="s">
        <v>12</v>
      </c>
      <c r="X483" s="5" t="s">
        <v>11</v>
      </c>
      <c r="Y483" t="str">
        <f>_xlfn.XLOOKUP($P483,'[5]Data Perbaikan'!$H$247:$H$281,'[5]Data Perbaikan'!$AJ$247:$AJ$281)</f>
        <v>MANDIRI</v>
      </c>
      <c r="Z483" s="57" t="s">
        <v>1199</v>
      </c>
      <c r="AA483" t="str">
        <f>_xlfn.XLOOKUP($P483,'[5]Data Perbaikan'!$H$247:$H$281,'[5]Data Perbaikan'!$AI$247:$AI$281)</f>
        <v>Mardhika Tri Wibowo</v>
      </c>
      <c r="AB483" s="47">
        <v>5730000</v>
      </c>
      <c r="AC483" s="41">
        <v>5730000</v>
      </c>
      <c r="AD483" s="47">
        <v>5397000</v>
      </c>
      <c r="AE483" s="16">
        <f t="shared" si="228"/>
        <v>333000</v>
      </c>
      <c r="AF483" s="16">
        <v>0</v>
      </c>
      <c r="AG483" s="17">
        <v>0</v>
      </c>
      <c r="AI483" s="16">
        <v>0</v>
      </c>
      <c r="AK483" s="16">
        <v>0</v>
      </c>
      <c r="AL483" s="11">
        <f t="shared" si="210"/>
        <v>5730000</v>
      </c>
      <c r="AM483" s="16">
        <f t="shared" si="211"/>
        <v>586752</v>
      </c>
      <c r="AN483" s="16">
        <f t="shared" si="212"/>
        <v>229200</v>
      </c>
      <c r="AO483" s="16">
        <f t="shared" si="202"/>
        <v>357552</v>
      </c>
      <c r="AP483" s="16">
        <f t="shared" si="213"/>
        <v>212010</v>
      </c>
      <c r="AQ483" s="16">
        <f t="shared" si="214"/>
        <v>6316752</v>
      </c>
      <c r="AR483" s="16">
        <f t="shared" si="205"/>
        <v>379005.12</v>
      </c>
      <c r="AS483" s="16">
        <f t="shared" si="215"/>
        <v>41690.563199999997</v>
      </c>
      <c r="AT483" s="16">
        <f t="shared" si="216"/>
        <v>-7580.1023999999998</v>
      </c>
      <c r="AU483" s="16">
        <f t="shared" si="217"/>
        <v>6688177.0175999999</v>
      </c>
      <c r="AV483" s="16">
        <f t="shared" si="218"/>
        <v>6695757.1200000001</v>
      </c>
      <c r="AW483" s="16">
        <f t="shared" si="219"/>
        <v>229200</v>
      </c>
      <c r="AX483" s="16" t="s">
        <v>91</v>
      </c>
      <c r="AZ483" s="17">
        <f t="shared" si="227"/>
        <v>2900</v>
      </c>
      <c r="BA483" s="16">
        <f t="shared" si="220"/>
        <v>5500800</v>
      </c>
      <c r="BB483" s="16">
        <f t="shared" si="221"/>
        <v>5497900</v>
      </c>
      <c r="BC483">
        <v>0.03</v>
      </c>
      <c r="BD483">
        <v>0.01</v>
      </c>
      <c r="BE483" s="37">
        <f t="shared" si="222"/>
        <v>529452</v>
      </c>
      <c r="BF483" s="38">
        <f t="shared" si="223"/>
        <v>326610</v>
      </c>
      <c r="BG483" s="37">
        <f t="shared" si="203"/>
        <v>269850</v>
      </c>
      <c r="BH483" s="37">
        <f t="shared" si="224"/>
        <v>286500</v>
      </c>
      <c r="BI483">
        <v>269850</v>
      </c>
      <c r="BL483" s="8">
        <f t="shared" si="225"/>
        <v>0</v>
      </c>
      <c r="BM483" s="7" t="str">
        <f t="shared" si="206"/>
        <v>Terdaftar BPJS Kes &amp; Naker</v>
      </c>
      <c r="BN483" s="11">
        <f t="shared" si="207"/>
        <v>326610</v>
      </c>
      <c r="BO483" s="11">
        <f t="shared" si="208"/>
        <v>260142.00000000003</v>
      </c>
      <c r="BP483" s="9">
        <f t="shared" si="226"/>
        <v>0</v>
      </c>
      <c r="BQ483" t="str">
        <f>_xlfn.XLOOKUP(X483,'[2]NON TETAP'!$H:$H,'[2]NON TETAP'!$I:$I)</f>
        <v>GRAMEDIA ASRI MEDIA</v>
      </c>
    </row>
    <row r="484" spans="1:69" x14ac:dyDescent="0.3">
      <c r="A484" s="2">
        <v>483</v>
      </c>
      <c r="B484" s="5" t="s">
        <v>1198</v>
      </c>
      <c r="C484" s="6" t="s">
        <v>241</v>
      </c>
      <c r="D484" s="6"/>
      <c r="E484" s="6" t="s">
        <v>73</v>
      </c>
      <c r="F484" s="6" t="s">
        <v>73</v>
      </c>
      <c r="G484" s="6" t="s">
        <v>73</v>
      </c>
      <c r="H484" s="6"/>
      <c r="I484" s="6"/>
      <c r="J484" s="6"/>
      <c r="K484" s="6">
        <v>800592</v>
      </c>
      <c r="L484" s="6"/>
      <c r="M484" s="6" t="e">
        <v>#N/A</v>
      </c>
      <c r="N484" s="46" t="s">
        <v>1197</v>
      </c>
      <c r="O484" s="6">
        <v>1400852193</v>
      </c>
      <c r="P484" s="48" t="s">
        <v>1196</v>
      </c>
      <c r="Q484" s="6">
        <v>10477</v>
      </c>
      <c r="R484" s="6">
        <v>27477</v>
      </c>
      <c r="S484" s="5" t="str">
        <f>VLOOKUP(T484,'[1]Kode Posisi'!$A$3:$B$45,2,)</f>
        <v>Outsourcing Cleaning Service</v>
      </c>
      <c r="T484" t="s">
        <v>47</v>
      </c>
      <c r="U484" s="44" t="s">
        <v>1195</v>
      </c>
      <c r="V484" s="44" t="s">
        <v>1194</v>
      </c>
      <c r="W484" s="5" t="s">
        <v>12</v>
      </c>
      <c r="X484" s="5" t="s">
        <v>11</v>
      </c>
      <c r="Y484" t="str">
        <f>_xlfn.XLOOKUP($P484,'[5]Data Perbaikan'!$H$247:$H$281,'[5]Data Perbaikan'!$AJ$247:$AJ$281)</f>
        <v>BRI</v>
      </c>
      <c r="Z484" s="57" t="s">
        <v>1193</v>
      </c>
      <c r="AA484" t="str">
        <f>_xlfn.XLOOKUP($P484,'[5]Data Perbaikan'!$H$247:$H$281,'[5]Data Perbaikan'!$AI$247:$AI$281)</f>
        <v>Hafilah Pebri Yanti</v>
      </c>
      <c r="AB484" s="47">
        <v>5730000</v>
      </c>
      <c r="AC484" s="41">
        <v>5730000</v>
      </c>
      <c r="AD484" s="47">
        <v>5397000</v>
      </c>
      <c r="AE484" s="16">
        <f t="shared" si="228"/>
        <v>333000</v>
      </c>
      <c r="AF484" s="16">
        <v>0</v>
      </c>
      <c r="AG484" s="17">
        <v>0</v>
      </c>
      <c r="AI484" s="16">
        <v>0</v>
      </c>
      <c r="AK484" s="16">
        <v>0</v>
      </c>
      <c r="AL484" s="11">
        <f t="shared" si="210"/>
        <v>5730000</v>
      </c>
      <c r="AM484" s="16">
        <f t="shared" si="211"/>
        <v>586752</v>
      </c>
      <c r="AN484" s="16">
        <f t="shared" si="212"/>
        <v>229200</v>
      </c>
      <c r="AO484" s="16">
        <f t="shared" si="202"/>
        <v>357552</v>
      </c>
      <c r="AP484" s="16">
        <f t="shared" si="213"/>
        <v>212010</v>
      </c>
      <c r="AQ484" s="16">
        <f t="shared" si="214"/>
        <v>6316752</v>
      </c>
      <c r="AR484" s="16">
        <f t="shared" si="205"/>
        <v>379005.12</v>
      </c>
      <c r="AS484" s="16">
        <f t="shared" si="215"/>
        <v>41690.563199999997</v>
      </c>
      <c r="AT484" s="16">
        <f t="shared" si="216"/>
        <v>-7580.1023999999998</v>
      </c>
      <c r="AU484" s="16">
        <f t="shared" si="217"/>
        <v>6688177.0175999999</v>
      </c>
      <c r="AV484" s="16">
        <f t="shared" si="218"/>
        <v>6695757.1200000001</v>
      </c>
      <c r="AW484" s="16">
        <f t="shared" si="219"/>
        <v>229200</v>
      </c>
      <c r="AX484" s="16" t="s">
        <v>235</v>
      </c>
      <c r="AZ484" s="17">
        <f t="shared" si="227"/>
        <v>2900</v>
      </c>
      <c r="BA484" s="16">
        <f t="shared" si="220"/>
        <v>5500800</v>
      </c>
      <c r="BB484" s="16">
        <f t="shared" si="221"/>
        <v>5497900</v>
      </c>
      <c r="BC484">
        <v>0.03</v>
      </c>
      <c r="BD484">
        <v>0.01</v>
      </c>
      <c r="BE484" s="37">
        <f t="shared" si="222"/>
        <v>529452</v>
      </c>
      <c r="BF484" s="38">
        <f t="shared" si="223"/>
        <v>326610</v>
      </c>
      <c r="BG484" s="37">
        <f t="shared" si="203"/>
        <v>269850</v>
      </c>
      <c r="BH484" s="37">
        <f t="shared" si="224"/>
        <v>286500</v>
      </c>
      <c r="BI484">
        <v>269850</v>
      </c>
      <c r="BL484" s="8">
        <f t="shared" si="225"/>
        <v>0</v>
      </c>
      <c r="BM484" s="7" t="str">
        <f t="shared" si="206"/>
        <v>Terdaftar BPJS Kes &amp; Naker</v>
      </c>
      <c r="BN484" s="11">
        <f t="shared" si="207"/>
        <v>326610</v>
      </c>
      <c r="BO484" s="11">
        <f t="shared" si="208"/>
        <v>260142.00000000003</v>
      </c>
      <c r="BP484" s="9">
        <f t="shared" si="226"/>
        <v>0</v>
      </c>
      <c r="BQ484" t="str">
        <f>_xlfn.XLOOKUP(X484,'[2]NON TETAP'!$H:$H,'[2]NON TETAP'!$I:$I)</f>
        <v>GRAMEDIA ASRI MEDIA</v>
      </c>
    </row>
    <row r="485" spans="1:69" x14ac:dyDescent="0.3">
      <c r="A485" s="2">
        <v>484</v>
      </c>
      <c r="B485" s="5" t="s">
        <v>1185</v>
      </c>
      <c r="C485" s="6" t="s">
        <v>241</v>
      </c>
      <c r="D485" s="6"/>
      <c r="E485" s="6" t="s">
        <v>73</v>
      </c>
      <c r="F485" s="6" t="s">
        <v>73</v>
      </c>
      <c r="G485" s="6"/>
      <c r="H485" s="6"/>
      <c r="I485" s="6"/>
      <c r="J485" s="6"/>
      <c r="K485" s="6">
        <v>800594</v>
      </c>
      <c r="L485" s="72"/>
      <c r="M485" s="6" t="e">
        <v>#N/A</v>
      </c>
      <c r="N485" s="46" t="s">
        <v>1192</v>
      </c>
      <c r="O485" s="6">
        <v>318833932</v>
      </c>
      <c r="P485" s="45" t="s">
        <v>1191</v>
      </c>
      <c r="Q485" s="6">
        <v>10150</v>
      </c>
      <c r="R485" s="6">
        <v>27150</v>
      </c>
      <c r="S485" s="5" t="str">
        <f>VLOOKUP(T485,'[1]Kode Posisi'!$A$3:$B$45,2,)</f>
        <v>Outsourcing Keamanan</v>
      </c>
      <c r="T485" s="36" t="s">
        <v>37</v>
      </c>
      <c r="U485" s="44" t="s">
        <v>1190</v>
      </c>
      <c r="V485" s="44" t="s">
        <v>1189</v>
      </c>
      <c r="W485" s="36" t="s">
        <v>1188</v>
      </c>
      <c r="X485" s="36" t="s">
        <v>1187</v>
      </c>
      <c r="Y485" t="s">
        <v>63</v>
      </c>
      <c r="Z485" s="57" t="s">
        <v>1186</v>
      </c>
      <c r="AA485" t="s">
        <v>1185</v>
      </c>
      <c r="AB485" s="47">
        <v>5523000</v>
      </c>
      <c r="AC485" s="41">
        <v>5523000</v>
      </c>
      <c r="AD485" s="3">
        <v>5196000</v>
      </c>
      <c r="AE485" s="16">
        <f t="shared" si="228"/>
        <v>327000</v>
      </c>
      <c r="AF485" s="16">
        <v>0</v>
      </c>
      <c r="AG485" s="17">
        <v>0</v>
      </c>
      <c r="AI485" s="16">
        <v>0</v>
      </c>
      <c r="AK485" s="16">
        <v>0</v>
      </c>
      <c r="AL485" s="11">
        <f t="shared" si="210"/>
        <v>5523000</v>
      </c>
      <c r="AM485" s="16">
        <f t="shared" si="211"/>
        <v>565555.19999999995</v>
      </c>
      <c r="AN485" s="16">
        <f t="shared" si="212"/>
        <v>220920</v>
      </c>
      <c r="AO485" s="16">
        <f t="shared" si="202"/>
        <v>344635.2</v>
      </c>
      <c r="AP485" s="16">
        <f t="shared" si="213"/>
        <v>204351</v>
      </c>
      <c r="AQ485" s="16">
        <f t="shared" si="214"/>
        <v>6088555.2000000002</v>
      </c>
      <c r="AR485" s="16">
        <f t="shared" si="205"/>
        <v>365313.31199999998</v>
      </c>
      <c r="AS485" s="16">
        <f t="shared" si="215"/>
        <v>40184.464319999999</v>
      </c>
      <c r="AT485" s="16">
        <f t="shared" si="216"/>
        <v>-7306.2662399999999</v>
      </c>
      <c r="AU485" s="16">
        <f t="shared" si="217"/>
        <v>6446562.2457600003</v>
      </c>
      <c r="AV485" s="16">
        <f t="shared" si="218"/>
        <v>6453868.5120000001</v>
      </c>
      <c r="AW485" s="16">
        <f t="shared" si="219"/>
        <v>220920</v>
      </c>
      <c r="AX485" s="16" t="s">
        <v>235</v>
      </c>
      <c r="AZ485" s="17">
        <f t="shared" si="227"/>
        <v>2900</v>
      </c>
      <c r="BA485" s="16">
        <f t="shared" si="220"/>
        <v>5302080</v>
      </c>
      <c r="BB485" s="16">
        <f t="shared" si="221"/>
        <v>5299180</v>
      </c>
      <c r="BC485">
        <v>0.03</v>
      </c>
      <c r="BD485">
        <v>0.01</v>
      </c>
      <c r="BE485" s="37">
        <f t="shared" si="222"/>
        <v>510325.19999999995</v>
      </c>
      <c r="BF485" s="38">
        <f t="shared" si="223"/>
        <v>314811</v>
      </c>
      <c r="BG485" s="37">
        <f t="shared" si="203"/>
        <v>259800</v>
      </c>
      <c r="BH485" s="37">
        <f t="shared" si="224"/>
        <v>276150</v>
      </c>
      <c r="BI485">
        <v>259800</v>
      </c>
      <c r="BL485" s="8">
        <f t="shared" si="225"/>
        <v>0</v>
      </c>
      <c r="BM485" s="7" t="str">
        <f t="shared" si="206"/>
        <v>Terdaftar BPJS Kes &amp; Naker</v>
      </c>
      <c r="BN485" s="11">
        <f t="shared" si="207"/>
        <v>314811</v>
      </c>
      <c r="BO485" s="11">
        <f t="shared" si="208"/>
        <v>250744.2</v>
      </c>
      <c r="BP485" s="9">
        <f t="shared" si="226"/>
        <v>0</v>
      </c>
      <c r="BQ485" t="str">
        <f>_xlfn.XLOOKUP(X485,'[2]NON TETAP'!$H:$H,'[2]NON TETAP'!$I:$I)</f>
        <v>GRAMEDIA ASRI MEDIA</v>
      </c>
    </row>
    <row r="486" spans="1:69" x14ac:dyDescent="0.3">
      <c r="A486" s="2">
        <v>485</v>
      </c>
      <c r="B486" s="5" t="s">
        <v>1184</v>
      </c>
      <c r="C486" s="6" t="s">
        <v>241</v>
      </c>
      <c r="D486" s="6"/>
      <c r="E486" s="6" t="s">
        <v>73</v>
      </c>
      <c r="F486" s="6" t="s">
        <v>73</v>
      </c>
      <c r="G486" s="6" t="s">
        <v>73</v>
      </c>
      <c r="H486" s="6"/>
      <c r="I486" s="6"/>
      <c r="J486" s="6"/>
      <c r="K486" s="6">
        <v>800596</v>
      </c>
      <c r="L486" s="72"/>
      <c r="M486" s="6"/>
      <c r="N486" s="46" t="s">
        <v>1183</v>
      </c>
      <c r="O486" s="6">
        <v>866117722</v>
      </c>
      <c r="P486" s="18" t="s">
        <v>1182</v>
      </c>
      <c r="Q486" s="6">
        <v>10184</v>
      </c>
      <c r="R486" s="6">
        <v>27184</v>
      </c>
      <c r="S486" s="5" t="str">
        <f>VLOOKUP(T486,'[1]Kode Posisi'!$A$3:$B$45,2,)</f>
        <v>Outsourcing Keamanan</v>
      </c>
      <c r="T486" s="36" t="s">
        <v>37</v>
      </c>
      <c r="U486" s="44" t="s">
        <v>1181</v>
      </c>
      <c r="V486" s="44" t="s">
        <v>1180</v>
      </c>
      <c r="W486" s="36" t="s">
        <v>1179</v>
      </c>
      <c r="X486" s="36" t="s">
        <v>1178</v>
      </c>
      <c r="Y486" t="s">
        <v>473</v>
      </c>
      <c r="Z486" s="74" t="s">
        <v>1177</v>
      </c>
      <c r="AA486" t="s">
        <v>1176</v>
      </c>
      <c r="AB486" s="47">
        <v>3792000</v>
      </c>
      <c r="AC486" s="41">
        <v>3792000</v>
      </c>
      <c r="AD486" s="3">
        <v>3535000</v>
      </c>
      <c r="AE486" s="16">
        <f t="shared" si="228"/>
        <v>257000</v>
      </c>
      <c r="AF486" s="16">
        <v>0</v>
      </c>
      <c r="AG486" s="17">
        <v>0</v>
      </c>
      <c r="AI486" s="16">
        <v>0</v>
      </c>
      <c r="AK486" s="16">
        <v>0</v>
      </c>
      <c r="AL486" s="11">
        <f t="shared" si="210"/>
        <v>3792000</v>
      </c>
      <c r="AM486" s="16">
        <f t="shared" si="211"/>
        <v>388300.79999999999</v>
      </c>
      <c r="AN486" s="16">
        <f t="shared" si="212"/>
        <v>151680</v>
      </c>
      <c r="AO486" s="16">
        <f t="shared" si="202"/>
        <v>236620.79999999999</v>
      </c>
      <c r="AP486" s="16">
        <f t="shared" si="213"/>
        <v>140304</v>
      </c>
      <c r="AQ486" s="16">
        <f t="shared" si="214"/>
        <v>4180300.8</v>
      </c>
      <c r="AR486" s="16">
        <f t="shared" si="205"/>
        <v>250818.04799999998</v>
      </c>
      <c r="AS486" s="16">
        <f t="shared" si="215"/>
        <v>27589.985279999997</v>
      </c>
      <c r="AT486" s="16">
        <f t="shared" si="216"/>
        <v>-5016.36096</v>
      </c>
      <c r="AU486" s="16">
        <f t="shared" si="217"/>
        <v>4426102.48704</v>
      </c>
      <c r="AV486" s="16">
        <f t="shared" si="218"/>
        <v>4431118.8480000002</v>
      </c>
      <c r="AW486" s="16">
        <f t="shared" si="219"/>
        <v>151680</v>
      </c>
      <c r="AX486" s="16" t="s">
        <v>235</v>
      </c>
      <c r="AZ486" s="17">
        <f t="shared" si="227"/>
        <v>2900</v>
      </c>
      <c r="BA486" s="16">
        <f t="shared" si="220"/>
        <v>3640320</v>
      </c>
      <c r="BB486" s="16">
        <f t="shared" si="221"/>
        <v>3637420</v>
      </c>
      <c r="BC486">
        <v>0.03</v>
      </c>
      <c r="BD486">
        <v>0.01</v>
      </c>
      <c r="BE486" s="37">
        <f t="shared" si="222"/>
        <v>350380.79999999999</v>
      </c>
      <c r="BF486" s="38">
        <f t="shared" si="223"/>
        <v>216144</v>
      </c>
      <c r="BG486" s="37">
        <f t="shared" si="203"/>
        <v>176750</v>
      </c>
      <c r="BH486" s="37">
        <f t="shared" si="224"/>
        <v>189600</v>
      </c>
      <c r="BI486">
        <v>176750</v>
      </c>
      <c r="BL486" s="8">
        <f t="shared" si="225"/>
        <v>0</v>
      </c>
      <c r="BM486" s="7" t="str">
        <f t="shared" si="206"/>
        <v>Terdaftar BPJS Kes &amp; Naker</v>
      </c>
      <c r="BN486" s="11">
        <f t="shared" si="207"/>
        <v>216144</v>
      </c>
      <c r="BO486" s="11">
        <f t="shared" si="208"/>
        <v>172156.80000000002</v>
      </c>
      <c r="BP486" s="9">
        <f t="shared" si="226"/>
        <v>0</v>
      </c>
      <c r="BQ486" t="str">
        <f>_xlfn.XLOOKUP(X486,'[2]NON TETAP'!$H:$H,'[2]NON TETAP'!$I:$I)</f>
        <v>GRAMEDIA ASRI MEDIA</v>
      </c>
    </row>
    <row r="487" spans="1:69" x14ac:dyDescent="0.3">
      <c r="A487" s="2">
        <v>486</v>
      </c>
      <c r="B487" s="4" t="s">
        <v>1175</v>
      </c>
      <c r="C487" s="6" t="s">
        <v>241</v>
      </c>
      <c r="D487" s="6"/>
      <c r="E487" s="6" t="s">
        <v>73</v>
      </c>
      <c r="F487" s="6" t="s">
        <v>73</v>
      </c>
      <c r="G487" s="6" t="s">
        <v>73</v>
      </c>
      <c r="H487" s="6"/>
      <c r="I487" s="6"/>
      <c r="J487" s="6"/>
      <c r="K487" s="6">
        <v>800598</v>
      </c>
      <c r="L487" s="6"/>
      <c r="M487" s="6"/>
      <c r="N487" s="46" t="s">
        <v>1174</v>
      </c>
      <c r="O487" s="6">
        <v>1615701723</v>
      </c>
      <c r="P487" s="48" t="s">
        <v>1173</v>
      </c>
      <c r="Q487" s="6">
        <v>10108</v>
      </c>
      <c r="R487" s="6">
        <v>27108</v>
      </c>
      <c r="S487" s="5" t="str">
        <f>VLOOKUP(T487,'[1]Kode Posisi'!$A$3:$B$45,2,)</f>
        <v>Outsourcing Keamanan</v>
      </c>
      <c r="T487" s="36" t="s">
        <v>37</v>
      </c>
      <c r="U487" s="6" t="s">
        <v>46</v>
      </c>
      <c r="V487" s="44" t="s">
        <v>1172</v>
      </c>
      <c r="W487" s="5" t="s">
        <v>45</v>
      </c>
      <c r="X487" s="5" t="s">
        <v>44</v>
      </c>
      <c r="Y487" t="s">
        <v>52</v>
      </c>
      <c r="Z487" s="46">
        <v>8705560524</v>
      </c>
      <c r="AA487" t="s">
        <v>1171</v>
      </c>
      <c r="AB487" s="47">
        <v>5730000</v>
      </c>
      <c r="AC487" s="41">
        <v>5730000</v>
      </c>
      <c r="AD487" s="3">
        <v>5397000</v>
      </c>
      <c r="AE487" s="16">
        <f t="shared" si="228"/>
        <v>333000</v>
      </c>
      <c r="AF487" s="16">
        <v>0</v>
      </c>
      <c r="AG487" s="17">
        <v>0</v>
      </c>
      <c r="AI487" s="16">
        <v>0</v>
      </c>
      <c r="AK487" s="16">
        <v>0</v>
      </c>
      <c r="AL487" s="11">
        <f t="shared" si="210"/>
        <v>5730000</v>
      </c>
      <c r="AM487" s="16">
        <f t="shared" si="211"/>
        <v>586752</v>
      </c>
      <c r="AN487" s="16">
        <f t="shared" si="212"/>
        <v>229200</v>
      </c>
      <c r="AO487" s="16">
        <f t="shared" si="202"/>
        <v>357552</v>
      </c>
      <c r="AP487" s="16">
        <f t="shared" si="213"/>
        <v>212010</v>
      </c>
      <c r="AQ487" s="16">
        <f t="shared" si="214"/>
        <v>6316752</v>
      </c>
      <c r="AR487" s="16">
        <f t="shared" si="205"/>
        <v>379005.12</v>
      </c>
      <c r="AS487" s="16">
        <f t="shared" si="215"/>
        <v>41690.563199999997</v>
      </c>
      <c r="AT487" s="16">
        <f t="shared" si="216"/>
        <v>-7580.1023999999998</v>
      </c>
      <c r="AU487" s="16">
        <f t="shared" si="217"/>
        <v>6688177.0175999999</v>
      </c>
      <c r="AV487" s="16">
        <f t="shared" si="218"/>
        <v>6695757.1200000001</v>
      </c>
      <c r="AW487" s="16">
        <f t="shared" si="219"/>
        <v>229200</v>
      </c>
      <c r="AX487" s="16" t="s">
        <v>235</v>
      </c>
      <c r="AZ487" s="17">
        <f t="shared" si="227"/>
        <v>0</v>
      </c>
      <c r="BA487" s="16">
        <f t="shared" si="220"/>
        <v>5500800</v>
      </c>
      <c r="BB487" s="16">
        <f t="shared" si="221"/>
        <v>5500800</v>
      </c>
      <c r="BC487" s="15">
        <v>0.03</v>
      </c>
      <c r="BD487">
        <v>0.01</v>
      </c>
      <c r="BE487" s="37">
        <f t="shared" si="222"/>
        <v>529452</v>
      </c>
      <c r="BF487" s="38">
        <f t="shared" si="223"/>
        <v>326610</v>
      </c>
      <c r="BG487" s="37">
        <f t="shared" si="203"/>
        <v>269850</v>
      </c>
      <c r="BH487" s="37">
        <f t="shared" si="224"/>
        <v>286500</v>
      </c>
      <c r="BI487">
        <v>269850</v>
      </c>
      <c r="BL487" s="8">
        <f t="shared" si="225"/>
        <v>0</v>
      </c>
      <c r="BM487" s="7" t="str">
        <f t="shared" si="206"/>
        <v>Terdaftar BPJS Kes &amp; Naker</v>
      </c>
      <c r="BN487" s="11">
        <f t="shared" si="207"/>
        <v>326610</v>
      </c>
      <c r="BO487" s="11">
        <f t="shared" si="208"/>
        <v>260142.00000000003</v>
      </c>
      <c r="BP487" s="9">
        <f t="shared" si="226"/>
        <v>0</v>
      </c>
      <c r="BQ487" t="str">
        <f>_xlfn.XLOOKUP(X487,'[2]NON TETAP'!$H:$H,'[2]NON TETAP'!$I:$I)</f>
        <v>GRAMEDIA ASRI MEDIA</v>
      </c>
    </row>
    <row r="488" spans="1:69" x14ac:dyDescent="0.3">
      <c r="A488" s="2">
        <v>487</v>
      </c>
      <c r="B488" s="4" t="s">
        <v>1170</v>
      </c>
      <c r="C488" s="6" t="s">
        <v>241</v>
      </c>
      <c r="D488" s="6"/>
      <c r="E488" s="6" t="s">
        <v>73</v>
      </c>
      <c r="F488" s="6" t="s">
        <v>73</v>
      </c>
      <c r="G488" s="6"/>
      <c r="H488" s="6"/>
      <c r="I488" s="6"/>
      <c r="J488" s="6"/>
      <c r="K488" s="6">
        <v>800599</v>
      </c>
      <c r="L488" s="72"/>
      <c r="M488" s="6"/>
      <c r="N488" s="46" t="s">
        <v>1169</v>
      </c>
      <c r="O488" s="6">
        <v>1311590068</v>
      </c>
      <c r="P488" s="48" t="s">
        <v>1168</v>
      </c>
      <c r="Q488" s="6">
        <v>18104</v>
      </c>
      <c r="R488" s="6">
        <v>27190</v>
      </c>
      <c r="S488" s="5" t="str">
        <f>VLOOKUP(T488,'[1]Kode Posisi'!$A$3:$B$45,2,)</f>
        <v>Outsourcing Petugas Pemeliharaan Gedung</v>
      </c>
      <c r="T488" t="s">
        <v>247</v>
      </c>
      <c r="U488" s="6" t="s">
        <v>1167</v>
      </c>
      <c r="V488" s="44" t="s">
        <v>1166</v>
      </c>
      <c r="W488" s="5" t="s">
        <v>1045</v>
      </c>
      <c r="X488" s="36" t="s">
        <v>1165</v>
      </c>
      <c r="Y488" t="s">
        <v>52</v>
      </c>
      <c r="Z488" s="46">
        <v>8360486452</v>
      </c>
      <c r="AA488" t="s">
        <v>1164</v>
      </c>
      <c r="AB488" s="47">
        <v>3702000</v>
      </c>
      <c r="AC488" s="41">
        <v>3702000</v>
      </c>
      <c r="AD488" s="3">
        <v>3455000</v>
      </c>
      <c r="AE488" s="16">
        <f t="shared" si="228"/>
        <v>247000</v>
      </c>
      <c r="AF488" s="16">
        <v>0</v>
      </c>
      <c r="AG488" s="17">
        <v>0</v>
      </c>
      <c r="AI488" s="16">
        <v>708973.98843930638</v>
      </c>
      <c r="AK488" s="16">
        <v>0</v>
      </c>
      <c r="AL488" s="11">
        <f t="shared" si="210"/>
        <v>4410973.9884393066</v>
      </c>
      <c r="AM488" s="16">
        <f t="shared" si="211"/>
        <v>379084.79999999999</v>
      </c>
      <c r="AN488" s="16">
        <f t="shared" si="212"/>
        <v>148080</v>
      </c>
      <c r="AO488" s="16">
        <f t="shared" si="202"/>
        <v>231004.79999999999</v>
      </c>
      <c r="AP488" s="16">
        <f t="shared" si="213"/>
        <v>136974</v>
      </c>
      <c r="AQ488" s="16">
        <f t="shared" si="214"/>
        <v>4790058.7884393064</v>
      </c>
      <c r="AR488" s="16">
        <f t="shared" si="205"/>
        <v>287403.52730635839</v>
      </c>
      <c r="AS488" s="16">
        <f t="shared" si="215"/>
        <v>31614.388003699423</v>
      </c>
      <c r="AT488" s="16">
        <f t="shared" si="216"/>
        <v>-5748.0705461271682</v>
      </c>
      <c r="AU488" s="16">
        <f t="shared" si="217"/>
        <v>5071714.2451995378</v>
      </c>
      <c r="AV488" s="16">
        <f t="shared" si="218"/>
        <v>5077462.3157456648</v>
      </c>
      <c r="AW488" s="16">
        <f t="shared" si="219"/>
        <v>148080</v>
      </c>
      <c r="AX488" s="16" t="s">
        <v>235</v>
      </c>
      <c r="AZ488" s="17">
        <f t="shared" si="227"/>
        <v>0</v>
      </c>
      <c r="BA488" s="16">
        <f t="shared" si="220"/>
        <v>4262893.9884393066</v>
      </c>
      <c r="BB488" s="16">
        <f t="shared" si="221"/>
        <v>4262893.9884393066</v>
      </c>
      <c r="BC488" s="15">
        <v>0.03</v>
      </c>
      <c r="BD488">
        <v>0.01</v>
      </c>
      <c r="BE488" s="37">
        <f t="shared" si="222"/>
        <v>342064.8</v>
      </c>
      <c r="BF488" s="38">
        <f t="shared" si="223"/>
        <v>211014</v>
      </c>
      <c r="BG488" s="37">
        <f t="shared" si="203"/>
        <v>172750</v>
      </c>
      <c r="BH488" s="37">
        <f t="shared" si="224"/>
        <v>185100</v>
      </c>
      <c r="BI488">
        <v>172750</v>
      </c>
      <c r="BL488" s="8">
        <f t="shared" si="225"/>
        <v>708973.98843930638</v>
      </c>
      <c r="BM488" s="7" t="str">
        <f t="shared" si="206"/>
        <v>Terdaftar BPJS Kes &amp; Naker</v>
      </c>
      <c r="BN488" s="11">
        <f t="shared" si="207"/>
        <v>211014</v>
      </c>
      <c r="BO488" s="11">
        <f t="shared" si="208"/>
        <v>168070.80000000002</v>
      </c>
      <c r="BP488" s="9">
        <f t="shared" si="226"/>
        <v>0</v>
      </c>
      <c r="BQ488" t="s">
        <v>8</v>
      </c>
    </row>
    <row r="489" spans="1:69" x14ac:dyDescent="0.3">
      <c r="A489" s="2">
        <v>488</v>
      </c>
      <c r="B489" s="4" t="s">
        <v>1158</v>
      </c>
      <c r="C489" s="6" t="s">
        <v>241</v>
      </c>
      <c r="D489" s="6"/>
      <c r="E489" s="6" t="s">
        <v>73</v>
      </c>
      <c r="F489" s="6" t="s">
        <v>73</v>
      </c>
      <c r="G489" s="6"/>
      <c r="H489" s="6"/>
      <c r="I489" s="6"/>
      <c r="J489" s="6"/>
      <c r="K489" s="6">
        <v>800600</v>
      </c>
      <c r="L489" s="72"/>
      <c r="M489" s="6"/>
      <c r="N489" s="46" t="s">
        <v>1163</v>
      </c>
      <c r="O489" s="6">
        <v>3132693641</v>
      </c>
      <c r="P489" s="48" t="s">
        <v>1162</v>
      </c>
      <c r="Q489" s="6">
        <v>18104</v>
      </c>
      <c r="R489" s="6">
        <v>27190</v>
      </c>
      <c r="S489" s="5" t="str">
        <f>VLOOKUP(T489,'[1]Kode Posisi'!$A$3:$B$45,2,)</f>
        <v>Outsourcing Petugas Pemeliharaan Gedung</v>
      </c>
      <c r="T489" t="s">
        <v>247</v>
      </c>
      <c r="U489" s="6" t="e">
        <v>#N/A</v>
      </c>
      <c r="V489" s="44" t="s">
        <v>1161</v>
      </c>
      <c r="W489" s="5" t="s">
        <v>1160</v>
      </c>
      <c r="X489" s="36" t="s">
        <v>245</v>
      </c>
      <c r="Y489" t="s">
        <v>63</v>
      </c>
      <c r="Z489" s="57" t="s">
        <v>1159</v>
      </c>
      <c r="AA489" t="s">
        <v>1158</v>
      </c>
      <c r="AB489" s="47">
        <v>3857000</v>
      </c>
      <c r="AC489" s="41">
        <v>3857000</v>
      </c>
      <c r="AD489" s="71">
        <v>3600000</v>
      </c>
      <c r="AE489" s="16">
        <f t="shared" si="228"/>
        <v>257000</v>
      </c>
      <c r="AF489" s="16">
        <v>0</v>
      </c>
      <c r="AG489" s="17">
        <v>0</v>
      </c>
      <c r="AI489" s="16">
        <v>0</v>
      </c>
      <c r="AK489" s="16">
        <v>0</v>
      </c>
      <c r="AL489" s="11">
        <f t="shared" si="210"/>
        <v>3857000</v>
      </c>
      <c r="AM489" s="16">
        <f t="shared" si="211"/>
        <v>394956.79999999999</v>
      </c>
      <c r="AN489" s="16">
        <f t="shared" si="212"/>
        <v>154280</v>
      </c>
      <c r="AO489" s="16">
        <f t="shared" si="202"/>
        <v>240676.8</v>
      </c>
      <c r="AP489" s="16">
        <f t="shared" si="213"/>
        <v>142709</v>
      </c>
      <c r="AQ489" s="16">
        <f t="shared" si="214"/>
        <v>4251956.8</v>
      </c>
      <c r="AR489" s="16">
        <f t="shared" si="205"/>
        <v>255117.40799999997</v>
      </c>
      <c r="AS489" s="16">
        <f t="shared" si="215"/>
        <v>28062.914879999997</v>
      </c>
      <c r="AT489" s="16">
        <f t="shared" si="216"/>
        <v>-5102.3481599999996</v>
      </c>
      <c r="AU489" s="16">
        <f t="shared" si="217"/>
        <v>4501971.85984</v>
      </c>
      <c r="AV489" s="16">
        <f t="shared" si="218"/>
        <v>4507074.2079999996</v>
      </c>
      <c r="AW489" s="16">
        <f t="shared" si="219"/>
        <v>154280</v>
      </c>
      <c r="AX489" s="16" t="s">
        <v>235</v>
      </c>
      <c r="AZ489" s="17">
        <f t="shared" si="227"/>
        <v>2900</v>
      </c>
      <c r="BA489" s="16">
        <f t="shared" si="220"/>
        <v>3702720</v>
      </c>
      <c r="BB489" s="16">
        <f t="shared" si="221"/>
        <v>3699820</v>
      </c>
      <c r="BC489" s="15">
        <v>0.03</v>
      </c>
      <c r="BD489">
        <v>0.01</v>
      </c>
      <c r="BE489" s="37">
        <f t="shared" si="222"/>
        <v>356386.8</v>
      </c>
      <c r="BF489" s="38">
        <f t="shared" si="223"/>
        <v>219849</v>
      </c>
      <c r="BG489" s="37">
        <f t="shared" si="203"/>
        <v>180000</v>
      </c>
      <c r="BH489" s="37">
        <f t="shared" si="224"/>
        <v>192850</v>
      </c>
      <c r="BI489">
        <v>180000</v>
      </c>
      <c r="BL489" s="8">
        <f t="shared" si="225"/>
        <v>0</v>
      </c>
      <c r="BM489" s="7" t="str">
        <f t="shared" si="206"/>
        <v>Terdaftar BPJS Kes &amp; Naker</v>
      </c>
      <c r="BN489" s="11">
        <f t="shared" si="207"/>
        <v>219849</v>
      </c>
      <c r="BO489" s="11">
        <f t="shared" si="208"/>
        <v>175107.80000000002</v>
      </c>
      <c r="BP489" s="9">
        <f t="shared" si="226"/>
        <v>0</v>
      </c>
      <c r="BQ489" t="s">
        <v>8</v>
      </c>
    </row>
    <row r="490" spans="1:69" x14ac:dyDescent="0.3">
      <c r="A490" s="2">
        <v>489</v>
      </c>
      <c r="B490" s="4" t="s">
        <v>1152</v>
      </c>
      <c r="C490" s="6" t="s">
        <v>241</v>
      </c>
      <c r="D490" s="6"/>
      <c r="E490" s="6" t="s">
        <v>73</v>
      </c>
      <c r="F490" s="6" t="s">
        <v>73</v>
      </c>
      <c r="G490" s="6"/>
      <c r="H490" s="6"/>
      <c r="J490" s="6" t="s">
        <v>1157</v>
      </c>
      <c r="K490" s="6">
        <v>800602</v>
      </c>
      <c r="L490" s="72"/>
      <c r="M490" s="6"/>
      <c r="N490" s="46" t="s">
        <v>1156</v>
      </c>
      <c r="O490" s="6">
        <v>1269126832</v>
      </c>
      <c r="P490" s="48" t="s">
        <v>1155</v>
      </c>
      <c r="Q490" s="6">
        <v>99090</v>
      </c>
      <c r="R490" s="6">
        <v>27004</v>
      </c>
      <c r="S490" s="5" t="str">
        <f>VLOOKUP(T490,'[1]Kode Posisi'!$A$3:$B$45,2,)</f>
        <v>Outsourcing Penjualan</v>
      </c>
      <c r="T490" t="s">
        <v>21</v>
      </c>
      <c r="U490" s="6" t="e">
        <v>#N/A</v>
      </c>
      <c r="V490" s="44" t="s">
        <v>1154</v>
      </c>
      <c r="W490" s="5" t="s">
        <v>1153</v>
      </c>
      <c r="X490" s="36" t="s">
        <v>23</v>
      </c>
      <c r="Y490" t="s">
        <v>52</v>
      </c>
      <c r="Z490" s="46">
        <v>8720816653</v>
      </c>
      <c r="AA490" t="s">
        <v>1152</v>
      </c>
      <c r="AB490" s="47">
        <v>5438000</v>
      </c>
      <c r="AC490" s="41">
        <v>5438000</v>
      </c>
      <c r="AD490" s="71">
        <v>5127000</v>
      </c>
      <c r="AE490" s="16">
        <f t="shared" si="228"/>
        <v>311000</v>
      </c>
      <c r="AF490" s="16">
        <v>0</v>
      </c>
      <c r="AG490" s="17">
        <v>0</v>
      </c>
      <c r="AI490" s="16">
        <v>0</v>
      </c>
      <c r="AK490" s="16">
        <v>0</v>
      </c>
      <c r="AL490" s="11">
        <f t="shared" si="210"/>
        <v>5438000</v>
      </c>
      <c r="AM490" s="16">
        <f t="shared" si="211"/>
        <v>556851.19999999995</v>
      </c>
      <c r="AN490" s="16">
        <f t="shared" si="212"/>
        <v>217520</v>
      </c>
      <c r="AO490" s="16">
        <f t="shared" si="202"/>
        <v>339331.2</v>
      </c>
      <c r="AP490" s="16">
        <f t="shared" si="213"/>
        <v>201206</v>
      </c>
      <c r="AQ490" s="16">
        <f t="shared" si="214"/>
        <v>5994851.2000000002</v>
      </c>
      <c r="AR490" s="16">
        <f t="shared" si="205"/>
        <v>359691.07199999999</v>
      </c>
      <c r="AS490" s="16">
        <f t="shared" si="215"/>
        <v>39566.017919999998</v>
      </c>
      <c r="AT490" s="16">
        <f t="shared" si="216"/>
        <v>-7193.8214399999997</v>
      </c>
      <c r="AU490" s="16">
        <f t="shared" si="217"/>
        <v>6347348.4505599998</v>
      </c>
      <c r="AV490" s="16">
        <f t="shared" si="218"/>
        <v>6354542.2719999999</v>
      </c>
      <c r="AW490" s="16">
        <f t="shared" si="219"/>
        <v>217520</v>
      </c>
      <c r="AX490" s="16" t="s">
        <v>91</v>
      </c>
      <c r="AZ490" s="17">
        <f t="shared" si="227"/>
        <v>0</v>
      </c>
      <c r="BA490" s="16">
        <f t="shared" si="220"/>
        <v>5220480</v>
      </c>
      <c r="BB490" s="16">
        <f t="shared" si="221"/>
        <v>5220480</v>
      </c>
      <c r="BC490" s="15">
        <v>0.03</v>
      </c>
      <c r="BD490">
        <v>0.01</v>
      </c>
      <c r="BE490" s="37">
        <f t="shared" si="222"/>
        <v>502471.19999999995</v>
      </c>
      <c r="BF490" s="38">
        <f t="shared" si="223"/>
        <v>309966</v>
      </c>
      <c r="BG490" s="37">
        <f t="shared" si="203"/>
        <v>256350</v>
      </c>
      <c r="BH490" s="37">
        <f t="shared" si="224"/>
        <v>271900</v>
      </c>
      <c r="BI490">
        <v>256350</v>
      </c>
      <c r="BL490" s="8">
        <f t="shared" si="225"/>
        <v>0</v>
      </c>
      <c r="BM490" s="7" t="str">
        <f t="shared" si="206"/>
        <v>Terdaftar BPJS Kes &amp; Naker</v>
      </c>
      <c r="BN490" s="11">
        <f t="shared" si="207"/>
        <v>309966</v>
      </c>
      <c r="BO490" s="11">
        <f t="shared" si="208"/>
        <v>246885.2</v>
      </c>
      <c r="BP490" s="9">
        <f t="shared" si="226"/>
        <v>0</v>
      </c>
      <c r="BQ490" t="str">
        <f>_xlfn.XLOOKUP(X490,'[2]NON TETAP'!$H:$H,'[2]NON TETAP'!$I:$I)</f>
        <v>GLOBAL LINTAS KARYA UTAMA</v>
      </c>
    </row>
    <row r="491" spans="1:69" x14ac:dyDescent="0.3">
      <c r="A491" s="2">
        <v>490</v>
      </c>
      <c r="B491" s="4" t="s">
        <v>1151</v>
      </c>
      <c r="C491" s="6" t="s">
        <v>241</v>
      </c>
      <c r="D491" s="6"/>
      <c r="E491" s="6" t="s">
        <v>73</v>
      </c>
      <c r="F491" s="6" t="s">
        <v>73</v>
      </c>
      <c r="G491" s="6" t="s">
        <v>73</v>
      </c>
      <c r="H491" s="6"/>
      <c r="J491" s="6"/>
      <c r="K491" s="6">
        <v>800603</v>
      </c>
      <c r="L491" s="72"/>
      <c r="M491" s="6"/>
      <c r="N491" s="46" t="s">
        <v>1150</v>
      </c>
      <c r="O491" s="6">
        <v>1282145848</v>
      </c>
      <c r="P491" s="48" t="s">
        <v>1149</v>
      </c>
      <c r="Q491" s="6">
        <v>10164</v>
      </c>
      <c r="R491" s="6">
        <v>27164</v>
      </c>
      <c r="S491" s="5" t="str">
        <f>VLOOKUP(T491,'[1]Kode Posisi'!$A$3:$B$45,2,)</f>
        <v>Outsourcing Keamanan</v>
      </c>
      <c r="T491" s="36" t="s">
        <v>37</v>
      </c>
      <c r="U491" s="6" t="s">
        <v>1148</v>
      </c>
      <c r="V491" s="44" t="s">
        <v>1147</v>
      </c>
      <c r="W491" s="5" t="s">
        <v>54</v>
      </c>
      <c r="X491" s="5" t="s">
        <v>53</v>
      </c>
      <c r="Y491" t="s">
        <v>52</v>
      </c>
      <c r="Z491" s="46">
        <v>7815547551</v>
      </c>
      <c r="AA491" t="s">
        <v>1146</v>
      </c>
      <c r="AB491" s="47">
        <v>3857000</v>
      </c>
      <c r="AC491" s="41">
        <v>3857000</v>
      </c>
      <c r="AD491" s="3">
        <v>3702000</v>
      </c>
      <c r="AE491" s="16">
        <f t="shared" si="228"/>
        <v>155000</v>
      </c>
      <c r="AF491" s="16">
        <v>0</v>
      </c>
      <c r="AG491" s="17">
        <v>0</v>
      </c>
      <c r="AI491" s="16">
        <v>0</v>
      </c>
      <c r="AK491" s="16">
        <v>0</v>
      </c>
      <c r="AL491" s="11">
        <f t="shared" si="210"/>
        <v>3857000</v>
      </c>
      <c r="AM491" s="16">
        <f t="shared" si="211"/>
        <v>394956.79999999999</v>
      </c>
      <c r="AN491" s="16">
        <f t="shared" si="212"/>
        <v>154280</v>
      </c>
      <c r="AO491" s="16">
        <f t="shared" si="202"/>
        <v>240676.8</v>
      </c>
      <c r="AP491" s="16">
        <f t="shared" si="213"/>
        <v>142709</v>
      </c>
      <c r="AQ491" s="16">
        <f t="shared" si="214"/>
        <v>4251956.8</v>
      </c>
      <c r="AR491" s="16">
        <f t="shared" si="205"/>
        <v>255117.40799999997</v>
      </c>
      <c r="AS491" s="16">
        <f t="shared" si="215"/>
        <v>28062.914879999997</v>
      </c>
      <c r="AT491" s="16">
        <f t="shared" si="216"/>
        <v>-5102.3481599999996</v>
      </c>
      <c r="AU491" s="16">
        <f t="shared" si="217"/>
        <v>4501971.85984</v>
      </c>
      <c r="AV491" s="16">
        <f t="shared" si="218"/>
        <v>4507074.2079999996</v>
      </c>
      <c r="AW491" s="16">
        <f t="shared" si="219"/>
        <v>154280</v>
      </c>
      <c r="AX491" s="16" t="s">
        <v>235</v>
      </c>
      <c r="AZ491" s="17">
        <f t="shared" si="227"/>
        <v>0</v>
      </c>
      <c r="BA491" s="16">
        <f t="shared" si="220"/>
        <v>3702720</v>
      </c>
      <c r="BB491" s="16">
        <f t="shared" si="221"/>
        <v>3702720</v>
      </c>
      <c r="BC491" s="15">
        <v>0.03</v>
      </c>
      <c r="BD491">
        <v>0.01</v>
      </c>
      <c r="BE491" s="37">
        <f t="shared" si="222"/>
        <v>356386.8</v>
      </c>
      <c r="BF491" s="38">
        <f t="shared" si="223"/>
        <v>219849</v>
      </c>
      <c r="BG491" s="37">
        <f t="shared" si="203"/>
        <v>185100</v>
      </c>
      <c r="BH491" s="37">
        <f t="shared" si="224"/>
        <v>192850</v>
      </c>
      <c r="BI491">
        <v>185100</v>
      </c>
      <c r="BL491" s="8">
        <f t="shared" si="225"/>
        <v>0</v>
      </c>
      <c r="BM491" s="7" t="str">
        <f t="shared" si="206"/>
        <v>Terdaftar BPJS Kes &amp; Naker</v>
      </c>
      <c r="BN491" s="11">
        <f t="shared" si="207"/>
        <v>219849</v>
      </c>
      <c r="BO491" s="11">
        <f t="shared" si="208"/>
        <v>175107.80000000002</v>
      </c>
      <c r="BP491" s="9">
        <f t="shared" si="226"/>
        <v>0</v>
      </c>
      <c r="BQ491" t="str">
        <f>_xlfn.XLOOKUP(X491,'[2]NON TETAP'!$H:$H,'[2]NON TETAP'!$I:$I)</f>
        <v>GRAMEDIA ASRI MEDIA</v>
      </c>
    </row>
    <row r="492" spans="1:69" x14ac:dyDescent="0.3">
      <c r="A492" s="2">
        <v>491</v>
      </c>
      <c r="B492" s="4" t="s">
        <v>1145</v>
      </c>
      <c r="C492" s="6" t="s">
        <v>241</v>
      </c>
      <c r="D492" s="6"/>
      <c r="E492" s="6" t="s">
        <v>73</v>
      </c>
      <c r="F492" s="6" t="s">
        <v>73</v>
      </c>
      <c r="G492" s="6"/>
      <c r="H492" s="6"/>
      <c r="J492" s="6" t="s">
        <v>1139</v>
      </c>
      <c r="K492" s="6">
        <v>800604</v>
      </c>
      <c r="L492" s="72"/>
      <c r="M492" s="6"/>
      <c r="N492" s="46" t="s">
        <v>1144</v>
      </c>
      <c r="O492" s="6">
        <v>1209954363</v>
      </c>
      <c r="P492" t="s">
        <v>1143</v>
      </c>
      <c r="Q492" s="6">
        <v>99090</v>
      </c>
      <c r="R492" s="6">
        <v>27004</v>
      </c>
      <c r="S492" s="5" t="str">
        <f>VLOOKUP(T492,'[1]Kode Posisi'!$A$3:$B$45,2,)</f>
        <v>Outsourcing Penjualan</v>
      </c>
      <c r="T492" s="7" t="s">
        <v>21</v>
      </c>
      <c r="U492" s="6" t="s">
        <v>46</v>
      </c>
      <c r="V492" s="44" t="s">
        <v>1142</v>
      </c>
      <c r="W492" s="5" t="s">
        <v>1141</v>
      </c>
      <c r="X492" s="36" t="s">
        <v>23</v>
      </c>
      <c r="Y492" t="s">
        <v>52</v>
      </c>
      <c r="Z492" s="46">
        <v>6890287105</v>
      </c>
      <c r="AA492" t="s">
        <v>1140</v>
      </c>
      <c r="AB492" s="47">
        <v>5730000</v>
      </c>
      <c r="AC492" s="41">
        <v>5730000</v>
      </c>
      <c r="AD492" s="3">
        <v>5397000</v>
      </c>
      <c r="AE492" s="16">
        <f t="shared" si="228"/>
        <v>333000</v>
      </c>
      <c r="AF492" s="16">
        <v>0</v>
      </c>
      <c r="AG492" s="17">
        <v>0</v>
      </c>
      <c r="AI492" s="16">
        <v>0</v>
      </c>
      <c r="AK492" s="16">
        <v>0</v>
      </c>
      <c r="AL492" s="11">
        <f t="shared" si="210"/>
        <v>5730000</v>
      </c>
      <c r="AM492" s="16">
        <f t="shared" si="211"/>
        <v>586752</v>
      </c>
      <c r="AN492" s="16">
        <f t="shared" si="212"/>
        <v>229200</v>
      </c>
      <c r="AO492" s="16">
        <f t="shared" si="202"/>
        <v>357552</v>
      </c>
      <c r="AP492" s="16">
        <f t="shared" si="213"/>
        <v>212010</v>
      </c>
      <c r="AQ492" s="16">
        <f t="shared" si="214"/>
        <v>6316752</v>
      </c>
      <c r="AR492" s="16">
        <f t="shared" si="205"/>
        <v>379005.12</v>
      </c>
      <c r="AS492" s="16">
        <f t="shared" si="215"/>
        <v>41690.563199999997</v>
      </c>
      <c r="AT492" s="16">
        <f t="shared" si="216"/>
        <v>-7580.1023999999998</v>
      </c>
      <c r="AU492" s="16">
        <f t="shared" si="217"/>
        <v>6688177.0175999999</v>
      </c>
      <c r="AV492" s="16">
        <f t="shared" si="218"/>
        <v>6695757.1200000001</v>
      </c>
      <c r="AW492" s="16">
        <f t="shared" si="219"/>
        <v>229200</v>
      </c>
      <c r="AX492" s="16" t="s">
        <v>319</v>
      </c>
      <c r="AZ492" s="17">
        <f t="shared" si="227"/>
        <v>0</v>
      </c>
      <c r="BA492" s="16">
        <f t="shared" si="220"/>
        <v>5500800</v>
      </c>
      <c r="BB492" s="16">
        <f t="shared" si="221"/>
        <v>5500800</v>
      </c>
      <c r="BC492" s="15">
        <v>0.03</v>
      </c>
      <c r="BD492">
        <v>0.01</v>
      </c>
      <c r="BE492" s="37">
        <f t="shared" si="222"/>
        <v>529452</v>
      </c>
      <c r="BF492" s="38">
        <f t="shared" si="223"/>
        <v>326610</v>
      </c>
      <c r="BG492" s="37">
        <f t="shared" si="203"/>
        <v>269850</v>
      </c>
      <c r="BH492" s="37">
        <f t="shared" si="224"/>
        <v>286500</v>
      </c>
      <c r="BI492">
        <v>269850</v>
      </c>
      <c r="BL492" s="8">
        <f t="shared" si="225"/>
        <v>0</v>
      </c>
      <c r="BM492" s="7" t="str">
        <f t="shared" si="206"/>
        <v>Terdaftar BPJS Kes &amp; Naker</v>
      </c>
      <c r="BN492" s="11">
        <f t="shared" si="207"/>
        <v>326610</v>
      </c>
      <c r="BO492" s="11">
        <f t="shared" si="208"/>
        <v>260142.00000000003</v>
      </c>
      <c r="BP492" s="9">
        <f t="shared" si="226"/>
        <v>0</v>
      </c>
      <c r="BQ492" t="str">
        <f>_xlfn.XLOOKUP(X492,'[2]NON TETAP'!$H:$H,'[2]NON TETAP'!$I:$I)</f>
        <v>GLOBAL LINTAS KARYA UTAMA</v>
      </c>
    </row>
    <row r="493" spans="1:69" x14ac:dyDescent="0.3">
      <c r="A493" s="2">
        <v>492</v>
      </c>
      <c r="B493" s="4" t="s">
        <v>1134</v>
      </c>
      <c r="C493" s="6" t="s">
        <v>241</v>
      </c>
      <c r="D493" s="6"/>
      <c r="E493" s="6" t="s">
        <v>73</v>
      </c>
      <c r="F493" s="6" t="s">
        <v>73</v>
      </c>
      <c r="G493" s="6"/>
      <c r="H493" s="6"/>
      <c r="J493" s="6" t="s">
        <v>1139</v>
      </c>
      <c r="K493" s="6">
        <v>800605</v>
      </c>
      <c r="L493" s="72"/>
      <c r="M493" s="6"/>
      <c r="N493" s="46" t="s">
        <v>1138</v>
      </c>
      <c r="O493" s="6">
        <v>3124780931</v>
      </c>
      <c r="P493" t="s">
        <v>1137</v>
      </c>
      <c r="Q493" s="6">
        <v>99090</v>
      </c>
      <c r="R493" s="6">
        <v>27004</v>
      </c>
      <c r="S493" s="5" t="str">
        <f>VLOOKUP(T493,'[1]Kode Posisi'!$A$3:$B$45,2,)</f>
        <v>Outsourcing Penjualan</v>
      </c>
      <c r="T493" s="7" t="s">
        <v>21</v>
      </c>
      <c r="U493" s="6" t="e">
        <v>#N/A</v>
      </c>
      <c r="V493" s="44" t="s">
        <v>1136</v>
      </c>
      <c r="W493" s="5" t="s">
        <v>1135</v>
      </c>
      <c r="X493" s="36" t="s">
        <v>23</v>
      </c>
      <c r="Y493" t="s">
        <v>52</v>
      </c>
      <c r="Z493" s="46">
        <v>3850748682</v>
      </c>
      <c r="AA493" t="s">
        <v>1134</v>
      </c>
      <c r="AB493" s="41">
        <v>5289000</v>
      </c>
      <c r="AC493" s="41">
        <v>5289000</v>
      </c>
      <c r="AD493" s="71">
        <v>4962000</v>
      </c>
      <c r="AE493" s="16">
        <f t="shared" si="228"/>
        <v>327000</v>
      </c>
      <c r="AF493" s="16">
        <v>0</v>
      </c>
      <c r="AG493" s="17">
        <v>0</v>
      </c>
      <c r="AI493" s="16">
        <v>0</v>
      </c>
      <c r="AJ493" s="11"/>
      <c r="AK493" s="16">
        <v>0</v>
      </c>
      <c r="AL493" s="11">
        <f t="shared" si="210"/>
        <v>5289000</v>
      </c>
      <c r="AM493" s="16">
        <f t="shared" si="211"/>
        <v>541593.59999999998</v>
      </c>
      <c r="AN493" s="16">
        <f t="shared" si="212"/>
        <v>211560</v>
      </c>
      <c r="AO493" s="16">
        <f t="shared" si="202"/>
        <v>330033.59999999998</v>
      </c>
      <c r="AP493" s="16">
        <f t="shared" si="213"/>
        <v>195693</v>
      </c>
      <c r="AQ493" s="16">
        <f t="shared" si="214"/>
        <v>5830593.5999999996</v>
      </c>
      <c r="AR493" s="16">
        <f t="shared" si="205"/>
        <v>349835.61599999998</v>
      </c>
      <c r="AS493" s="16">
        <f t="shared" si="215"/>
        <v>38481.917759999997</v>
      </c>
      <c r="AT493" s="16">
        <f t="shared" si="216"/>
        <v>-6996.7123199999996</v>
      </c>
      <c r="AU493" s="16">
        <f t="shared" si="217"/>
        <v>6173432.5036800001</v>
      </c>
      <c r="AV493" s="16">
        <f t="shared" si="218"/>
        <v>6180429.216</v>
      </c>
      <c r="AW493" s="16">
        <f t="shared" si="219"/>
        <v>211560</v>
      </c>
      <c r="AX493" s="16" t="s">
        <v>235</v>
      </c>
      <c r="AZ493" s="17">
        <f t="shared" si="227"/>
        <v>0</v>
      </c>
      <c r="BA493" s="16">
        <f t="shared" si="220"/>
        <v>5077440</v>
      </c>
      <c r="BB493" s="16">
        <f t="shared" si="221"/>
        <v>5077440</v>
      </c>
      <c r="BC493" s="15">
        <v>0.03</v>
      </c>
      <c r="BD493">
        <v>0.01</v>
      </c>
      <c r="BE493" s="37">
        <f t="shared" si="222"/>
        <v>488703.6</v>
      </c>
      <c r="BF493" s="38">
        <f t="shared" si="223"/>
        <v>301473</v>
      </c>
      <c r="BG493" s="37">
        <f t="shared" si="203"/>
        <v>248100</v>
      </c>
      <c r="BH493" s="37">
        <f t="shared" si="224"/>
        <v>264450</v>
      </c>
      <c r="BI493">
        <v>248100</v>
      </c>
      <c r="BL493" s="8">
        <f t="shared" si="225"/>
        <v>0</v>
      </c>
      <c r="BM493" s="7" t="str">
        <f t="shared" si="206"/>
        <v>Terdaftar BPJS Kes &amp; Naker</v>
      </c>
      <c r="BN493" s="11">
        <f t="shared" si="207"/>
        <v>301473</v>
      </c>
      <c r="BO493" s="11">
        <f t="shared" si="208"/>
        <v>240120.6</v>
      </c>
      <c r="BP493" s="9">
        <f t="shared" si="226"/>
        <v>0</v>
      </c>
      <c r="BQ493" t="str">
        <f>_xlfn.XLOOKUP(X493,'[2]NON TETAP'!$H:$H,'[2]NON TETAP'!$I:$I)</f>
        <v>GLOBAL LINTAS KARYA UTAMA</v>
      </c>
    </row>
    <row r="494" spans="1:69" x14ac:dyDescent="0.3">
      <c r="A494" s="2">
        <v>493</v>
      </c>
      <c r="B494" s="4" t="s">
        <v>1127</v>
      </c>
      <c r="C494" s="6" t="s">
        <v>241</v>
      </c>
      <c r="D494" s="6"/>
      <c r="E494" s="6" t="s">
        <v>73</v>
      </c>
      <c r="F494" s="6" t="s">
        <v>73</v>
      </c>
      <c r="G494" s="6"/>
      <c r="H494" s="6"/>
      <c r="I494" s="6" t="s">
        <v>880</v>
      </c>
      <c r="J494" s="6"/>
      <c r="K494" s="6">
        <v>800606</v>
      </c>
      <c r="L494" s="72"/>
      <c r="M494" s="6"/>
      <c r="N494" s="46" t="s">
        <v>1133</v>
      </c>
      <c r="O494" s="6">
        <v>3783254927</v>
      </c>
      <c r="P494" s="48" t="s">
        <v>1132</v>
      </c>
      <c r="Q494" s="6">
        <v>10113</v>
      </c>
      <c r="R494" s="6">
        <v>27113</v>
      </c>
      <c r="S494" s="5" t="str">
        <f>VLOOKUP(T494,'[1]Kode Posisi'!$A$3:$B$45,2,)</f>
        <v>Outsourcing Keamanan</v>
      </c>
      <c r="T494" s="36" t="s">
        <v>37</v>
      </c>
      <c r="U494" s="6" t="s">
        <v>1131</v>
      </c>
      <c r="V494" s="44" t="s">
        <v>1130</v>
      </c>
      <c r="W494" s="5" t="s">
        <v>1129</v>
      </c>
      <c r="X494" s="5" t="s">
        <v>1128</v>
      </c>
      <c r="Y494" t="s">
        <v>52</v>
      </c>
      <c r="Z494" s="46">
        <v>3000661570</v>
      </c>
      <c r="AA494" t="s">
        <v>1127</v>
      </c>
      <c r="AB494" s="47">
        <v>4193000</v>
      </c>
      <c r="AC494" s="41">
        <v>4193000</v>
      </c>
      <c r="AD494" s="3">
        <v>3917000</v>
      </c>
      <c r="AE494" s="16">
        <f t="shared" si="228"/>
        <v>276000</v>
      </c>
      <c r="AF494" s="16">
        <v>0</v>
      </c>
      <c r="AG494" s="17">
        <v>0</v>
      </c>
      <c r="AI494" s="16">
        <v>0</v>
      </c>
      <c r="AK494" s="16">
        <v>0</v>
      </c>
      <c r="AL494" s="11">
        <f t="shared" si="210"/>
        <v>4193000</v>
      </c>
      <c r="AM494" s="16">
        <f t="shared" si="211"/>
        <v>429363.19999999995</v>
      </c>
      <c r="AN494" s="16">
        <f t="shared" si="212"/>
        <v>167720</v>
      </c>
      <c r="AO494" s="16">
        <f t="shared" ref="AO494:AO537" si="229">IF(BC494=0.03,AC494*0.0624,0)</f>
        <v>261643.19999999998</v>
      </c>
      <c r="AP494" s="16">
        <f t="shared" si="213"/>
        <v>155141</v>
      </c>
      <c r="AQ494" s="16">
        <f t="shared" si="214"/>
        <v>4622363.2</v>
      </c>
      <c r="AR494" s="16">
        <f t="shared" si="205"/>
        <v>277341.79200000002</v>
      </c>
      <c r="AS494" s="16">
        <f t="shared" si="215"/>
        <v>30507.597120000002</v>
      </c>
      <c r="AT494" s="16">
        <f t="shared" si="216"/>
        <v>-5546.8358400000006</v>
      </c>
      <c r="AU494" s="16">
        <f t="shared" si="217"/>
        <v>4894158.1561600007</v>
      </c>
      <c r="AV494" s="16">
        <f t="shared" si="218"/>
        <v>4899704.9920000006</v>
      </c>
      <c r="AW494" s="16">
        <f t="shared" si="219"/>
        <v>167720</v>
      </c>
      <c r="AX494" s="16" t="s">
        <v>243</v>
      </c>
      <c r="AZ494" s="17">
        <f t="shared" si="227"/>
        <v>0</v>
      </c>
      <c r="BA494" s="16">
        <f t="shared" si="220"/>
        <v>4025280</v>
      </c>
      <c r="BB494" s="16">
        <f t="shared" si="221"/>
        <v>4025280</v>
      </c>
      <c r="BC494" s="15">
        <v>0.03</v>
      </c>
      <c r="BD494">
        <v>0.01</v>
      </c>
      <c r="BE494" s="37">
        <f t="shared" si="222"/>
        <v>387433.2</v>
      </c>
      <c r="BF494" s="38">
        <f t="shared" si="223"/>
        <v>239001.00000000003</v>
      </c>
      <c r="BG494" s="37">
        <f t="shared" ref="BG494:BG557" si="230">5%*AD494</f>
        <v>195850</v>
      </c>
      <c r="BH494" s="37">
        <f t="shared" si="224"/>
        <v>209650</v>
      </c>
      <c r="BI494">
        <v>0</v>
      </c>
      <c r="BL494" s="8">
        <f t="shared" si="225"/>
        <v>0</v>
      </c>
      <c r="BM494" s="7" t="str">
        <f t="shared" si="206"/>
        <v>Terdaftar BPJS Kes &amp; Naker</v>
      </c>
      <c r="BN494" s="11">
        <f t="shared" si="207"/>
        <v>239001</v>
      </c>
      <c r="BO494" s="11">
        <f t="shared" si="208"/>
        <v>190362.2</v>
      </c>
      <c r="BP494" s="9">
        <f t="shared" si="226"/>
        <v>0</v>
      </c>
      <c r="BQ494" t="str">
        <f>_xlfn.XLOOKUP(X494,'[2]NON TETAP'!$H:$H,'[2]NON TETAP'!$I:$I)</f>
        <v>GRAMEDIA ASRI MEDIA</v>
      </c>
    </row>
    <row r="495" spans="1:69" x14ac:dyDescent="0.3">
      <c r="A495" s="2">
        <v>494</v>
      </c>
      <c r="B495" s="4" t="s">
        <v>1120</v>
      </c>
      <c r="C495" s="6" t="s">
        <v>241</v>
      </c>
      <c r="D495" s="6"/>
      <c r="E495" s="6" t="s">
        <v>73</v>
      </c>
      <c r="F495" s="6" t="s">
        <v>73</v>
      </c>
      <c r="G495" s="6"/>
      <c r="H495" s="6"/>
      <c r="I495" s="6"/>
      <c r="J495" s="6"/>
      <c r="K495" s="6">
        <v>800607</v>
      </c>
      <c r="L495" s="72"/>
      <c r="M495" s="6"/>
      <c r="N495" s="46" t="s">
        <v>1126</v>
      </c>
      <c r="O495" s="6">
        <v>2200249438</v>
      </c>
      <c r="P495" s="48" t="s">
        <v>1125</v>
      </c>
      <c r="Q495" s="6">
        <v>10116</v>
      </c>
      <c r="R495" s="6">
        <v>27116</v>
      </c>
      <c r="S495" s="5" t="str">
        <f>VLOOKUP(T495,'[1]Kode Posisi'!$A$3:$B$45,2,)</f>
        <v>Outsourcing Cleaning Service</v>
      </c>
      <c r="T495" t="s">
        <v>47</v>
      </c>
      <c r="U495" s="6" t="s">
        <v>1124</v>
      </c>
      <c r="V495" s="44" t="s">
        <v>1123</v>
      </c>
      <c r="W495" s="5" t="s">
        <v>1122</v>
      </c>
      <c r="X495" s="5" t="s">
        <v>1121</v>
      </c>
      <c r="Y495" t="s">
        <v>52</v>
      </c>
      <c r="Z495" s="46">
        <v>1912046677</v>
      </c>
      <c r="AA495" t="s">
        <v>1120</v>
      </c>
      <c r="AB495" s="47">
        <v>3857000</v>
      </c>
      <c r="AC495" s="41">
        <v>3857000</v>
      </c>
      <c r="AD495" s="71">
        <v>3702000</v>
      </c>
      <c r="AE495" s="16">
        <f t="shared" si="228"/>
        <v>155000</v>
      </c>
      <c r="AF495" s="16">
        <v>0</v>
      </c>
      <c r="AG495" s="17">
        <v>0</v>
      </c>
      <c r="AI495" s="16">
        <v>0</v>
      </c>
      <c r="AJ495" s="11"/>
      <c r="AK495" s="16">
        <v>0</v>
      </c>
      <c r="AL495" s="11">
        <f t="shared" si="210"/>
        <v>3857000</v>
      </c>
      <c r="AM495" s="16">
        <f t="shared" si="211"/>
        <v>394956.79999999999</v>
      </c>
      <c r="AN495" s="16">
        <f t="shared" si="212"/>
        <v>154280</v>
      </c>
      <c r="AO495" s="16">
        <f t="shared" si="229"/>
        <v>240676.8</v>
      </c>
      <c r="AP495" s="16">
        <f t="shared" si="213"/>
        <v>142709</v>
      </c>
      <c r="AQ495" s="16">
        <f t="shared" si="214"/>
        <v>4251956.8</v>
      </c>
      <c r="AR495" s="16">
        <f t="shared" si="205"/>
        <v>255117.40799999997</v>
      </c>
      <c r="AS495" s="16">
        <f t="shared" si="215"/>
        <v>28062.914879999997</v>
      </c>
      <c r="AT495" s="16">
        <f t="shared" si="216"/>
        <v>-5102.3481599999996</v>
      </c>
      <c r="AU495" s="16">
        <f t="shared" si="217"/>
        <v>4501971.85984</v>
      </c>
      <c r="AV495" s="16">
        <f t="shared" si="218"/>
        <v>4507074.2079999996</v>
      </c>
      <c r="AW495" s="16">
        <f t="shared" si="219"/>
        <v>154280</v>
      </c>
      <c r="AX495" s="16" t="s">
        <v>235</v>
      </c>
      <c r="AZ495" s="17">
        <f t="shared" si="227"/>
        <v>0</v>
      </c>
      <c r="BA495" s="16">
        <f t="shared" si="220"/>
        <v>3702720</v>
      </c>
      <c r="BB495" s="16">
        <f t="shared" si="221"/>
        <v>3702720</v>
      </c>
      <c r="BC495" s="15">
        <v>0.03</v>
      </c>
      <c r="BD495">
        <v>0.01</v>
      </c>
      <c r="BE495" s="37">
        <f t="shared" si="222"/>
        <v>356386.8</v>
      </c>
      <c r="BF495" s="38">
        <f t="shared" si="223"/>
        <v>219849</v>
      </c>
      <c r="BG495" s="37">
        <f t="shared" si="230"/>
        <v>185100</v>
      </c>
      <c r="BH495" s="37">
        <f t="shared" si="224"/>
        <v>192850</v>
      </c>
      <c r="BI495">
        <v>185100</v>
      </c>
      <c r="BL495" s="8">
        <f t="shared" si="225"/>
        <v>0</v>
      </c>
      <c r="BM495" s="7" t="str">
        <f t="shared" si="206"/>
        <v>Terdaftar BPJS Kes &amp; Naker</v>
      </c>
      <c r="BN495" s="11">
        <f t="shared" si="207"/>
        <v>219849</v>
      </c>
      <c r="BO495" s="11">
        <f t="shared" si="208"/>
        <v>175107.80000000002</v>
      </c>
      <c r="BP495" s="9">
        <f t="shared" si="226"/>
        <v>0</v>
      </c>
      <c r="BQ495" t="str">
        <f>_xlfn.XLOOKUP(X495,'[2]NON TETAP'!$H:$H,'[2]NON TETAP'!$I:$I)</f>
        <v>GRAMEDIA ASRI MEDIA</v>
      </c>
    </row>
    <row r="496" spans="1:69" x14ac:dyDescent="0.3">
      <c r="A496" s="2">
        <v>495</v>
      </c>
      <c r="B496" s="4" t="s">
        <v>1115</v>
      </c>
      <c r="C496" s="6" t="s">
        <v>241</v>
      </c>
      <c r="D496" s="6"/>
      <c r="E496" s="6" t="s">
        <v>73</v>
      </c>
      <c r="F496" s="6" t="s">
        <v>73</v>
      </c>
      <c r="G496" s="6"/>
      <c r="H496" s="6"/>
      <c r="I496" s="6"/>
      <c r="J496" s="6"/>
      <c r="K496" s="6">
        <v>800608</v>
      </c>
      <c r="L496" s="72"/>
      <c r="M496" s="6"/>
      <c r="N496" s="46" t="s">
        <v>1119</v>
      </c>
      <c r="O496" s="6">
        <v>3772327061</v>
      </c>
      <c r="P496" s="48" t="s">
        <v>1118</v>
      </c>
      <c r="Q496" s="6">
        <v>10148</v>
      </c>
      <c r="R496" s="6">
        <v>27148</v>
      </c>
      <c r="S496" s="5" t="str">
        <f>VLOOKUP(T496,'[1]Kode Posisi'!$A$3:$B$45,2,)</f>
        <v>Outsourcing Keamanan</v>
      </c>
      <c r="T496" s="36" t="s">
        <v>37</v>
      </c>
      <c r="U496" s="6" t="e">
        <v>#N/A</v>
      </c>
      <c r="V496" s="44" t="s">
        <v>1117</v>
      </c>
      <c r="W496" s="5" t="s">
        <v>131</v>
      </c>
      <c r="X496" s="36" t="s">
        <v>130</v>
      </c>
      <c r="Y496" t="s">
        <v>473</v>
      </c>
      <c r="Z496" s="57" t="s">
        <v>1116</v>
      </c>
      <c r="AA496" t="s">
        <v>1115</v>
      </c>
      <c r="AB496" s="47">
        <v>3984000</v>
      </c>
      <c r="AC496" s="41">
        <v>3984000</v>
      </c>
      <c r="AD496" s="71">
        <v>3725000</v>
      </c>
      <c r="AE496" s="16">
        <f t="shared" si="228"/>
        <v>259000</v>
      </c>
      <c r="AF496" s="16">
        <v>0</v>
      </c>
      <c r="AG496" s="17">
        <v>0</v>
      </c>
      <c r="AI496" s="16">
        <v>0</v>
      </c>
      <c r="AK496" s="16">
        <v>0</v>
      </c>
      <c r="AL496" s="11">
        <f t="shared" si="210"/>
        <v>3984000</v>
      </c>
      <c r="AM496" s="16">
        <f t="shared" si="211"/>
        <v>407961.59999999998</v>
      </c>
      <c r="AN496" s="16">
        <f t="shared" si="212"/>
        <v>159360</v>
      </c>
      <c r="AO496" s="16">
        <f t="shared" si="229"/>
        <v>248601.59999999998</v>
      </c>
      <c r="AP496" s="16">
        <f t="shared" si="213"/>
        <v>147408</v>
      </c>
      <c r="AQ496" s="16">
        <f t="shared" si="214"/>
        <v>4391961.5999999996</v>
      </c>
      <c r="AR496" s="16">
        <f t="shared" si="205"/>
        <v>263517.696</v>
      </c>
      <c r="AS496" s="16">
        <f t="shared" si="215"/>
        <v>28986.94656</v>
      </c>
      <c r="AT496" s="16">
        <f t="shared" si="216"/>
        <v>-5270.3539200000005</v>
      </c>
      <c r="AU496" s="16">
        <f t="shared" si="217"/>
        <v>4650208.9420800004</v>
      </c>
      <c r="AV496" s="16">
        <f t="shared" si="218"/>
        <v>4655479.2960000001</v>
      </c>
      <c r="AW496" s="16">
        <f t="shared" si="219"/>
        <v>159360</v>
      </c>
      <c r="AX496" s="16" t="s">
        <v>235</v>
      </c>
      <c r="AZ496" s="17">
        <f t="shared" si="227"/>
        <v>2900</v>
      </c>
      <c r="BA496" s="16">
        <f t="shared" si="220"/>
        <v>3824640</v>
      </c>
      <c r="BB496" s="16">
        <f t="shared" si="221"/>
        <v>3821740</v>
      </c>
      <c r="BC496" s="15">
        <v>0.03</v>
      </c>
      <c r="BD496">
        <v>0.01</v>
      </c>
      <c r="BE496" s="37">
        <f t="shared" si="222"/>
        <v>368121.59999999998</v>
      </c>
      <c r="BF496" s="38">
        <f t="shared" si="223"/>
        <v>227088</v>
      </c>
      <c r="BG496" s="37">
        <f t="shared" si="230"/>
        <v>186250</v>
      </c>
      <c r="BH496" s="37">
        <f t="shared" si="224"/>
        <v>199200</v>
      </c>
      <c r="BI496">
        <v>186250</v>
      </c>
      <c r="BL496" s="8">
        <f t="shared" si="225"/>
        <v>0</v>
      </c>
      <c r="BM496" s="7" t="str">
        <f t="shared" si="206"/>
        <v>Terdaftar BPJS Kes &amp; Naker</v>
      </c>
      <c r="BN496" s="11">
        <f t="shared" si="207"/>
        <v>227088</v>
      </c>
      <c r="BO496" s="11">
        <f t="shared" si="208"/>
        <v>180873.60000000001</v>
      </c>
      <c r="BP496" s="9">
        <f t="shared" si="226"/>
        <v>0</v>
      </c>
      <c r="BQ496" t="str">
        <f>_xlfn.XLOOKUP(X496,'[2]NON TETAP'!$H:$H,'[2]NON TETAP'!$I:$I)</f>
        <v>GRAMEDIA ASRI MEDIA</v>
      </c>
    </row>
    <row r="497" spans="1:69" x14ac:dyDescent="0.3">
      <c r="A497" s="2">
        <v>496</v>
      </c>
      <c r="B497" s="4" t="s">
        <v>1114</v>
      </c>
      <c r="C497" s="6" t="s">
        <v>241</v>
      </c>
      <c r="D497" s="6"/>
      <c r="E497" s="6" t="s">
        <v>73</v>
      </c>
      <c r="F497" s="6"/>
      <c r="G497" s="6"/>
      <c r="H497" s="6"/>
      <c r="I497" s="6"/>
      <c r="J497" s="6"/>
      <c r="K497" s="6">
        <v>800609</v>
      </c>
      <c r="L497" s="72"/>
      <c r="M497" s="6"/>
      <c r="N497" s="46" t="s">
        <v>1113</v>
      </c>
      <c r="O497" s="6">
        <v>2910852808</v>
      </c>
      <c r="P497" s="48" t="s">
        <v>1112</v>
      </c>
      <c r="Q497" s="6">
        <v>33086</v>
      </c>
      <c r="R497" s="6">
        <v>27521</v>
      </c>
      <c r="S497" s="5" t="str">
        <f>VLOOKUP(T497,'[1]Kode Posisi'!$A$3:$B$45,2,)</f>
        <v>Outsourcing Penjualan</v>
      </c>
      <c r="T497" t="s">
        <v>907</v>
      </c>
      <c r="U497" s="6" t="e">
        <v>#N/A</v>
      </c>
      <c r="V497" s="44" t="s">
        <v>1111</v>
      </c>
      <c r="W497" s="36" t="s">
        <v>25</v>
      </c>
      <c r="X497" s="36" t="s">
        <v>25</v>
      </c>
      <c r="Y497" t="s">
        <v>52</v>
      </c>
      <c r="Z497" s="46">
        <v>1170988741</v>
      </c>
      <c r="AA497" t="s">
        <v>1110</v>
      </c>
      <c r="AB497" s="47">
        <v>5730000</v>
      </c>
      <c r="AC497" s="41">
        <v>5730000</v>
      </c>
      <c r="AD497" s="71">
        <v>5397000</v>
      </c>
      <c r="AE497" s="16">
        <f t="shared" si="228"/>
        <v>333000</v>
      </c>
      <c r="AF497" s="16">
        <v>0</v>
      </c>
      <c r="AG497" s="17">
        <v>0</v>
      </c>
      <c r="AI497" s="16">
        <v>0</v>
      </c>
      <c r="AK497" s="16">
        <v>0</v>
      </c>
      <c r="AL497" s="11">
        <f t="shared" si="210"/>
        <v>5730000</v>
      </c>
      <c r="AM497" s="16">
        <f t="shared" si="211"/>
        <v>586752</v>
      </c>
      <c r="AN497" s="16">
        <f t="shared" si="212"/>
        <v>229200</v>
      </c>
      <c r="AO497" s="16">
        <f t="shared" si="229"/>
        <v>357552</v>
      </c>
      <c r="AP497" s="16">
        <f t="shared" si="213"/>
        <v>212010</v>
      </c>
      <c r="AQ497" s="16">
        <f t="shared" si="214"/>
        <v>6316752</v>
      </c>
      <c r="AR497" s="16">
        <f t="shared" si="205"/>
        <v>379005.12</v>
      </c>
      <c r="AS497" s="16">
        <f t="shared" si="215"/>
        <v>41690.563199999997</v>
      </c>
      <c r="AT497" s="16">
        <f t="shared" si="216"/>
        <v>-7580.1023999999998</v>
      </c>
      <c r="AU497" s="16">
        <f t="shared" si="217"/>
        <v>6688177.0175999999</v>
      </c>
      <c r="AV497" s="16">
        <f t="shared" si="218"/>
        <v>6695757.1200000001</v>
      </c>
      <c r="AW497" s="16">
        <f t="shared" si="219"/>
        <v>229200</v>
      </c>
      <c r="AX497" s="16" t="s">
        <v>235</v>
      </c>
      <c r="AZ497" s="17">
        <f t="shared" si="227"/>
        <v>0</v>
      </c>
      <c r="BA497" s="16">
        <f t="shared" si="220"/>
        <v>5500800</v>
      </c>
      <c r="BB497" s="16">
        <f t="shared" si="221"/>
        <v>5500800</v>
      </c>
      <c r="BC497" s="15">
        <v>0.03</v>
      </c>
      <c r="BD497">
        <v>0.01</v>
      </c>
      <c r="BE497" s="37">
        <f t="shared" si="222"/>
        <v>529452</v>
      </c>
      <c r="BF497" s="38">
        <f t="shared" si="223"/>
        <v>326610</v>
      </c>
      <c r="BG497" s="37">
        <f t="shared" si="230"/>
        <v>269850</v>
      </c>
      <c r="BH497" s="37">
        <f t="shared" si="224"/>
        <v>286500</v>
      </c>
      <c r="BI497">
        <v>269850</v>
      </c>
      <c r="BJ497" s="2">
        <v>269850</v>
      </c>
      <c r="BL497" s="8">
        <f t="shared" si="225"/>
        <v>0</v>
      </c>
      <c r="BM497" s="7" t="str">
        <f t="shared" si="206"/>
        <v>Terdaftar BPJS Kes &amp; Naker</v>
      </c>
      <c r="BN497" s="11">
        <f t="shared" si="207"/>
        <v>326610</v>
      </c>
      <c r="BO497" s="11">
        <f t="shared" si="208"/>
        <v>260142.00000000003</v>
      </c>
      <c r="BP497" s="9">
        <f t="shared" si="226"/>
        <v>0</v>
      </c>
      <c r="BQ497" t="str">
        <f>_xlfn.XLOOKUP(X497,'[2]NON TETAP'!$H:$H,'[2]NON TETAP'!$I:$I)</f>
        <v>GRAMEDIA ASRI MEDIA</v>
      </c>
    </row>
    <row r="498" spans="1:69" x14ac:dyDescent="0.3">
      <c r="A498" s="2">
        <v>497</v>
      </c>
      <c r="B498" s="4" t="s">
        <v>1109</v>
      </c>
      <c r="C498" s="6" t="s">
        <v>241</v>
      </c>
      <c r="D498" s="6"/>
      <c r="E498" s="6" t="s">
        <v>73</v>
      </c>
      <c r="F498" s="6" t="s">
        <v>73</v>
      </c>
      <c r="G498" s="6"/>
      <c r="H498" s="6"/>
      <c r="I498" s="6"/>
      <c r="J498" s="6"/>
      <c r="K498" s="6">
        <v>800610</v>
      </c>
      <c r="L498" s="72"/>
      <c r="M498" s="6"/>
      <c r="N498" s="46" t="s">
        <v>1108</v>
      </c>
      <c r="O498" s="6">
        <v>794865227</v>
      </c>
      <c r="P498" s="48" t="s">
        <v>1107</v>
      </c>
      <c r="Q498" s="6">
        <v>33086</v>
      </c>
      <c r="R498" s="6">
        <v>27521</v>
      </c>
      <c r="S498" s="5" t="str">
        <f>VLOOKUP(T498,'[1]Kode Posisi'!$A$3:$B$45,2,)</f>
        <v>Outsourcing Petugas Administrasi</v>
      </c>
      <c r="T498" t="s">
        <v>35</v>
      </c>
      <c r="U498" s="44" t="s">
        <v>1106</v>
      </c>
      <c r="V498" s="44" t="s">
        <v>1105</v>
      </c>
      <c r="W498" s="36" t="s">
        <v>25</v>
      </c>
      <c r="X498" s="36" t="s">
        <v>25</v>
      </c>
      <c r="Y498" t="s">
        <v>63</v>
      </c>
      <c r="Z498" s="57" t="s">
        <v>1104</v>
      </c>
      <c r="AA498" t="s">
        <v>1103</v>
      </c>
      <c r="AB498" s="47">
        <v>5730000</v>
      </c>
      <c r="AC498" s="41">
        <v>5730000</v>
      </c>
      <c r="AD498" s="71">
        <v>5397000</v>
      </c>
      <c r="AE498" s="16">
        <f t="shared" si="228"/>
        <v>333000</v>
      </c>
      <c r="AF498" s="16">
        <v>200000</v>
      </c>
      <c r="AG498" s="17">
        <v>0</v>
      </c>
      <c r="AI498" s="16">
        <v>0</v>
      </c>
      <c r="AK498" s="16">
        <v>0</v>
      </c>
      <c r="AL498" s="11">
        <f t="shared" si="210"/>
        <v>5930000</v>
      </c>
      <c r="AM498" s="16">
        <f t="shared" si="211"/>
        <v>586752</v>
      </c>
      <c r="AN498" s="16">
        <f t="shared" si="212"/>
        <v>229200</v>
      </c>
      <c r="AO498" s="16">
        <f t="shared" si="229"/>
        <v>357552</v>
      </c>
      <c r="AP498" s="16">
        <f t="shared" si="213"/>
        <v>219410</v>
      </c>
      <c r="AQ498" s="16">
        <f t="shared" si="214"/>
        <v>6516752</v>
      </c>
      <c r="AR498" s="16">
        <f t="shared" si="205"/>
        <v>391005.12</v>
      </c>
      <c r="AS498" s="16">
        <f t="shared" si="215"/>
        <v>43010.563199999997</v>
      </c>
      <c r="AT498" s="16">
        <f t="shared" si="216"/>
        <v>-7820.1023999999998</v>
      </c>
      <c r="AU498" s="16">
        <f t="shared" si="217"/>
        <v>6899937.0175999999</v>
      </c>
      <c r="AV498" s="16">
        <f t="shared" si="218"/>
        <v>6907757.1200000001</v>
      </c>
      <c r="AW498" s="16">
        <f t="shared" si="219"/>
        <v>229200</v>
      </c>
      <c r="AX498" s="16" t="s">
        <v>235</v>
      </c>
      <c r="AZ498" s="17">
        <f t="shared" si="227"/>
        <v>2900</v>
      </c>
      <c r="BA498" s="16">
        <f t="shared" si="220"/>
        <v>5700800</v>
      </c>
      <c r="BB498" s="16">
        <f t="shared" si="221"/>
        <v>5697900</v>
      </c>
      <c r="BC498" s="15">
        <v>0.03</v>
      </c>
      <c r="BD498">
        <v>0.01</v>
      </c>
      <c r="BE498" s="37">
        <f t="shared" si="222"/>
        <v>529452</v>
      </c>
      <c r="BF498" s="38">
        <f t="shared" si="223"/>
        <v>326610</v>
      </c>
      <c r="BG498" s="37">
        <f t="shared" si="230"/>
        <v>269850</v>
      </c>
      <c r="BH498" s="37">
        <f t="shared" si="224"/>
        <v>286500</v>
      </c>
      <c r="BI498">
        <v>269850</v>
      </c>
      <c r="BL498" s="8">
        <f t="shared" si="225"/>
        <v>200000</v>
      </c>
      <c r="BM498" s="7" t="str">
        <f t="shared" si="206"/>
        <v>Terdaftar BPJS Kes &amp; Naker</v>
      </c>
      <c r="BN498" s="11">
        <f t="shared" si="207"/>
        <v>326610</v>
      </c>
      <c r="BO498" s="11">
        <f t="shared" si="208"/>
        <v>260142.00000000003</v>
      </c>
      <c r="BP498" s="9">
        <f t="shared" si="226"/>
        <v>0</v>
      </c>
      <c r="BQ498" t="str">
        <f>_xlfn.XLOOKUP(X498,'[2]NON TETAP'!$H:$H,'[2]NON TETAP'!$I:$I)</f>
        <v>GRAMEDIA ASRI MEDIA</v>
      </c>
    </row>
    <row r="499" spans="1:69" x14ac:dyDescent="0.3">
      <c r="A499" s="2">
        <v>498</v>
      </c>
      <c r="B499" s="4" t="s">
        <v>1095</v>
      </c>
      <c r="C499" s="6" t="s">
        <v>241</v>
      </c>
      <c r="D499" s="6"/>
      <c r="E499" s="6" t="s">
        <v>73</v>
      </c>
      <c r="F499" s="6" t="s">
        <v>73</v>
      </c>
      <c r="G499" s="6"/>
      <c r="H499" s="6"/>
      <c r="I499" s="6"/>
      <c r="J499" s="6"/>
      <c r="K499" s="6">
        <v>800611</v>
      </c>
      <c r="L499" s="72"/>
      <c r="M499" s="6"/>
      <c r="N499" s="46" t="s">
        <v>1102</v>
      </c>
      <c r="O499" s="6">
        <v>3530461138</v>
      </c>
      <c r="P499" s="48" t="s">
        <v>1101</v>
      </c>
      <c r="Q499" s="6">
        <v>18101</v>
      </c>
      <c r="R499" s="6">
        <v>27190</v>
      </c>
      <c r="S499" s="5" t="str">
        <f>VLOOKUP(T499,'[1]Kode Posisi'!$A$3:$B$45,2,)</f>
        <v>Outsourcing Petugas Pemeliharaan Gedung</v>
      </c>
      <c r="T499" t="s">
        <v>247</v>
      </c>
      <c r="U499" s="6" t="s">
        <v>1100</v>
      </c>
      <c r="V499" s="44" t="s">
        <v>1099</v>
      </c>
      <c r="W499" s="5" t="s">
        <v>1098</v>
      </c>
      <c r="X499" s="36" t="s">
        <v>1097</v>
      </c>
      <c r="Y499" t="s">
        <v>63</v>
      </c>
      <c r="Z499" s="57" t="s">
        <v>1096</v>
      </c>
      <c r="AA499" t="s">
        <v>1095</v>
      </c>
      <c r="AB499" s="47">
        <v>3183000</v>
      </c>
      <c r="AC499" s="41">
        <v>3183000</v>
      </c>
      <c r="AD499" s="71">
        <v>2995000</v>
      </c>
      <c r="AE499" s="16">
        <f t="shared" si="228"/>
        <v>188000</v>
      </c>
      <c r="AF499" s="16">
        <v>0</v>
      </c>
      <c r="AG499" s="17">
        <v>0</v>
      </c>
      <c r="AI499" s="16">
        <v>0</v>
      </c>
      <c r="AK499" s="16">
        <v>0</v>
      </c>
      <c r="AL499" s="11">
        <f t="shared" si="210"/>
        <v>3183000</v>
      </c>
      <c r="AM499" s="16">
        <f t="shared" si="211"/>
        <v>325939.19999999995</v>
      </c>
      <c r="AN499" s="16">
        <f t="shared" si="212"/>
        <v>127320</v>
      </c>
      <c r="AO499" s="16">
        <f t="shared" si="229"/>
        <v>198619.19999999998</v>
      </c>
      <c r="AP499" s="16">
        <f t="shared" si="213"/>
        <v>117771</v>
      </c>
      <c r="AQ499" s="16">
        <f t="shared" si="214"/>
        <v>3508939.2</v>
      </c>
      <c r="AR499" s="16">
        <f t="shared" ref="AR499:AR562" si="231">SUM(AQ499*0.06)</f>
        <v>210536.35200000001</v>
      </c>
      <c r="AS499" s="16">
        <f t="shared" si="215"/>
        <v>23158.998720000003</v>
      </c>
      <c r="AT499" s="16">
        <f t="shared" si="216"/>
        <v>-4210.7270400000007</v>
      </c>
      <c r="AU499" s="16">
        <f t="shared" si="217"/>
        <v>3715264.8249600003</v>
      </c>
      <c r="AV499" s="16">
        <f t="shared" si="218"/>
        <v>3719475.5520000001</v>
      </c>
      <c r="AW499" s="16">
        <f t="shared" si="219"/>
        <v>127320</v>
      </c>
      <c r="AX499" s="16" t="s">
        <v>235</v>
      </c>
      <c r="AZ499" s="17">
        <f t="shared" si="227"/>
        <v>2900</v>
      </c>
      <c r="BA499" s="16">
        <f t="shared" si="220"/>
        <v>3055680</v>
      </c>
      <c r="BB499" s="16">
        <f t="shared" si="221"/>
        <v>3052780</v>
      </c>
      <c r="BC499" s="15">
        <v>0.03</v>
      </c>
      <c r="BD499">
        <v>0.01</v>
      </c>
      <c r="BE499" s="37">
        <f t="shared" si="222"/>
        <v>294109.2</v>
      </c>
      <c r="BF499" s="38">
        <f t="shared" si="223"/>
        <v>181431.00000000003</v>
      </c>
      <c r="BG499" s="37">
        <f t="shared" si="230"/>
        <v>149750</v>
      </c>
      <c r="BH499" s="37">
        <f t="shared" si="224"/>
        <v>159150</v>
      </c>
      <c r="BI499">
        <v>149750</v>
      </c>
      <c r="BL499" s="8">
        <f t="shared" si="225"/>
        <v>0</v>
      </c>
      <c r="BM499" s="7" t="str">
        <f t="shared" ref="BM499:BM562" si="232">IF(AND(BC499=0.03,BD499=0.01),"Terdaftar BPJS Kes &amp; Naker","Tidak Terdaftar")</f>
        <v>Terdaftar BPJS Kes &amp; Naker</v>
      </c>
      <c r="BN499" s="11">
        <f t="shared" ref="BN499:BN537" si="233">AC499*5.7%</f>
        <v>181431</v>
      </c>
      <c r="BO499" s="11">
        <f t="shared" ref="BO499:BO562" si="234">AC499*4.54%</f>
        <v>144508.20000000001</v>
      </c>
      <c r="BP499" s="9">
        <f t="shared" si="226"/>
        <v>0</v>
      </c>
      <c r="BQ499" t="s">
        <v>8</v>
      </c>
    </row>
    <row r="500" spans="1:69" x14ac:dyDescent="0.3">
      <c r="A500" s="2">
        <v>499</v>
      </c>
      <c r="B500" s="4" t="s">
        <v>1094</v>
      </c>
      <c r="C500" s="6" t="s">
        <v>241</v>
      </c>
      <c r="D500" s="6"/>
      <c r="E500" s="6" t="s">
        <v>73</v>
      </c>
      <c r="F500" s="6" t="s">
        <v>73</v>
      </c>
      <c r="G500" s="6"/>
      <c r="H500" s="6"/>
      <c r="I500" s="6"/>
      <c r="J500" s="6"/>
      <c r="K500" s="6">
        <v>800614</v>
      </c>
      <c r="L500" s="72"/>
      <c r="M500" s="6"/>
      <c r="N500" s="46" t="s">
        <v>1093</v>
      </c>
      <c r="O500" s="6">
        <v>742997823</v>
      </c>
      <c r="P500" s="48" t="s">
        <v>1092</v>
      </c>
      <c r="Q500" s="6">
        <v>10111</v>
      </c>
      <c r="R500" s="6">
        <v>27111</v>
      </c>
      <c r="S500" s="5" t="str">
        <f>VLOOKUP(T500,'[1]Kode Posisi'!$A$3:$B$45,2,)</f>
        <v>Outsourcing Keamanan</v>
      </c>
      <c r="T500" s="36" t="s">
        <v>37</v>
      </c>
      <c r="U500" s="6" t="e">
        <v>#N/A</v>
      </c>
      <c r="V500" s="44" t="s">
        <v>1091</v>
      </c>
      <c r="W500" s="5" t="s">
        <v>1090</v>
      </c>
      <c r="X500" s="5" t="s">
        <v>1090</v>
      </c>
      <c r="Y500" t="s">
        <v>262</v>
      </c>
      <c r="Z500" s="46" t="s">
        <v>1089</v>
      </c>
      <c r="AA500" t="s">
        <v>1088</v>
      </c>
      <c r="AB500" s="47">
        <v>5289000</v>
      </c>
      <c r="AC500" s="41">
        <v>5289000</v>
      </c>
      <c r="AD500" s="73">
        <v>4962000</v>
      </c>
      <c r="AE500" s="16">
        <f t="shared" si="228"/>
        <v>327000</v>
      </c>
      <c r="AF500" s="16">
        <v>0</v>
      </c>
      <c r="AG500" s="17">
        <v>0</v>
      </c>
      <c r="AI500" s="16">
        <v>0</v>
      </c>
      <c r="AK500" s="16">
        <v>0</v>
      </c>
      <c r="AL500" s="11">
        <f t="shared" si="210"/>
        <v>5289000</v>
      </c>
      <c r="AM500" s="16">
        <f t="shared" si="211"/>
        <v>541593.59999999998</v>
      </c>
      <c r="AN500" s="16">
        <f t="shared" si="212"/>
        <v>211560</v>
      </c>
      <c r="AO500" s="16">
        <f t="shared" si="229"/>
        <v>330033.59999999998</v>
      </c>
      <c r="AP500" s="16">
        <f t="shared" si="213"/>
        <v>195693</v>
      </c>
      <c r="AQ500" s="16">
        <f t="shared" si="214"/>
        <v>5830593.5999999996</v>
      </c>
      <c r="AR500" s="16">
        <f t="shared" si="231"/>
        <v>349835.61599999998</v>
      </c>
      <c r="AS500" s="16">
        <f t="shared" si="215"/>
        <v>38481.917759999997</v>
      </c>
      <c r="AT500" s="16">
        <f t="shared" si="216"/>
        <v>-6996.7123199999996</v>
      </c>
      <c r="AU500" s="16">
        <f t="shared" si="217"/>
        <v>6173432.5036800001</v>
      </c>
      <c r="AV500" s="16">
        <f t="shared" si="218"/>
        <v>6180429.216</v>
      </c>
      <c r="AW500" s="16">
        <f t="shared" si="219"/>
        <v>211560</v>
      </c>
      <c r="AX500" s="16" t="s">
        <v>235</v>
      </c>
      <c r="AZ500" s="17">
        <f t="shared" si="227"/>
        <v>2900</v>
      </c>
      <c r="BA500" s="16">
        <f t="shared" si="220"/>
        <v>5077440</v>
      </c>
      <c r="BB500" s="16">
        <f t="shared" si="221"/>
        <v>5074540</v>
      </c>
      <c r="BC500" s="15">
        <v>0.03</v>
      </c>
      <c r="BD500">
        <v>0.01</v>
      </c>
      <c r="BE500" s="37">
        <f t="shared" si="222"/>
        <v>488703.6</v>
      </c>
      <c r="BF500" s="38">
        <f t="shared" si="223"/>
        <v>301473</v>
      </c>
      <c r="BG500" s="37">
        <f t="shared" si="230"/>
        <v>248100</v>
      </c>
      <c r="BH500" s="37">
        <f t="shared" si="224"/>
        <v>264450</v>
      </c>
      <c r="BI500">
        <v>248100</v>
      </c>
      <c r="BL500" s="8">
        <f t="shared" si="225"/>
        <v>0</v>
      </c>
      <c r="BM500" s="7" t="str">
        <f t="shared" si="232"/>
        <v>Terdaftar BPJS Kes &amp; Naker</v>
      </c>
      <c r="BN500" s="11">
        <f t="shared" si="233"/>
        <v>301473</v>
      </c>
      <c r="BO500" s="11">
        <f t="shared" si="234"/>
        <v>240120.6</v>
      </c>
      <c r="BP500" s="9">
        <f t="shared" si="226"/>
        <v>0</v>
      </c>
      <c r="BQ500" t="str">
        <f>_xlfn.XLOOKUP(X500,'[2]NON TETAP'!$H:$H,'[2]NON TETAP'!$I:$I)</f>
        <v>GRAMEDIA ASRI MEDIA</v>
      </c>
    </row>
    <row r="501" spans="1:69" x14ac:dyDescent="0.3">
      <c r="A501" s="2">
        <v>500</v>
      </c>
      <c r="B501" s="4" t="s">
        <v>1080</v>
      </c>
      <c r="C501" s="6" t="s">
        <v>241</v>
      </c>
      <c r="D501" s="6"/>
      <c r="E501" s="6" t="s">
        <v>73</v>
      </c>
      <c r="F501" s="6" t="s">
        <v>73</v>
      </c>
      <c r="G501" s="6" t="s">
        <v>73</v>
      </c>
      <c r="H501" s="6"/>
      <c r="I501" s="6"/>
      <c r="J501" s="6"/>
      <c r="K501" s="6">
        <v>800615</v>
      </c>
      <c r="L501" s="72"/>
      <c r="M501" s="6"/>
      <c r="N501" s="46" t="s">
        <v>1087</v>
      </c>
      <c r="O501" s="6">
        <v>2233918811</v>
      </c>
      <c r="P501" s="48" t="s">
        <v>1086</v>
      </c>
      <c r="Q501" s="6">
        <v>10489</v>
      </c>
      <c r="R501" s="6">
        <v>27489</v>
      </c>
      <c r="S501" s="5" t="str">
        <f>VLOOKUP(T501,'[1]Kode Posisi'!$A$3:$B$45,2,)</f>
        <v>Outsourcing Keamanan</v>
      </c>
      <c r="T501" s="36" t="s">
        <v>37</v>
      </c>
      <c r="U501" s="6" t="s">
        <v>1085</v>
      </c>
      <c r="V501" s="44" t="s">
        <v>1084</v>
      </c>
      <c r="W501" s="5" t="s">
        <v>1083</v>
      </c>
      <c r="X501" s="5" t="s">
        <v>1082</v>
      </c>
      <c r="Y501" t="s">
        <v>52</v>
      </c>
      <c r="Z501" s="57" t="s">
        <v>1081</v>
      </c>
      <c r="AA501" t="s">
        <v>1080</v>
      </c>
      <c r="AB501" s="47">
        <v>5248000</v>
      </c>
      <c r="AC501" s="41">
        <v>5248000</v>
      </c>
      <c r="AD501" s="3">
        <v>4975000</v>
      </c>
      <c r="AE501" s="16">
        <f t="shared" si="228"/>
        <v>273000</v>
      </c>
      <c r="AF501" s="16">
        <v>0</v>
      </c>
      <c r="AG501" s="17">
        <v>0</v>
      </c>
      <c r="AI501" s="16">
        <v>201300.57803468208</v>
      </c>
      <c r="AK501" s="16">
        <v>0</v>
      </c>
      <c r="AL501" s="11">
        <f t="shared" si="210"/>
        <v>5449300.5780346822</v>
      </c>
      <c r="AM501" s="16">
        <f t="shared" si="211"/>
        <v>537395.19999999995</v>
      </c>
      <c r="AN501" s="16">
        <f t="shared" si="212"/>
        <v>209920</v>
      </c>
      <c r="AO501" s="16">
        <f t="shared" si="229"/>
        <v>327475.20000000001</v>
      </c>
      <c r="AP501" s="16">
        <f t="shared" si="213"/>
        <v>194176</v>
      </c>
      <c r="AQ501" s="16">
        <f t="shared" si="214"/>
        <v>5986695.7780346824</v>
      </c>
      <c r="AR501" s="16">
        <f t="shared" si="231"/>
        <v>359201.74668208091</v>
      </c>
      <c r="AS501" s="16">
        <f t="shared" si="215"/>
        <v>39512.192135028898</v>
      </c>
      <c r="AT501" s="16">
        <f t="shared" si="216"/>
        <v>-7184.0349336416184</v>
      </c>
      <c r="AU501" s="16">
        <f t="shared" si="217"/>
        <v>6338713.4897831213</v>
      </c>
      <c r="AV501" s="16">
        <f t="shared" si="218"/>
        <v>6345897.5247167628</v>
      </c>
      <c r="AW501" s="16">
        <f t="shared" si="219"/>
        <v>209920</v>
      </c>
      <c r="AX501" s="16" t="s">
        <v>319</v>
      </c>
      <c r="AZ501" s="17">
        <f t="shared" si="227"/>
        <v>0</v>
      </c>
      <c r="BA501" s="16">
        <f t="shared" si="220"/>
        <v>5239380.5780346822</v>
      </c>
      <c r="BB501" s="16">
        <f t="shared" si="221"/>
        <v>5239380.5780346822</v>
      </c>
      <c r="BC501" s="15">
        <v>0.03</v>
      </c>
      <c r="BD501">
        <v>0.01</v>
      </c>
      <c r="BE501" s="37">
        <f t="shared" si="222"/>
        <v>484915.19999999995</v>
      </c>
      <c r="BF501" s="38">
        <f t="shared" si="223"/>
        <v>299136</v>
      </c>
      <c r="BG501" s="37">
        <f t="shared" si="230"/>
        <v>248750</v>
      </c>
      <c r="BH501" s="37">
        <f t="shared" si="224"/>
        <v>262400</v>
      </c>
      <c r="BI501">
        <v>248750</v>
      </c>
      <c r="BL501" s="8">
        <f t="shared" si="225"/>
        <v>201300.57803468208</v>
      </c>
      <c r="BM501" s="7" t="str">
        <f t="shared" si="232"/>
        <v>Terdaftar BPJS Kes &amp; Naker</v>
      </c>
      <c r="BN501" s="11">
        <f t="shared" si="233"/>
        <v>299136</v>
      </c>
      <c r="BO501" s="11">
        <f t="shared" si="234"/>
        <v>238259.20000000001</v>
      </c>
      <c r="BP501" s="9">
        <f t="shared" si="226"/>
        <v>0</v>
      </c>
      <c r="BQ501" t="str">
        <f>_xlfn.XLOOKUP(X501,'[2]NON TETAP'!$H:$H,'[2]NON TETAP'!$I:$I)</f>
        <v>GRAMEDIA ASRI MEDIA</v>
      </c>
    </row>
    <row r="502" spans="1:69" x14ac:dyDescent="0.3">
      <c r="A502" s="2">
        <v>501</v>
      </c>
      <c r="B502" s="5" t="s">
        <v>1079</v>
      </c>
      <c r="C502" s="6" t="s">
        <v>241</v>
      </c>
      <c r="D502" s="6"/>
      <c r="E502" s="6" t="s">
        <v>73</v>
      </c>
      <c r="F502" s="6" t="s">
        <v>73</v>
      </c>
      <c r="G502" s="6"/>
      <c r="H502" s="6"/>
      <c r="I502" s="6"/>
      <c r="J502" s="6"/>
      <c r="K502" s="6">
        <v>800624</v>
      </c>
      <c r="L502" s="6"/>
      <c r="M502" s="6"/>
      <c r="N502" s="46" t="s">
        <v>1078</v>
      </c>
      <c r="O502" s="6">
        <v>565799049</v>
      </c>
      <c r="P502" t="s">
        <v>1077</v>
      </c>
      <c r="Q502" s="6">
        <v>33092</v>
      </c>
      <c r="R502" s="6">
        <v>27522</v>
      </c>
      <c r="S502" s="5" t="str">
        <f>VLOOKUP(T502,'[1]Kode Posisi'!$A$3:$B$45,2,)</f>
        <v>Outsourcing Penjualan</v>
      </c>
      <c r="T502" t="s">
        <v>26</v>
      </c>
      <c r="U502" s="6" t="e">
        <v>#N/A</v>
      </c>
      <c r="V502" s="44" t="s">
        <v>1076</v>
      </c>
      <c r="W502" s="5" t="s">
        <v>185</v>
      </c>
      <c r="X502" s="49" t="s">
        <v>184</v>
      </c>
      <c r="Y502" t="s">
        <v>52</v>
      </c>
      <c r="Z502" s="46">
        <v>4740563110</v>
      </c>
      <c r="AA502" t="s">
        <v>1075</v>
      </c>
      <c r="AB502" s="47">
        <v>5730000</v>
      </c>
      <c r="AC502" s="41">
        <v>5730000</v>
      </c>
      <c r="AD502" s="71">
        <v>5397000</v>
      </c>
      <c r="AE502" s="16">
        <f t="shared" si="228"/>
        <v>333000</v>
      </c>
      <c r="AF502" s="16">
        <v>0</v>
      </c>
      <c r="AG502" s="17">
        <v>0</v>
      </c>
      <c r="AI502" s="16">
        <v>0</v>
      </c>
      <c r="AK502" s="16">
        <v>0</v>
      </c>
      <c r="AL502" s="11">
        <f t="shared" si="210"/>
        <v>5730000</v>
      </c>
      <c r="AM502" s="16">
        <f t="shared" si="211"/>
        <v>586752</v>
      </c>
      <c r="AN502" s="16">
        <f t="shared" si="212"/>
        <v>229200</v>
      </c>
      <c r="AO502" s="16">
        <f t="shared" si="229"/>
        <v>357552</v>
      </c>
      <c r="AP502" s="16">
        <f t="shared" si="213"/>
        <v>212010</v>
      </c>
      <c r="AQ502" s="16">
        <f t="shared" si="214"/>
        <v>6316752</v>
      </c>
      <c r="AR502" s="16">
        <f t="shared" si="231"/>
        <v>379005.12</v>
      </c>
      <c r="AS502" s="16">
        <f t="shared" si="215"/>
        <v>41690.563199999997</v>
      </c>
      <c r="AT502" s="16">
        <f t="shared" si="216"/>
        <v>-7580.1023999999998</v>
      </c>
      <c r="AU502" s="16">
        <f t="shared" si="217"/>
        <v>6688177.0175999999</v>
      </c>
      <c r="AV502" s="16">
        <f t="shared" si="218"/>
        <v>6695757.1200000001</v>
      </c>
      <c r="AW502" s="16">
        <f t="shared" si="219"/>
        <v>229200</v>
      </c>
      <c r="AX502" s="16" t="s">
        <v>235</v>
      </c>
      <c r="AZ502" s="17">
        <f t="shared" si="227"/>
        <v>0</v>
      </c>
      <c r="BA502" s="16">
        <f t="shared" si="220"/>
        <v>5500800</v>
      </c>
      <c r="BB502" s="16">
        <f t="shared" si="221"/>
        <v>5500800</v>
      </c>
      <c r="BC502">
        <v>0.03</v>
      </c>
      <c r="BD502">
        <v>0.01</v>
      </c>
      <c r="BE502" s="37">
        <f t="shared" si="222"/>
        <v>529452</v>
      </c>
      <c r="BF502" s="38">
        <f t="shared" si="223"/>
        <v>326610</v>
      </c>
      <c r="BG502" s="37">
        <f t="shared" si="230"/>
        <v>269850</v>
      </c>
      <c r="BH502" s="37">
        <f t="shared" si="224"/>
        <v>286500</v>
      </c>
      <c r="BI502">
        <v>269850</v>
      </c>
      <c r="BL502" s="8">
        <f t="shared" si="225"/>
        <v>0</v>
      </c>
      <c r="BM502" s="7" t="str">
        <f t="shared" si="232"/>
        <v>Terdaftar BPJS Kes &amp; Naker</v>
      </c>
      <c r="BN502" s="11">
        <f t="shared" si="233"/>
        <v>326610</v>
      </c>
      <c r="BO502" s="11">
        <f t="shared" si="234"/>
        <v>260142.00000000003</v>
      </c>
      <c r="BP502" s="9">
        <f t="shared" si="226"/>
        <v>0</v>
      </c>
      <c r="BQ502" t="str">
        <f>_xlfn.XLOOKUP(X502,'[2]NON TETAP'!$H:$H,'[2]NON TETAP'!$I:$I)</f>
        <v>GRAMEDIA ASRI MEDIA</v>
      </c>
    </row>
    <row r="503" spans="1:69" x14ac:dyDescent="0.3">
      <c r="A503" s="2">
        <v>502</v>
      </c>
      <c r="B503" s="4" t="s">
        <v>1074</v>
      </c>
      <c r="C503" s="6" t="s">
        <v>241</v>
      </c>
      <c r="D503" s="6"/>
      <c r="E503" s="6" t="s">
        <v>73</v>
      </c>
      <c r="F503" s="6"/>
      <c r="G503" s="6"/>
      <c r="H503" s="6"/>
      <c r="I503" s="6"/>
      <c r="J503" s="6"/>
      <c r="K503" s="6">
        <v>800625</v>
      </c>
      <c r="L503" s="6"/>
      <c r="M503" s="6"/>
      <c r="N503" s="46" t="s">
        <v>1073</v>
      </c>
      <c r="O503" s="6">
        <v>2070988018</v>
      </c>
      <c r="P503" s="48" t="s">
        <v>1072</v>
      </c>
      <c r="Q503" s="6">
        <v>26010</v>
      </c>
      <c r="R503" s="6">
        <v>27001</v>
      </c>
      <c r="S503" s="5" t="str">
        <f>VLOOKUP(T503,'[1]Kode Posisi'!$A$3:$B$45,2,)</f>
        <v>Outsourcing Penjualan</v>
      </c>
      <c r="T503" t="s">
        <v>907</v>
      </c>
      <c r="U503" s="6" t="s">
        <v>1071</v>
      </c>
      <c r="V503" s="44" t="s">
        <v>1070</v>
      </c>
      <c r="W503" s="5" t="s">
        <v>1069</v>
      </c>
      <c r="X503" s="36" t="s">
        <v>1069</v>
      </c>
      <c r="Y503" t="s">
        <v>52</v>
      </c>
      <c r="Z503" s="57" t="s">
        <v>1068</v>
      </c>
      <c r="AA503" t="s">
        <v>1067</v>
      </c>
      <c r="AB503" s="47">
        <v>2850000</v>
      </c>
      <c r="AC503" s="41">
        <v>2828000</v>
      </c>
      <c r="AD503" s="52"/>
      <c r="AE503" s="16">
        <f>AB503-AF503</f>
        <v>2850000</v>
      </c>
      <c r="AG503" s="17">
        <v>0</v>
      </c>
      <c r="AI503" s="16">
        <v>0</v>
      </c>
      <c r="AK503" s="16">
        <v>0</v>
      </c>
      <c r="AL503" s="11">
        <f t="shared" si="210"/>
        <v>2850000</v>
      </c>
      <c r="AM503" s="16">
        <f t="shared" si="211"/>
        <v>289587.19999999995</v>
      </c>
      <c r="AN503" s="16">
        <f t="shared" si="212"/>
        <v>113120</v>
      </c>
      <c r="AO503" s="16">
        <f t="shared" si="229"/>
        <v>176467.19999999998</v>
      </c>
      <c r="AP503" s="16">
        <f t="shared" si="213"/>
        <v>105450</v>
      </c>
      <c r="AQ503" s="16">
        <f t="shared" si="214"/>
        <v>3139587.2</v>
      </c>
      <c r="AR503" s="16">
        <f t="shared" si="231"/>
        <v>188375.23200000002</v>
      </c>
      <c r="AS503" s="16">
        <f t="shared" si="215"/>
        <v>20721.275520000003</v>
      </c>
      <c r="AT503" s="16">
        <f t="shared" si="216"/>
        <v>-3767.5046400000006</v>
      </c>
      <c r="AU503" s="16">
        <f t="shared" si="217"/>
        <v>3324194.9273600001</v>
      </c>
      <c r="AV503" s="16">
        <f t="shared" si="218"/>
        <v>3327962.432</v>
      </c>
      <c r="AW503" s="16">
        <f t="shared" si="219"/>
        <v>113120</v>
      </c>
      <c r="AX503" s="16" t="s">
        <v>235</v>
      </c>
      <c r="AZ503" s="17">
        <f t="shared" si="227"/>
        <v>0</v>
      </c>
      <c r="BA503" s="16">
        <f t="shared" si="220"/>
        <v>2736880</v>
      </c>
      <c r="BB503" s="16">
        <f t="shared" si="221"/>
        <v>2736880</v>
      </c>
      <c r="BC503" s="15">
        <v>0.03</v>
      </c>
      <c r="BD503">
        <v>0.01</v>
      </c>
      <c r="BE503" s="37">
        <f t="shared" si="222"/>
        <v>261307.19999999998</v>
      </c>
      <c r="BF503" s="38">
        <f t="shared" si="223"/>
        <v>161196</v>
      </c>
      <c r="BG503" s="37">
        <f t="shared" si="230"/>
        <v>0</v>
      </c>
      <c r="BH503" s="37">
        <f t="shared" si="224"/>
        <v>141400</v>
      </c>
      <c r="BI503">
        <v>133750</v>
      </c>
      <c r="BL503" s="8">
        <f t="shared" si="225"/>
        <v>0</v>
      </c>
      <c r="BM503" s="7" t="str">
        <f t="shared" si="232"/>
        <v>Terdaftar BPJS Kes &amp; Naker</v>
      </c>
      <c r="BN503" s="11">
        <f t="shared" si="233"/>
        <v>161196</v>
      </c>
      <c r="BO503" s="11">
        <f t="shared" si="234"/>
        <v>128391.20000000001</v>
      </c>
      <c r="BP503" s="9">
        <f t="shared" si="226"/>
        <v>0</v>
      </c>
      <c r="BQ503" t="str">
        <f>_xlfn.XLOOKUP(X503,'[2]NON TETAP'!$H:$H,'[2]NON TETAP'!$I:$I)</f>
        <v>ELTI</v>
      </c>
    </row>
    <row r="504" spans="1:69" s="19" customFormat="1" x14ac:dyDescent="0.3">
      <c r="A504" s="28">
        <v>503</v>
      </c>
      <c r="B504" s="27" t="s">
        <v>1066</v>
      </c>
      <c r="C504" s="26" t="s">
        <v>241</v>
      </c>
      <c r="D504" s="26"/>
      <c r="E504" s="26" t="s">
        <v>73</v>
      </c>
      <c r="F504" s="26"/>
      <c r="G504" s="26"/>
      <c r="H504" s="26"/>
      <c r="I504" s="26"/>
      <c r="J504" s="26"/>
      <c r="K504" s="26">
        <v>800627</v>
      </c>
      <c r="L504" s="26"/>
      <c r="M504" s="26"/>
      <c r="N504" s="67" t="s">
        <v>1065</v>
      </c>
      <c r="O504" s="26">
        <v>2245347099</v>
      </c>
      <c r="P504" s="70" t="s">
        <v>1064</v>
      </c>
      <c r="Q504" s="26">
        <v>26013</v>
      </c>
      <c r="R504" s="26">
        <v>27003</v>
      </c>
      <c r="S504" s="25" t="str">
        <f>VLOOKUP(T504,'[1]Kode Posisi'!$A$3:$B$45,2,)</f>
        <v>Outsourcing Penjualan</v>
      </c>
      <c r="T504" s="68" t="s">
        <v>1063</v>
      </c>
      <c r="U504" s="26" t="s">
        <v>1062</v>
      </c>
      <c r="V504" s="69" t="s">
        <v>1061</v>
      </c>
      <c r="W504" s="25" t="s">
        <v>1060</v>
      </c>
      <c r="X504" s="68" t="s">
        <v>1060</v>
      </c>
      <c r="Y504" s="19" t="s">
        <v>52</v>
      </c>
      <c r="Z504" s="67">
        <v>4220648511</v>
      </c>
      <c r="AA504" s="19" t="s">
        <v>1059</v>
      </c>
      <c r="AB504" s="24">
        <v>2500000</v>
      </c>
      <c r="AC504" s="66">
        <v>2475000</v>
      </c>
      <c r="AD504" s="65" t="s">
        <v>1058</v>
      </c>
      <c r="AE504" s="22">
        <f>AB504-AD504</f>
        <v>161000</v>
      </c>
      <c r="AF504" s="22"/>
      <c r="AG504" s="23">
        <v>0</v>
      </c>
      <c r="AI504" s="22">
        <v>0</v>
      </c>
      <c r="AK504" s="22">
        <v>0</v>
      </c>
      <c r="AL504" s="20">
        <f t="shared" si="210"/>
        <v>2500000</v>
      </c>
      <c r="AM504" s="22">
        <f t="shared" si="211"/>
        <v>253440</v>
      </c>
      <c r="AN504" s="22">
        <f t="shared" si="212"/>
        <v>99000</v>
      </c>
      <c r="AO504" s="22">
        <f t="shared" si="229"/>
        <v>154440</v>
      </c>
      <c r="AP504" s="22">
        <f t="shared" si="213"/>
        <v>92500</v>
      </c>
      <c r="AQ504" s="22">
        <f t="shared" si="214"/>
        <v>2753440</v>
      </c>
      <c r="AR504" s="22">
        <f t="shared" si="231"/>
        <v>165206.39999999999</v>
      </c>
      <c r="AS504" s="22">
        <f t="shared" si="215"/>
        <v>18172.703999999998</v>
      </c>
      <c r="AT504" s="22">
        <f t="shared" si="216"/>
        <v>-3304.1280000000002</v>
      </c>
      <c r="AU504" s="22">
        <f t="shared" si="217"/>
        <v>2915342.2719999999</v>
      </c>
      <c r="AV504" s="22">
        <f t="shared" si="218"/>
        <v>2918646.4</v>
      </c>
      <c r="AW504" s="22">
        <f t="shared" si="219"/>
        <v>99000</v>
      </c>
      <c r="AX504" s="22" t="s">
        <v>235</v>
      </c>
      <c r="AZ504" s="23">
        <f t="shared" si="227"/>
        <v>0</v>
      </c>
      <c r="BA504" s="22">
        <f t="shared" si="220"/>
        <v>2401000</v>
      </c>
      <c r="BB504" s="22">
        <f t="shared" si="221"/>
        <v>2401000</v>
      </c>
      <c r="BC504" s="21">
        <v>0.03</v>
      </c>
      <c r="BD504" s="19">
        <v>0.01</v>
      </c>
      <c r="BE504" s="64">
        <f t="shared" si="222"/>
        <v>228690</v>
      </c>
      <c r="BF504" s="64">
        <f t="shared" si="223"/>
        <v>141075</v>
      </c>
      <c r="BG504" s="64">
        <f t="shared" si="230"/>
        <v>116950</v>
      </c>
      <c r="BH504" s="64">
        <f t="shared" si="224"/>
        <v>123750</v>
      </c>
      <c r="BI504" s="19">
        <v>116950</v>
      </c>
      <c r="BJ504" s="28">
        <v>116950</v>
      </c>
      <c r="BL504" s="63">
        <f t="shared" si="225"/>
        <v>0</v>
      </c>
      <c r="BM504" s="62" t="str">
        <f t="shared" si="232"/>
        <v>Terdaftar BPJS Kes &amp; Naker</v>
      </c>
      <c r="BN504" s="20">
        <f t="shared" si="233"/>
        <v>141075</v>
      </c>
      <c r="BO504" s="20">
        <f t="shared" si="234"/>
        <v>112365</v>
      </c>
      <c r="BP504" s="13">
        <f t="shared" si="226"/>
        <v>0</v>
      </c>
      <c r="BQ504" t="str">
        <f>_xlfn.XLOOKUP(X504,'[2]NON TETAP'!$H:$H,'[2]NON TETAP'!$I:$I)</f>
        <v>ELTI</v>
      </c>
    </row>
    <row r="505" spans="1:69" x14ac:dyDescent="0.3">
      <c r="A505" s="2">
        <v>504</v>
      </c>
      <c r="B505" s="4" t="s">
        <v>1054</v>
      </c>
      <c r="C505" s="6" t="s">
        <v>241</v>
      </c>
      <c r="D505" s="6"/>
      <c r="E505" s="6" t="s">
        <v>73</v>
      </c>
      <c r="F505" s="6" t="s">
        <v>73</v>
      </c>
      <c r="G505" s="6"/>
      <c r="H505" s="6"/>
      <c r="I505" s="6"/>
      <c r="J505" s="6"/>
      <c r="K505" s="6">
        <v>800628</v>
      </c>
      <c r="L505" s="6"/>
      <c r="M505" s="6"/>
      <c r="N505" s="46" t="s">
        <v>1040</v>
      </c>
      <c r="O505" s="6">
        <v>371420572</v>
      </c>
      <c r="P505" s="48" t="s">
        <v>1057</v>
      </c>
      <c r="Q505" s="6">
        <v>10477</v>
      </c>
      <c r="R505" s="6">
        <v>27477</v>
      </c>
      <c r="S505" s="5" t="str">
        <f>VLOOKUP(T505,'[1]Kode Posisi'!$A$3:$B$45,2,)</f>
        <v>Outsourcing Cleaning Service</v>
      </c>
      <c r="T505" t="s">
        <v>47</v>
      </c>
      <c r="U505" s="6"/>
      <c r="V505" s="44" t="s">
        <v>1056</v>
      </c>
      <c r="W505" s="5" t="s">
        <v>12</v>
      </c>
      <c r="X505" s="5" t="s">
        <v>11</v>
      </c>
      <c r="Y505" t="s">
        <v>52</v>
      </c>
      <c r="Z505" s="46" t="s">
        <v>1055</v>
      </c>
      <c r="AA505" t="s">
        <v>1054</v>
      </c>
      <c r="AB505" s="47">
        <v>5730000</v>
      </c>
      <c r="AC505" s="41">
        <v>5730000</v>
      </c>
      <c r="AD505" s="52" t="s">
        <v>177</v>
      </c>
      <c r="AE505" s="16"/>
      <c r="AF505" s="16"/>
      <c r="AG505" s="17"/>
      <c r="AI505" s="16">
        <v>0</v>
      </c>
      <c r="AK505" s="16">
        <v>0</v>
      </c>
      <c r="AL505" s="11">
        <f t="shared" si="210"/>
        <v>5730000</v>
      </c>
      <c r="AM505" s="16">
        <f t="shared" si="211"/>
        <v>586752</v>
      </c>
      <c r="AN505" s="16">
        <f t="shared" si="212"/>
        <v>229200</v>
      </c>
      <c r="AO505" s="16">
        <f t="shared" si="229"/>
        <v>357552</v>
      </c>
      <c r="AP505" s="16">
        <f t="shared" si="213"/>
        <v>212010</v>
      </c>
      <c r="AQ505" s="16">
        <f t="shared" si="214"/>
        <v>6316752</v>
      </c>
      <c r="AR505" s="16">
        <f t="shared" si="231"/>
        <v>379005.12</v>
      </c>
      <c r="AS505" s="16">
        <f t="shared" si="215"/>
        <v>41690.563199999997</v>
      </c>
      <c r="AT505" s="16">
        <f t="shared" si="216"/>
        <v>-7580.1023999999998</v>
      </c>
      <c r="AU505" s="16">
        <f t="shared" si="217"/>
        <v>6688177.0175999999</v>
      </c>
      <c r="AV505" s="16">
        <f t="shared" si="218"/>
        <v>6695757.1200000001</v>
      </c>
      <c r="AW505" s="16">
        <f t="shared" si="219"/>
        <v>229200</v>
      </c>
      <c r="AX505" s="16" t="s">
        <v>235</v>
      </c>
      <c r="AZ505" s="17">
        <f t="shared" si="227"/>
        <v>0</v>
      </c>
      <c r="BA505" s="16">
        <f t="shared" si="220"/>
        <v>5500800</v>
      </c>
      <c r="BB505" s="16">
        <f t="shared" si="221"/>
        <v>5500800</v>
      </c>
      <c r="BC505" s="15">
        <v>0.03</v>
      </c>
      <c r="BD505">
        <v>0.01</v>
      </c>
      <c r="BE505" s="37">
        <f t="shared" si="222"/>
        <v>529452</v>
      </c>
      <c r="BF505" s="38">
        <f t="shared" si="223"/>
        <v>326610</v>
      </c>
      <c r="BG505" s="37">
        <f t="shared" si="230"/>
        <v>269850</v>
      </c>
      <c r="BH505" s="37">
        <f t="shared" si="224"/>
        <v>286500</v>
      </c>
      <c r="BI505">
        <v>269850</v>
      </c>
      <c r="BL505" s="8">
        <f t="shared" si="225"/>
        <v>0</v>
      </c>
      <c r="BM505" s="7" t="str">
        <f t="shared" si="232"/>
        <v>Terdaftar BPJS Kes &amp; Naker</v>
      </c>
      <c r="BN505" s="11">
        <f t="shared" si="233"/>
        <v>326610</v>
      </c>
      <c r="BO505" s="11">
        <f t="shared" si="234"/>
        <v>260142.00000000003</v>
      </c>
      <c r="BP505" s="9">
        <f t="shared" si="226"/>
        <v>0</v>
      </c>
      <c r="BQ505" t="str">
        <f>_xlfn.XLOOKUP(X505,'[2]NON TETAP'!$H:$H,'[2]NON TETAP'!$I:$I)</f>
        <v>GRAMEDIA ASRI MEDIA</v>
      </c>
    </row>
    <row r="506" spans="1:69" x14ac:dyDescent="0.3">
      <c r="A506" s="2">
        <v>505</v>
      </c>
      <c r="B506" s="4" t="s">
        <v>1049</v>
      </c>
      <c r="C506" s="6" t="s">
        <v>241</v>
      </c>
      <c r="D506" s="6"/>
      <c r="E506" s="6" t="s">
        <v>73</v>
      </c>
      <c r="F506" s="6" t="s">
        <v>73</v>
      </c>
      <c r="G506" s="6" t="s">
        <v>73</v>
      </c>
      <c r="H506" s="6"/>
      <c r="I506" s="6"/>
      <c r="J506" s="6"/>
      <c r="K506" s="6">
        <v>800629</v>
      </c>
      <c r="L506" s="6"/>
      <c r="M506" s="6"/>
      <c r="N506" s="46" t="s">
        <v>1053</v>
      </c>
      <c r="O506" s="6">
        <v>1267583185</v>
      </c>
      <c r="P506" s="48" t="s">
        <v>1052</v>
      </c>
      <c r="Q506" s="6">
        <v>10153</v>
      </c>
      <c r="R506" s="6">
        <v>27153</v>
      </c>
      <c r="S506" s="5" t="str">
        <f>VLOOKUP(T506,'[1]Kode Posisi'!$A$3:$B$45,2,)</f>
        <v>Outsourcing Keamanan</v>
      </c>
      <c r="T506" s="36" t="s">
        <v>37</v>
      </c>
      <c r="U506" s="6"/>
      <c r="V506" s="44" t="s">
        <v>1051</v>
      </c>
      <c r="W506" s="36" t="s">
        <v>1037</v>
      </c>
      <c r="X506" s="36" t="s">
        <v>191</v>
      </c>
      <c r="Y506" t="s">
        <v>63</v>
      </c>
      <c r="Z506" s="57" t="s">
        <v>1050</v>
      </c>
      <c r="AA506" t="s">
        <v>1049</v>
      </c>
      <c r="AB506" s="47">
        <v>2570000</v>
      </c>
      <c r="AC506" s="41">
        <v>2570000</v>
      </c>
      <c r="AD506" s="61" t="s">
        <v>188</v>
      </c>
      <c r="AE506" s="16">
        <f t="shared" ref="AE506:AE522" si="235">AB506-AD506</f>
        <v>153000</v>
      </c>
      <c r="AF506" s="16">
        <v>0</v>
      </c>
      <c r="AG506" s="17">
        <v>0</v>
      </c>
      <c r="AI506" s="16">
        <v>0</v>
      </c>
      <c r="AK506" s="16">
        <v>0</v>
      </c>
      <c r="AL506" s="11">
        <f t="shared" si="210"/>
        <v>2570000</v>
      </c>
      <c r="AM506" s="16">
        <f t="shared" si="211"/>
        <v>263168</v>
      </c>
      <c r="AN506" s="16">
        <f t="shared" si="212"/>
        <v>102800</v>
      </c>
      <c r="AO506" s="16">
        <f t="shared" si="229"/>
        <v>160368</v>
      </c>
      <c r="AP506" s="16">
        <f t="shared" si="213"/>
        <v>95090</v>
      </c>
      <c r="AQ506" s="16">
        <f t="shared" si="214"/>
        <v>2833168</v>
      </c>
      <c r="AR506" s="16">
        <f t="shared" si="231"/>
        <v>169990.08</v>
      </c>
      <c r="AS506" s="16">
        <f t="shared" si="215"/>
        <v>18698.908799999997</v>
      </c>
      <c r="AT506" s="16">
        <f t="shared" si="216"/>
        <v>-3399.8015999999998</v>
      </c>
      <c r="AU506" s="16">
        <f t="shared" si="217"/>
        <v>2999758.2784000002</v>
      </c>
      <c r="AV506" s="16">
        <f t="shared" si="218"/>
        <v>3003158.08</v>
      </c>
      <c r="AW506" s="16">
        <f t="shared" si="219"/>
        <v>102800</v>
      </c>
      <c r="AX506" s="16" t="s">
        <v>91</v>
      </c>
      <c r="AZ506" s="17">
        <f t="shared" si="227"/>
        <v>2900</v>
      </c>
      <c r="BA506" s="16">
        <f t="shared" si="220"/>
        <v>2467200</v>
      </c>
      <c r="BB506" s="16">
        <f t="shared" si="221"/>
        <v>2464300</v>
      </c>
      <c r="BC506" s="15">
        <v>0.03</v>
      </c>
      <c r="BD506">
        <v>0.01</v>
      </c>
      <c r="BE506" s="37">
        <f t="shared" si="222"/>
        <v>237468</v>
      </c>
      <c r="BF506" s="38">
        <f t="shared" si="223"/>
        <v>146490</v>
      </c>
      <c r="BG506" s="37">
        <f t="shared" si="230"/>
        <v>120850</v>
      </c>
      <c r="BH506" s="37">
        <f t="shared" si="224"/>
        <v>128500</v>
      </c>
      <c r="BI506">
        <v>120850</v>
      </c>
      <c r="BL506" s="8">
        <f t="shared" si="225"/>
        <v>0</v>
      </c>
      <c r="BM506" s="7" t="str">
        <f t="shared" si="232"/>
        <v>Terdaftar BPJS Kes &amp; Naker</v>
      </c>
      <c r="BN506" s="11">
        <f t="shared" si="233"/>
        <v>146490</v>
      </c>
      <c r="BO506" s="11">
        <f t="shared" si="234"/>
        <v>116678.00000000001</v>
      </c>
      <c r="BP506" s="9">
        <f t="shared" si="226"/>
        <v>0</v>
      </c>
      <c r="BQ506" t="str">
        <f>_xlfn.XLOOKUP(X506,'[2]NON TETAP'!$H:$H,'[2]NON TETAP'!$I:$I)</f>
        <v>GRAMEDIA ASRI MEDIA</v>
      </c>
    </row>
    <row r="507" spans="1:69" x14ac:dyDescent="0.3">
      <c r="A507" s="2">
        <v>506</v>
      </c>
      <c r="B507" s="4" t="s">
        <v>1042</v>
      </c>
      <c r="C507" s="6" t="s">
        <v>241</v>
      </c>
      <c r="D507" s="6"/>
      <c r="E507" s="6" t="s">
        <v>73</v>
      </c>
      <c r="F507" s="6" t="s">
        <v>73</v>
      </c>
      <c r="G507" s="6"/>
      <c r="H507" s="6"/>
      <c r="I507" s="6"/>
      <c r="J507" s="6"/>
      <c r="K507" s="6">
        <v>800630</v>
      </c>
      <c r="L507" s="6"/>
      <c r="M507" s="6"/>
      <c r="N507" s="46" t="s">
        <v>1048</v>
      </c>
      <c r="O507" s="6">
        <v>1818053199</v>
      </c>
      <c r="P507" s="48" t="s">
        <v>1047</v>
      </c>
      <c r="Q507" s="6">
        <v>10106</v>
      </c>
      <c r="R507" s="6">
        <v>27106</v>
      </c>
      <c r="S507" s="5" t="str">
        <f>VLOOKUP(T507,'[1]Kode Posisi'!$A$3:$B$45,2,)</f>
        <v>Outsourcing Keamanan</v>
      </c>
      <c r="T507" s="36" t="s">
        <v>37</v>
      </c>
      <c r="U507" s="6"/>
      <c r="V507" s="44" t="s">
        <v>1046</v>
      </c>
      <c r="W507" s="36" t="s">
        <v>1045</v>
      </c>
      <c r="X507" s="36" t="s">
        <v>1044</v>
      </c>
      <c r="Y507" t="s">
        <v>473</v>
      </c>
      <c r="Z507" s="57" t="s">
        <v>1043</v>
      </c>
      <c r="AA507" t="s">
        <v>1042</v>
      </c>
      <c r="AB507" s="47">
        <v>3702000</v>
      </c>
      <c r="AC507" s="41">
        <v>3702000</v>
      </c>
      <c r="AD507" s="61" t="s">
        <v>1041</v>
      </c>
      <c r="AE507" s="16">
        <f t="shared" si="235"/>
        <v>247000</v>
      </c>
      <c r="AF507" s="16">
        <v>0</v>
      </c>
      <c r="AG507" s="17">
        <v>0</v>
      </c>
      <c r="AI507" s="16">
        <v>0</v>
      </c>
      <c r="AK507" s="16">
        <v>0</v>
      </c>
      <c r="AL507" s="11">
        <f t="shared" si="210"/>
        <v>3702000</v>
      </c>
      <c r="AM507" s="16">
        <f t="shared" si="211"/>
        <v>379084.79999999999</v>
      </c>
      <c r="AN507" s="16">
        <f t="shared" si="212"/>
        <v>148080</v>
      </c>
      <c r="AO507" s="16">
        <f t="shared" si="229"/>
        <v>231004.79999999999</v>
      </c>
      <c r="AP507" s="16">
        <f t="shared" si="213"/>
        <v>136974</v>
      </c>
      <c r="AQ507" s="16">
        <f t="shared" si="214"/>
        <v>4081084.8</v>
      </c>
      <c r="AR507" s="16">
        <f t="shared" si="231"/>
        <v>244865.08799999999</v>
      </c>
      <c r="AS507" s="16">
        <f t="shared" si="215"/>
        <v>26935.159680000001</v>
      </c>
      <c r="AT507" s="16">
        <f t="shared" si="216"/>
        <v>-4897.3017600000003</v>
      </c>
      <c r="AU507" s="16">
        <f t="shared" si="217"/>
        <v>4321052.5862400001</v>
      </c>
      <c r="AV507" s="16">
        <f t="shared" si="218"/>
        <v>4325949.8880000003</v>
      </c>
      <c r="AW507" s="16">
        <f t="shared" si="219"/>
        <v>148080</v>
      </c>
      <c r="AX507" s="16" t="s">
        <v>91</v>
      </c>
      <c r="AZ507" s="17">
        <f t="shared" si="227"/>
        <v>2900</v>
      </c>
      <c r="BA507" s="16">
        <f t="shared" si="220"/>
        <v>3553920</v>
      </c>
      <c r="BB507" s="16">
        <f t="shared" si="221"/>
        <v>3551020</v>
      </c>
      <c r="BC507" s="15">
        <v>0.03</v>
      </c>
      <c r="BD507">
        <v>0.01</v>
      </c>
      <c r="BE507" s="37">
        <f t="shared" si="222"/>
        <v>342064.8</v>
      </c>
      <c r="BF507" s="38">
        <f t="shared" si="223"/>
        <v>211014</v>
      </c>
      <c r="BG507" s="37">
        <f t="shared" si="230"/>
        <v>172750</v>
      </c>
      <c r="BH507" s="37">
        <f t="shared" si="224"/>
        <v>185100</v>
      </c>
      <c r="BI507">
        <v>172750</v>
      </c>
      <c r="BL507" s="8">
        <f t="shared" si="225"/>
        <v>0</v>
      </c>
      <c r="BM507" s="7" t="str">
        <f t="shared" si="232"/>
        <v>Terdaftar BPJS Kes &amp; Naker</v>
      </c>
      <c r="BN507" s="11">
        <f t="shared" si="233"/>
        <v>211014</v>
      </c>
      <c r="BO507" s="11">
        <f t="shared" si="234"/>
        <v>168070.80000000002</v>
      </c>
      <c r="BP507" s="9">
        <f t="shared" si="226"/>
        <v>0</v>
      </c>
      <c r="BQ507" t="str">
        <f>_xlfn.XLOOKUP(X507,'[2]NON TETAP'!$H:$H,'[2]NON TETAP'!$I:$I)</f>
        <v>GRAMEDIA ASRI MEDIA</v>
      </c>
    </row>
    <row r="508" spans="1:69" x14ac:dyDescent="0.3">
      <c r="A508" s="2">
        <v>507</v>
      </c>
      <c r="B508" s="4" t="s">
        <v>1035</v>
      </c>
      <c r="C508" s="6" t="s">
        <v>241</v>
      </c>
      <c r="D508" s="6"/>
      <c r="E508" s="6" t="s">
        <v>73</v>
      </c>
      <c r="F508" s="6" t="s">
        <v>73</v>
      </c>
      <c r="G508" s="6" t="s">
        <v>73</v>
      </c>
      <c r="H508" s="6"/>
      <c r="I508" s="6"/>
      <c r="J508" s="6"/>
      <c r="K508" s="6">
        <v>800631</v>
      </c>
      <c r="L508" s="6"/>
      <c r="M508" s="6"/>
      <c r="N508" s="46" t="s">
        <v>1040</v>
      </c>
      <c r="O508" s="6">
        <v>371420572</v>
      </c>
      <c r="P508" s="48" t="s">
        <v>1039</v>
      </c>
      <c r="Q508" s="6">
        <v>10153</v>
      </c>
      <c r="R508" s="6">
        <v>27153</v>
      </c>
      <c r="S508" s="5" t="str">
        <f>VLOOKUP(T508,'[1]Kode Posisi'!$A$3:$B$45,2,)</f>
        <v>Outsourcing Keamanan</v>
      </c>
      <c r="T508" s="36" t="s">
        <v>37</v>
      </c>
      <c r="U508" s="6"/>
      <c r="V508" s="44" t="s">
        <v>1038</v>
      </c>
      <c r="W508" s="36" t="s">
        <v>1037</v>
      </c>
      <c r="X508" s="36" t="s">
        <v>191</v>
      </c>
      <c r="Y508" t="s">
        <v>63</v>
      </c>
      <c r="Z508" s="57" t="s">
        <v>1036</v>
      </c>
      <c r="AA508" t="s">
        <v>1035</v>
      </c>
      <c r="AB508" s="47">
        <v>2570000</v>
      </c>
      <c r="AC508" s="41">
        <v>2570000</v>
      </c>
      <c r="AD508" s="61" t="s">
        <v>188</v>
      </c>
      <c r="AE508" s="16">
        <f t="shared" si="235"/>
        <v>153000</v>
      </c>
      <c r="AF508" s="16">
        <v>0</v>
      </c>
      <c r="AG508" s="17">
        <v>0</v>
      </c>
      <c r="AI508" s="16">
        <v>0</v>
      </c>
      <c r="AK508" s="16">
        <v>0</v>
      </c>
      <c r="AL508" s="11">
        <f t="shared" si="210"/>
        <v>2570000</v>
      </c>
      <c r="AM508" s="16">
        <f t="shared" si="211"/>
        <v>263168</v>
      </c>
      <c r="AN508" s="16">
        <f t="shared" si="212"/>
        <v>102800</v>
      </c>
      <c r="AO508" s="16">
        <f t="shared" si="229"/>
        <v>160368</v>
      </c>
      <c r="AP508" s="16">
        <f t="shared" si="213"/>
        <v>95090</v>
      </c>
      <c r="AQ508" s="16">
        <f t="shared" si="214"/>
        <v>2833168</v>
      </c>
      <c r="AR508" s="16">
        <f t="shared" si="231"/>
        <v>169990.08</v>
      </c>
      <c r="AS508" s="16">
        <f t="shared" si="215"/>
        <v>18698.908799999997</v>
      </c>
      <c r="AT508" s="16">
        <f t="shared" si="216"/>
        <v>-3399.8015999999998</v>
      </c>
      <c r="AU508" s="16">
        <f t="shared" si="217"/>
        <v>2999758.2784000002</v>
      </c>
      <c r="AV508" s="16">
        <f t="shared" si="218"/>
        <v>3003158.08</v>
      </c>
      <c r="AW508" s="16">
        <f t="shared" si="219"/>
        <v>102800</v>
      </c>
      <c r="AX508" s="16" t="s">
        <v>235</v>
      </c>
      <c r="AZ508" s="17">
        <f t="shared" si="227"/>
        <v>2900</v>
      </c>
      <c r="BA508" s="16">
        <f t="shared" si="220"/>
        <v>2467200</v>
      </c>
      <c r="BB508" s="16">
        <f t="shared" si="221"/>
        <v>2464300</v>
      </c>
      <c r="BC508" s="15">
        <v>0.03</v>
      </c>
      <c r="BD508">
        <v>0.01</v>
      </c>
      <c r="BE508" s="37">
        <f t="shared" si="222"/>
        <v>237468</v>
      </c>
      <c r="BF508" s="38">
        <f t="shared" si="223"/>
        <v>146490</v>
      </c>
      <c r="BG508" s="37">
        <f t="shared" si="230"/>
        <v>120850</v>
      </c>
      <c r="BH508" s="37">
        <f t="shared" si="224"/>
        <v>128500</v>
      </c>
      <c r="BI508">
        <v>120850</v>
      </c>
      <c r="BL508" s="8">
        <f t="shared" si="225"/>
        <v>0</v>
      </c>
      <c r="BM508" s="7" t="str">
        <f t="shared" si="232"/>
        <v>Terdaftar BPJS Kes &amp; Naker</v>
      </c>
      <c r="BN508" s="11">
        <f t="shared" si="233"/>
        <v>146490</v>
      </c>
      <c r="BO508" s="11">
        <f t="shared" si="234"/>
        <v>116678.00000000001</v>
      </c>
      <c r="BP508" s="9">
        <f t="shared" si="226"/>
        <v>0</v>
      </c>
      <c r="BQ508" t="str">
        <f>_xlfn.XLOOKUP(X508,'[2]NON TETAP'!$H:$H,'[2]NON TETAP'!$I:$I)</f>
        <v>GRAMEDIA ASRI MEDIA</v>
      </c>
    </row>
    <row r="509" spans="1:69" x14ac:dyDescent="0.3">
      <c r="A509" s="2">
        <v>508</v>
      </c>
      <c r="B509" s="5" t="s">
        <v>1034</v>
      </c>
      <c r="C509" s="6" t="s">
        <v>241</v>
      </c>
      <c r="D509" s="6"/>
      <c r="E509" s="6" t="s">
        <v>73</v>
      </c>
      <c r="F509" s="6" t="s">
        <v>73</v>
      </c>
      <c r="G509" s="6"/>
      <c r="H509" s="6"/>
      <c r="I509">
        <v>261000</v>
      </c>
      <c r="K509" s="6">
        <v>800632</v>
      </c>
      <c r="M509" s="6"/>
      <c r="N509" s="46" t="s">
        <v>1033</v>
      </c>
      <c r="O509" s="6">
        <v>1965599447</v>
      </c>
      <c r="P509" s="48" t="s">
        <v>1032</v>
      </c>
      <c r="Q509" s="6">
        <v>10168</v>
      </c>
      <c r="R509" s="6">
        <v>27168</v>
      </c>
      <c r="S509" s="5" t="str">
        <f>VLOOKUP(T509,'[1]Kode Posisi'!$A$3:$B$45,2,)</f>
        <v>Outsourcing Cleaning Service</v>
      </c>
      <c r="T509" t="s">
        <v>47</v>
      </c>
      <c r="V509" s="44" t="s">
        <v>1031</v>
      </c>
      <c r="W509" s="5" t="s">
        <v>951</v>
      </c>
      <c r="X509" s="5" t="s">
        <v>951</v>
      </c>
      <c r="Y509" s="42" t="s">
        <v>52</v>
      </c>
      <c r="Z509" s="43">
        <v>5615014572</v>
      </c>
      <c r="AA509" s="42" t="s">
        <v>1030</v>
      </c>
      <c r="AB509" s="3">
        <v>3608000</v>
      </c>
      <c r="AC509" s="47">
        <v>3869000</v>
      </c>
      <c r="AD509" s="52" t="s">
        <v>948</v>
      </c>
      <c r="AE509" s="16">
        <f t="shared" si="235"/>
        <v>0</v>
      </c>
      <c r="AF509" s="16">
        <v>0</v>
      </c>
      <c r="AG509" s="17">
        <v>0</v>
      </c>
      <c r="AI509" s="16">
        <v>0</v>
      </c>
      <c r="AK509" s="16">
        <v>0</v>
      </c>
      <c r="AL509" s="11">
        <f t="shared" si="210"/>
        <v>3608000</v>
      </c>
      <c r="AM509" s="16">
        <f t="shared" si="211"/>
        <v>396185.59999999998</v>
      </c>
      <c r="AN509" s="16">
        <f t="shared" si="212"/>
        <v>154760</v>
      </c>
      <c r="AO509" s="16">
        <f t="shared" si="229"/>
        <v>241425.59999999998</v>
      </c>
      <c r="AP509" s="16">
        <f t="shared" si="213"/>
        <v>133496</v>
      </c>
      <c r="AQ509" s="16">
        <f t="shared" si="214"/>
        <v>4004185.6</v>
      </c>
      <c r="AR509" s="16">
        <f t="shared" si="231"/>
        <v>240251.136</v>
      </c>
      <c r="AS509" s="16">
        <f t="shared" si="215"/>
        <v>26427.624960000001</v>
      </c>
      <c r="AT509" s="16">
        <f t="shared" si="216"/>
        <v>-4805.0227199999999</v>
      </c>
      <c r="AU509" s="16">
        <f t="shared" si="217"/>
        <v>4239631.7132800007</v>
      </c>
      <c r="AV509" s="16">
        <f t="shared" si="218"/>
        <v>4244436.7360000005</v>
      </c>
      <c r="AW509" s="16">
        <f t="shared" si="219"/>
        <v>154760</v>
      </c>
      <c r="AX509" s="16" t="s">
        <v>235</v>
      </c>
      <c r="AY509" s="11"/>
      <c r="AZ509" s="17">
        <f t="shared" si="227"/>
        <v>0</v>
      </c>
      <c r="BA509" s="16">
        <f t="shared" si="220"/>
        <v>3453240</v>
      </c>
      <c r="BB509" s="16">
        <f t="shared" si="221"/>
        <v>3453240</v>
      </c>
      <c r="BC509" s="15">
        <v>0.03</v>
      </c>
      <c r="BD509">
        <v>0.01</v>
      </c>
      <c r="BE509" s="37">
        <f t="shared" si="222"/>
        <v>357495.6</v>
      </c>
      <c r="BF509" s="38">
        <f t="shared" si="223"/>
        <v>220533</v>
      </c>
      <c r="BG509" s="37">
        <f t="shared" si="230"/>
        <v>180400</v>
      </c>
      <c r="BH509" s="37">
        <f t="shared" si="224"/>
        <v>193450</v>
      </c>
      <c r="BI509">
        <v>180400</v>
      </c>
      <c r="BL509" s="8">
        <f t="shared" si="225"/>
        <v>0</v>
      </c>
      <c r="BM509" s="7" t="str">
        <f t="shared" si="232"/>
        <v>Terdaftar BPJS Kes &amp; Naker</v>
      </c>
      <c r="BN509" s="11">
        <f t="shared" si="233"/>
        <v>220533</v>
      </c>
      <c r="BO509" s="11">
        <f t="shared" si="234"/>
        <v>175652.6</v>
      </c>
      <c r="BP509" s="9">
        <f t="shared" si="226"/>
        <v>0</v>
      </c>
      <c r="BQ509" t="str">
        <f>_xlfn.XLOOKUP(X509,'[2]NON TETAP'!$H:$H,'[2]NON TETAP'!$I:$I)</f>
        <v>GRAMEDIA ASRI MEDIA</v>
      </c>
    </row>
    <row r="510" spans="1:69" x14ac:dyDescent="0.3">
      <c r="A510" s="2">
        <v>509</v>
      </c>
      <c r="B510" s="5" t="s">
        <v>1029</v>
      </c>
      <c r="C510" s="6" t="s">
        <v>241</v>
      </c>
      <c r="D510" s="6"/>
      <c r="E510" s="6" t="s">
        <v>73</v>
      </c>
      <c r="F510" s="6" t="s">
        <v>73</v>
      </c>
      <c r="G510" s="6" t="s">
        <v>73</v>
      </c>
      <c r="H510" s="6"/>
      <c r="I510">
        <v>261000</v>
      </c>
      <c r="K510" s="6">
        <v>800633</v>
      </c>
      <c r="M510" s="6"/>
      <c r="N510" s="46" t="s">
        <v>1028</v>
      </c>
      <c r="O510" s="6">
        <v>303107815</v>
      </c>
      <c r="P510" s="48" t="s">
        <v>1027</v>
      </c>
      <c r="Q510" s="6">
        <v>10168</v>
      </c>
      <c r="R510" s="6">
        <v>27168</v>
      </c>
      <c r="S510" s="5" t="str">
        <f>VLOOKUP(T510,'[1]Kode Posisi'!$A$3:$B$45,2,)</f>
        <v>Outsourcing Keamanan</v>
      </c>
      <c r="T510" t="s">
        <v>37</v>
      </c>
      <c r="V510" s="44" t="s">
        <v>1026</v>
      </c>
      <c r="W510" s="5" t="s">
        <v>1025</v>
      </c>
      <c r="X510" s="5" t="s">
        <v>951</v>
      </c>
      <c r="Y510" t="s">
        <v>52</v>
      </c>
      <c r="Z510" s="57" t="s">
        <v>1024</v>
      </c>
      <c r="AA510" s="42" t="s">
        <v>1023</v>
      </c>
      <c r="AB510" s="3">
        <v>3608000</v>
      </c>
      <c r="AC510" s="47">
        <v>3869000</v>
      </c>
      <c r="AD510" s="52" t="s">
        <v>948</v>
      </c>
      <c r="AE510" s="16">
        <f t="shared" si="235"/>
        <v>0</v>
      </c>
      <c r="AF510" s="16">
        <v>0</v>
      </c>
      <c r="AG510" s="17">
        <v>0</v>
      </c>
      <c r="AI510" s="16">
        <v>0</v>
      </c>
      <c r="AK510" s="16">
        <v>0</v>
      </c>
      <c r="AL510" s="11">
        <f t="shared" si="210"/>
        <v>3608000</v>
      </c>
      <c r="AM510" s="16">
        <f t="shared" si="211"/>
        <v>396185.59999999998</v>
      </c>
      <c r="AN510" s="16">
        <f t="shared" si="212"/>
        <v>154760</v>
      </c>
      <c r="AO510" s="16">
        <f t="shared" si="229"/>
        <v>241425.59999999998</v>
      </c>
      <c r="AP510" s="16">
        <f t="shared" si="213"/>
        <v>133496</v>
      </c>
      <c r="AQ510" s="16">
        <f t="shared" si="214"/>
        <v>4004185.6</v>
      </c>
      <c r="AR510" s="16">
        <f t="shared" si="231"/>
        <v>240251.136</v>
      </c>
      <c r="AS510" s="16">
        <f t="shared" si="215"/>
        <v>26427.624960000001</v>
      </c>
      <c r="AT510" s="16">
        <f t="shared" si="216"/>
        <v>-4805.0227199999999</v>
      </c>
      <c r="AU510" s="16">
        <f t="shared" si="217"/>
        <v>4239631.7132800007</v>
      </c>
      <c r="AV510" s="16">
        <f t="shared" si="218"/>
        <v>4244436.7360000005</v>
      </c>
      <c r="AW510" s="16">
        <f t="shared" si="219"/>
        <v>154760</v>
      </c>
      <c r="AX510" s="16" t="s">
        <v>235</v>
      </c>
      <c r="AZ510" s="17">
        <f t="shared" si="227"/>
        <v>0</v>
      </c>
      <c r="BA510" s="16">
        <f t="shared" si="220"/>
        <v>3453240</v>
      </c>
      <c r="BB510" s="16">
        <f t="shared" si="221"/>
        <v>3453240</v>
      </c>
      <c r="BC510" s="15">
        <v>0.03</v>
      </c>
      <c r="BD510">
        <v>0.01</v>
      </c>
      <c r="BE510" s="37">
        <f t="shared" si="222"/>
        <v>357495.6</v>
      </c>
      <c r="BF510" s="38">
        <f t="shared" si="223"/>
        <v>220533</v>
      </c>
      <c r="BG510" s="37">
        <f t="shared" si="230"/>
        <v>180400</v>
      </c>
      <c r="BH510" s="37">
        <f t="shared" si="224"/>
        <v>193450</v>
      </c>
      <c r="BI510">
        <v>180400</v>
      </c>
      <c r="BJ510" s="2">
        <v>180400</v>
      </c>
      <c r="BL510" s="8">
        <f t="shared" si="225"/>
        <v>0</v>
      </c>
      <c r="BM510" s="7" t="str">
        <f t="shared" si="232"/>
        <v>Terdaftar BPJS Kes &amp; Naker</v>
      </c>
      <c r="BN510" s="11">
        <f t="shared" si="233"/>
        <v>220533</v>
      </c>
      <c r="BO510" s="11">
        <f t="shared" si="234"/>
        <v>175652.6</v>
      </c>
      <c r="BP510" s="9">
        <f t="shared" si="226"/>
        <v>0</v>
      </c>
      <c r="BQ510" t="str">
        <f>_xlfn.XLOOKUP(X510,'[2]NON TETAP'!$H:$H,'[2]NON TETAP'!$I:$I)</f>
        <v>GRAMEDIA ASRI MEDIA</v>
      </c>
    </row>
    <row r="511" spans="1:69" x14ac:dyDescent="0.3">
      <c r="A511" s="2">
        <v>510</v>
      </c>
      <c r="B511" s="5" t="s">
        <v>1018</v>
      </c>
      <c r="C511" s="6" t="s">
        <v>241</v>
      </c>
      <c r="D511" s="6"/>
      <c r="E511" s="6" t="s">
        <v>73</v>
      </c>
      <c r="F511" s="6" t="s">
        <v>73</v>
      </c>
      <c r="G511" s="6"/>
      <c r="H511" s="6"/>
      <c r="K511" s="6">
        <v>800636</v>
      </c>
      <c r="M511" s="6"/>
      <c r="N511" s="46" t="s">
        <v>1022</v>
      </c>
      <c r="O511" s="6">
        <v>1738505136</v>
      </c>
      <c r="P511" s="48" t="s">
        <v>1021</v>
      </c>
      <c r="Q511" s="6">
        <v>10119</v>
      </c>
      <c r="R511" s="6">
        <v>27119</v>
      </c>
      <c r="S511" s="5" t="str">
        <f>VLOOKUP(T511,'[1]Kode Posisi'!$A$3:$B$45,2,)</f>
        <v>Outsourcing Petugas Gudang</v>
      </c>
      <c r="T511" t="s">
        <v>6</v>
      </c>
      <c r="V511" s="44" t="s">
        <v>1020</v>
      </c>
      <c r="W511" s="5" t="s">
        <v>1019</v>
      </c>
      <c r="X511" s="5" t="s">
        <v>1019</v>
      </c>
      <c r="Y511" s="42" t="s">
        <v>52</v>
      </c>
      <c r="Z511" s="43">
        <v>4660322553</v>
      </c>
      <c r="AA511" s="42" t="s">
        <v>1018</v>
      </c>
      <c r="AB511" s="47">
        <v>5730000</v>
      </c>
      <c r="AC511" s="41">
        <v>5730000</v>
      </c>
      <c r="AD511" s="52" t="s">
        <v>177</v>
      </c>
      <c r="AE511" s="16">
        <f t="shared" si="235"/>
        <v>333000</v>
      </c>
      <c r="AF511" s="16">
        <v>0</v>
      </c>
      <c r="AG511" s="17">
        <v>0</v>
      </c>
      <c r="AI511" s="16">
        <v>0</v>
      </c>
      <c r="AK511" s="16">
        <v>0</v>
      </c>
      <c r="AL511" s="11">
        <f t="shared" si="210"/>
        <v>5730000</v>
      </c>
      <c r="AM511" s="16">
        <f t="shared" si="211"/>
        <v>586752</v>
      </c>
      <c r="AN511" s="16">
        <f t="shared" si="212"/>
        <v>229200</v>
      </c>
      <c r="AO511" s="16">
        <f t="shared" si="229"/>
        <v>357552</v>
      </c>
      <c r="AP511" s="16">
        <f t="shared" si="213"/>
        <v>212010</v>
      </c>
      <c r="AQ511" s="16">
        <f t="shared" si="214"/>
        <v>6316752</v>
      </c>
      <c r="AR511" s="16">
        <f t="shared" si="231"/>
        <v>379005.12</v>
      </c>
      <c r="AS511" s="16">
        <f t="shared" si="215"/>
        <v>41690.563199999997</v>
      </c>
      <c r="AT511" s="16">
        <f t="shared" si="216"/>
        <v>-7580.1023999999998</v>
      </c>
      <c r="AU511" s="16">
        <f t="shared" si="217"/>
        <v>6688177.0175999999</v>
      </c>
      <c r="AV511" s="16">
        <f t="shared" si="218"/>
        <v>6695757.1200000001</v>
      </c>
      <c r="AW511" s="16">
        <f t="shared" si="219"/>
        <v>229200</v>
      </c>
      <c r="AX511" s="16" t="s">
        <v>235</v>
      </c>
      <c r="AZ511" s="17">
        <f t="shared" si="227"/>
        <v>0</v>
      </c>
      <c r="BA511" s="16">
        <f t="shared" si="220"/>
        <v>5500800</v>
      </c>
      <c r="BB511" s="16">
        <f t="shared" si="221"/>
        <v>5500800</v>
      </c>
      <c r="BC511" s="15">
        <v>0.03</v>
      </c>
      <c r="BD511">
        <v>0.01</v>
      </c>
      <c r="BE511" s="37">
        <f t="shared" si="222"/>
        <v>529452</v>
      </c>
      <c r="BF511" s="38">
        <f t="shared" si="223"/>
        <v>326610</v>
      </c>
      <c r="BG511" s="37">
        <f t="shared" si="230"/>
        <v>269850</v>
      </c>
      <c r="BH511" s="37">
        <f t="shared" si="224"/>
        <v>286500</v>
      </c>
      <c r="BI511">
        <v>269850</v>
      </c>
      <c r="BJ511" s="2">
        <v>269850</v>
      </c>
      <c r="BL511" s="8">
        <f t="shared" si="225"/>
        <v>0</v>
      </c>
      <c r="BM511" s="7" t="str">
        <f t="shared" si="232"/>
        <v>Terdaftar BPJS Kes &amp; Naker</v>
      </c>
      <c r="BN511" s="11">
        <f t="shared" si="233"/>
        <v>326610</v>
      </c>
      <c r="BO511" s="11">
        <f t="shared" si="234"/>
        <v>260142.00000000003</v>
      </c>
      <c r="BP511" s="9">
        <f t="shared" si="226"/>
        <v>0</v>
      </c>
      <c r="BQ511" t="s">
        <v>8</v>
      </c>
    </row>
    <row r="512" spans="1:69" x14ac:dyDescent="0.3">
      <c r="A512" s="2">
        <v>511</v>
      </c>
      <c r="B512" s="5" t="s">
        <v>1017</v>
      </c>
      <c r="C512" s="6" t="s">
        <v>241</v>
      </c>
      <c r="D512" s="6"/>
      <c r="E512" s="6" t="s">
        <v>73</v>
      </c>
      <c r="F512" s="6" t="s">
        <v>73</v>
      </c>
      <c r="G512" s="6"/>
      <c r="H512" s="6"/>
      <c r="K512" s="6">
        <v>800635</v>
      </c>
      <c r="M512" s="6"/>
      <c r="N512" s="46" t="s">
        <v>1016</v>
      </c>
      <c r="O512" s="6">
        <v>2389296273</v>
      </c>
      <c r="P512" s="48" t="s">
        <v>1015</v>
      </c>
      <c r="Q512" s="6">
        <v>10141</v>
      </c>
      <c r="R512" s="6">
        <v>27141</v>
      </c>
      <c r="S512" s="5" t="str">
        <f>VLOOKUP(T512,'[1]Kode Posisi'!$A$3:$B$45,2,)</f>
        <v>Outsourcing Keamanan</v>
      </c>
      <c r="T512" t="s">
        <v>37</v>
      </c>
      <c r="V512" s="44" t="s">
        <v>1014</v>
      </c>
      <c r="W512" s="5" t="s">
        <v>123</v>
      </c>
      <c r="X512" s="5" t="s">
        <v>123</v>
      </c>
      <c r="Y512" s="42" t="s">
        <v>473</v>
      </c>
      <c r="Z512" s="59" t="s">
        <v>1013</v>
      </c>
      <c r="AA512" t="s">
        <v>1012</v>
      </c>
      <c r="AB512" s="3">
        <v>3825000</v>
      </c>
      <c r="AC512" s="3">
        <v>3825000</v>
      </c>
      <c r="AD512" s="52" t="s">
        <v>431</v>
      </c>
      <c r="AE512" s="16">
        <f t="shared" si="235"/>
        <v>0</v>
      </c>
      <c r="AF512" s="16">
        <v>0</v>
      </c>
      <c r="AG512" s="17">
        <v>0</v>
      </c>
      <c r="AI512" s="16">
        <v>0</v>
      </c>
      <c r="AK512" s="16">
        <v>153000</v>
      </c>
      <c r="AL512" s="11">
        <f t="shared" si="210"/>
        <v>3672000</v>
      </c>
      <c r="AM512" s="16">
        <f t="shared" si="211"/>
        <v>391680</v>
      </c>
      <c r="AN512" s="16">
        <f t="shared" si="212"/>
        <v>153000</v>
      </c>
      <c r="AO512" s="16">
        <f t="shared" si="229"/>
        <v>238680</v>
      </c>
      <c r="AP512" s="16">
        <f t="shared" si="213"/>
        <v>141525</v>
      </c>
      <c r="AQ512" s="16">
        <f t="shared" si="214"/>
        <v>4063680</v>
      </c>
      <c r="AR512" s="16">
        <f t="shared" si="231"/>
        <v>243820.79999999999</v>
      </c>
      <c r="AS512" s="16">
        <f t="shared" si="215"/>
        <v>26820.288</v>
      </c>
      <c r="AT512" s="16">
        <f t="shared" si="216"/>
        <v>-4876.4160000000002</v>
      </c>
      <c r="AU512" s="16">
        <f t="shared" si="217"/>
        <v>4302624.3839999996</v>
      </c>
      <c r="AV512" s="16">
        <f t="shared" si="218"/>
        <v>4307500.8</v>
      </c>
      <c r="AW512" s="16">
        <f t="shared" si="219"/>
        <v>153000</v>
      </c>
      <c r="AX512" s="16" t="s">
        <v>235</v>
      </c>
      <c r="AZ512" s="17">
        <f t="shared" si="227"/>
        <v>2900</v>
      </c>
      <c r="BA512" s="16">
        <f t="shared" si="220"/>
        <v>3519000</v>
      </c>
      <c r="BB512" s="16">
        <f t="shared" si="221"/>
        <v>3516100</v>
      </c>
      <c r="BC512" s="15">
        <v>0.03</v>
      </c>
      <c r="BD512">
        <v>0.01</v>
      </c>
      <c r="BE512" s="37">
        <f t="shared" si="222"/>
        <v>353430</v>
      </c>
      <c r="BF512" s="38">
        <f t="shared" si="223"/>
        <v>218025</v>
      </c>
      <c r="BG512" s="37">
        <f t="shared" si="230"/>
        <v>191250</v>
      </c>
      <c r="BH512" s="37">
        <f t="shared" si="224"/>
        <v>191250</v>
      </c>
      <c r="BI512">
        <v>191250</v>
      </c>
      <c r="BJ512" s="2">
        <v>191250</v>
      </c>
      <c r="BL512" s="8">
        <f t="shared" si="225"/>
        <v>-153000</v>
      </c>
      <c r="BM512" s="7" t="str">
        <f t="shared" si="232"/>
        <v>Terdaftar BPJS Kes &amp; Naker</v>
      </c>
      <c r="BN512" s="11">
        <f t="shared" si="233"/>
        <v>218025</v>
      </c>
      <c r="BO512" s="11">
        <f t="shared" si="234"/>
        <v>173655</v>
      </c>
      <c r="BP512" s="9">
        <f t="shared" si="226"/>
        <v>0</v>
      </c>
      <c r="BQ512" t="str">
        <f>_xlfn.XLOOKUP(X512,'[2]NON TETAP'!$H:$H,'[2]NON TETAP'!$I:$I)</f>
        <v>GRAMEDIA ASRI MEDIA</v>
      </c>
    </row>
    <row r="513" spans="1:69" x14ac:dyDescent="0.3">
      <c r="A513" s="2">
        <v>512</v>
      </c>
      <c r="B513" s="5" t="s">
        <v>1005</v>
      </c>
      <c r="C513" s="6" t="s">
        <v>241</v>
      </c>
      <c r="D513" s="6"/>
      <c r="E513" s="6" t="s">
        <v>73</v>
      </c>
      <c r="F513" s="6" t="s">
        <v>73</v>
      </c>
      <c r="G513" s="6"/>
      <c r="H513" s="6"/>
      <c r="K513" s="6">
        <v>800637</v>
      </c>
      <c r="M513" s="6"/>
      <c r="N513" s="46" t="s">
        <v>1011</v>
      </c>
      <c r="O513" s="6">
        <v>2037146793</v>
      </c>
      <c r="P513" s="48" t="s">
        <v>1010</v>
      </c>
      <c r="Q513" s="6">
        <v>18106</v>
      </c>
      <c r="R513" s="6">
        <v>27190</v>
      </c>
      <c r="S513" s="5" t="str">
        <f>VLOOKUP(T513,'[1]Kode Posisi'!$A$3:$B$45,2,)</f>
        <v>Outsourcing Petugas Pemeliharaan Gedung</v>
      </c>
      <c r="T513" t="s">
        <v>247</v>
      </c>
      <c r="V513" s="44" t="s">
        <v>1009</v>
      </c>
      <c r="W513" s="5" t="s">
        <v>1008</v>
      </c>
      <c r="X513" s="36" t="s">
        <v>1007</v>
      </c>
      <c r="Y513" s="42" t="s">
        <v>198</v>
      </c>
      <c r="Z513" s="46" t="s">
        <v>1006</v>
      </c>
      <c r="AA513" s="42" t="s">
        <v>1005</v>
      </c>
      <c r="AB513" s="3">
        <v>3899000</v>
      </c>
      <c r="AC513" s="3">
        <v>3899000</v>
      </c>
      <c r="AD513" s="52" t="s">
        <v>1004</v>
      </c>
      <c r="AE513" s="16">
        <f t="shared" si="235"/>
        <v>0</v>
      </c>
      <c r="AF513" s="16">
        <v>0</v>
      </c>
      <c r="AG513" s="17">
        <v>0</v>
      </c>
      <c r="AI513" s="16">
        <v>0</v>
      </c>
      <c r="AK513" s="16">
        <v>0</v>
      </c>
      <c r="AL513" s="11">
        <f t="shared" si="210"/>
        <v>3899000</v>
      </c>
      <c r="AM513" s="16">
        <f t="shared" si="211"/>
        <v>399257.59999999998</v>
      </c>
      <c r="AN513" s="16">
        <f t="shared" si="212"/>
        <v>155960</v>
      </c>
      <c r="AO513" s="16">
        <f t="shared" si="229"/>
        <v>243297.59999999998</v>
      </c>
      <c r="AP513" s="16">
        <f t="shared" si="213"/>
        <v>144263</v>
      </c>
      <c r="AQ513" s="16">
        <f t="shared" si="214"/>
        <v>4298257.5999999996</v>
      </c>
      <c r="AR513" s="16">
        <f t="shared" si="231"/>
        <v>257895.45599999998</v>
      </c>
      <c r="AS513" s="16">
        <f t="shared" si="215"/>
        <v>28368.500159999996</v>
      </c>
      <c r="AT513" s="16">
        <f t="shared" si="216"/>
        <v>-5157.9091199999993</v>
      </c>
      <c r="AU513" s="16">
        <f t="shared" si="217"/>
        <v>4550995.1468799999</v>
      </c>
      <c r="AV513" s="16">
        <f t="shared" si="218"/>
        <v>4556153.0559999999</v>
      </c>
      <c r="AW513" s="16">
        <f t="shared" si="219"/>
        <v>155960</v>
      </c>
      <c r="AX513" s="16" t="s">
        <v>235</v>
      </c>
      <c r="AZ513" s="17">
        <f t="shared" si="227"/>
        <v>2900</v>
      </c>
      <c r="BA513" s="16">
        <f t="shared" si="220"/>
        <v>3743040</v>
      </c>
      <c r="BB513" s="16">
        <f t="shared" si="221"/>
        <v>3740140</v>
      </c>
      <c r="BC513" s="15">
        <v>0.03</v>
      </c>
      <c r="BD513">
        <v>0.01</v>
      </c>
      <c r="BE513" s="37">
        <f t="shared" si="222"/>
        <v>360267.6</v>
      </c>
      <c r="BF513" s="38">
        <f t="shared" si="223"/>
        <v>222243</v>
      </c>
      <c r="BG513" s="37">
        <f t="shared" si="230"/>
        <v>194950</v>
      </c>
      <c r="BH513" s="37">
        <f t="shared" si="224"/>
        <v>194950</v>
      </c>
      <c r="BI513">
        <v>194950</v>
      </c>
      <c r="BL513" s="8">
        <f t="shared" si="225"/>
        <v>0</v>
      </c>
      <c r="BM513" s="7" t="str">
        <f t="shared" si="232"/>
        <v>Terdaftar BPJS Kes &amp; Naker</v>
      </c>
      <c r="BN513" s="11">
        <f t="shared" si="233"/>
        <v>222243</v>
      </c>
      <c r="BO513" s="11">
        <f t="shared" si="234"/>
        <v>177014.6</v>
      </c>
      <c r="BP513" s="9">
        <f t="shared" si="226"/>
        <v>0</v>
      </c>
      <c r="BQ513" t="s">
        <v>8</v>
      </c>
    </row>
    <row r="514" spans="1:69" x14ac:dyDescent="0.3">
      <c r="A514" s="2">
        <v>513</v>
      </c>
      <c r="B514" s="5" t="s">
        <v>1003</v>
      </c>
      <c r="C514" s="6" t="s">
        <v>241</v>
      </c>
      <c r="D514" s="6"/>
      <c r="E514" s="6" t="s">
        <v>73</v>
      </c>
      <c r="F514" s="6" t="s">
        <v>73</v>
      </c>
      <c r="G514" s="6"/>
      <c r="H514" s="6"/>
      <c r="I514">
        <v>198000</v>
      </c>
      <c r="K514" s="6">
        <v>800639</v>
      </c>
      <c r="M514" s="6"/>
      <c r="N514" s="46" t="s">
        <v>1002</v>
      </c>
      <c r="O514" s="6">
        <v>1178717084</v>
      </c>
      <c r="P514" s="48" t="s">
        <v>1001</v>
      </c>
      <c r="Q514" s="6">
        <v>18105</v>
      </c>
      <c r="R514" s="6">
        <v>27190</v>
      </c>
      <c r="S514" s="5" t="str">
        <f>VLOOKUP(T514,'[1]Kode Posisi'!$A$3:$B$45,2,)</f>
        <v>Outsourcing Petugas Pemeliharaan Gedung</v>
      </c>
      <c r="T514" t="s">
        <v>247</v>
      </c>
      <c r="V514" s="44" t="s">
        <v>1000</v>
      </c>
      <c r="W514" s="5" t="s">
        <v>123</v>
      </c>
      <c r="X514" s="36" t="s">
        <v>999</v>
      </c>
      <c r="Y514" s="42" t="s">
        <v>52</v>
      </c>
      <c r="Z514" s="43">
        <v>5115233227</v>
      </c>
      <c r="AA514" s="42" t="s">
        <v>998</v>
      </c>
      <c r="AB514" s="3">
        <v>3825000</v>
      </c>
      <c r="AC514" s="3">
        <v>4023000</v>
      </c>
      <c r="AD514" s="52" t="s">
        <v>431</v>
      </c>
      <c r="AE514" s="16">
        <f t="shared" si="235"/>
        <v>0</v>
      </c>
      <c r="AF514" s="16">
        <v>0</v>
      </c>
      <c r="AG514" s="17">
        <v>0</v>
      </c>
      <c r="AI514" s="16">
        <v>0</v>
      </c>
      <c r="AK514" s="16">
        <v>0</v>
      </c>
      <c r="AL514" s="11">
        <f t="shared" ref="AL514:AL577" si="236">SUM(AB514,AF514,AG514:AJ514)-AK514</f>
        <v>3825000</v>
      </c>
      <c r="AM514" s="16">
        <f t="shared" ref="AM514:AM577" si="237">SUM(AN514:AO514)</f>
        <v>411955.19999999995</v>
      </c>
      <c r="AN514" s="16">
        <f t="shared" ref="AN514:AN577" si="238">IF(BD514=0.01,AC514*0.04,0)</f>
        <v>160920</v>
      </c>
      <c r="AO514" s="16">
        <f t="shared" si="229"/>
        <v>251035.19999999998</v>
      </c>
      <c r="AP514" s="16">
        <f t="shared" ref="AP514:AP577" si="239">IF(BC514=0.03,0.037*(AB514+AF514),0)</f>
        <v>141525</v>
      </c>
      <c r="AQ514" s="16">
        <f t="shared" ref="AQ514:AQ577" si="240">SUM(AL514:AM514)</f>
        <v>4236955.2</v>
      </c>
      <c r="AR514" s="16">
        <f t="shared" si="231"/>
        <v>254217.31200000001</v>
      </c>
      <c r="AS514" s="16">
        <f t="shared" ref="AS514:AS577" si="241">SUM(AR514*0.11)</f>
        <v>27963.904320000001</v>
      </c>
      <c r="AT514" s="16">
        <f t="shared" ref="AT514:AT577" si="242">SUM(AR514*-0.02)</f>
        <v>-5084.3462399999999</v>
      </c>
      <c r="AU514" s="16">
        <f t="shared" ref="AU514:AU577" si="243">(AQ514+AR514)+AT514</f>
        <v>4486088.1657600002</v>
      </c>
      <c r="AV514" s="16">
        <f t="shared" ref="AV514:AV577" si="244">SUM(AQ514+AR514)</f>
        <v>4491172.5120000001</v>
      </c>
      <c r="AW514" s="16">
        <f t="shared" ref="AW514:AW577" si="245">SUM(AC514)*SUM(BC514,BD514)</f>
        <v>160920</v>
      </c>
      <c r="AX514" s="16" t="s">
        <v>91</v>
      </c>
      <c r="AZ514" s="17">
        <f t="shared" si="227"/>
        <v>0</v>
      </c>
      <c r="BA514" s="16">
        <f t="shared" ref="BA514:BA577" si="246">SUM(AL514-AW514,AY514)</f>
        <v>3664080</v>
      </c>
      <c r="BB514" s="16">
        <f t="shared" ref="BB514:BB577" si="247">SUM(AL514-AW514,AY514)-AZ514</f>
        <v>3664080</v>
      </c>
      <c r="BC514" s="15">
        <v>0.03</v>
      </c>
      <c r="BD514">
        <v>0.01</v>
      </c>
      <c r="BE514" s="37">
        <f t="shared" ref="BE514:BE577" si="248">IF(BC514=0.03,AC514*9.24%,0)</f>
        <v>371725.2</v>
      </c>
      <c r="BF514" s="38">
        <f t="shared" ref="BF514:BF577" si="249">IF(BC514=0.03,0.057/0.0924*BE514,0)</f>
        <v>229311.00000000003</v>
      </c>
      <c r="BG514" s="37">
        <f t="shared" si="230"/>
        <v>191250</v>
      </c>
      <c r="BH514" s="37">
        <f t="shared" ref="BH514:BH577" si="250">IF(BD514=0.01,AC514*5%,0)</f>
        <v>201150</v>
      </c>
      <c r="BI514">
        <v>191250</v>
      </c>
      <c r="BL514" s="8">
        <f t="shared" ref="BL514:BL577" si="251">SUM(AF514:AJ514)-AK514</f>
        <v>0</v>
      </c>
      <c r="BM514" s="7" t="str">
        <f t="shared" si="232"/>
        <v>Terdaftar BPJS Kes &amp; Naker</v>
      </c>
      <c r="BN514" s="11">
        <f t="shared" si="233"/>
        <v>229311</v>
      </c>
      <c r="BO514" s="11">
        <f t="shared" si="234"/>
        <v>182644.2</v>
      </c>
      <c r="BP514" s="9">
        <f t="shared" ref="BP514:BP577" si="252">AM514-BN514-BO514</f>
        <v>0</v>
      </c>
      <c r="BQ514" t="s">
        <v>8</v>
      </c>
    </row>
    <row r="515" spans="1:69" x14ac:dyDescent="0.3">
      <c r="A515" s="2">
        <v>514</v>
      </c>
      <c r="B515" s="60" t="s">
        <v>993</v>
      </c>
      <c r="C515" s="6" t="s">
        <v>241</v>
      </c>
      <c r="D515" s="6"/>
      <c r="E515" s="6" t="s">
        <v>73</v>
      </c>
      <c r="F515" s="6" t="s">
        <v>73</v>
      </c>
      <c r="G515" s="6"/>
      <c r="H515" s="6"/>
      <c r="K515" s="6">
        <v>800640</v>
      </c>
      <c r="M515" s="6"/>
      <c r="N515" s="46" t="s">
        <v>997</v>
      </c>
      <c r="O515" s="6">
        <v>1033946965</v>
      </c>
      <c r="P515" s="48" t="s">
        <v>996</v>
      </c>
      <c r="Q515" s="6">
        <v>10105</v>
      </c>
      <c r="R515" s="6">
        <v>27105</v>
      </c>
      <c r="S515" s="5" t="str">
        <f>VLOOKUP(T515,'[1]Kode Posisi'!$A$3:$B$45,2,)</f>
        <v>Outsourcing Cleaning Service</v>
      </c>
      <c r="T515" t="s">
        <v>47</v>
      </c>
      <c r="V515" s="44" t="s">
        <v>995</v>
      </c>
      <c r="W515" s="5" t="s">
        <v>104</v>
      </c>
      <c r="X515" s="5" t="s">
        <v>104</v>
      </c>
      <c r="Y515" s="42" t="s">
        <v>473</v>
      </c>
      <c r="Z515" s="59" t="s">
        <v>994</v>
      </c>
      <c r="AA515" s="42" t="s">
        <v>993</v>
      </c>
      <c r="AB515" s="47">
        <v>2828000</v>
      </c>
      <c r="AC515" s="41">
        <v>2828000</v>
      </c>
      <c r="AD515" s="52" t="s">
        <v>229</v>
      </c>
      <c r="AE515" s="16">
        <f t="shared" si="235"/>
        <v>172000</v>
      </c>
      <c r="AF515" s="16">
        <v>0</v>
      </c>
      <c r="AG515" s="17">
        <v>0</v>
      </c>
      <c r="AI515" s="16">
        <v>99791.907514450868</v>
      </c>
      <c r="AK515" s="16">
        <v>0</v>
      </c>
      <c r="AL515" s="11">
        <f t="shared" si="236"/>
        <v>2927791.9075144511</v>
      </c>
      <c r="AM515" s="16">
        <f t="shared" si="237"/>
        <v>289587.19999999995</v>
      </c>
      <c r="AN515" s="16">
        <f t="shared" si="238"/>
        <v>113120</v>
      </c>
      <c r="AO515" s="16">
        <f t="shared" si="229"/>
        <v>176467.19999999998</v>
      </c>
      <c r="AP515" s="16">
        <f t="shared" si="239"/>
        <v>104636</v>
      </c>
      <c r="AQ515" s="16">
        <f t="shared" si="240"/>
        <v>3217379.1075144513</v>
      </c>
      <c r="AR515" s="16">
        <f t="shared" si="231"/>
        <v>193042.74645086707</v>
      </c>
      <c r="AS515" s="16">
        <f t="shared" si="241"/>
        <v>21234.702109595379</v>
      </c>
      <c r="AT515" s="16">
        <f t="shared" si="242"/>
        <v>-3860.8549290173414</v>
      </c>
      <c r="AU515" s="16">
        <f t="shared" si="243"/>
        <v>3406560.9990363009</v>
      </c>
      <c r="AV515" s="16">
        <f t="shared" si="244"/>
        <v>3410421.8539653183</v>
      </c>
      <c r="AW515" s="16">
        <f t="shared" si="245"/>
        <v>113120</v>
      </c>
      <c r="AX515" s="16" t="s">
        <v>235</v>
      </c>
      <c r="AZ515" s="17">
        <f t="shared" si="227"/>
        <v>2900</v>
      </c>
      <c r="BA515" s="16">
        <f t="shared" si="246"/>
        <v>2814671.9075144511</v>
      </c>
      <c r="BB515" s="16">
        <f t="shared" si="247"/>
        <v>2811771.9075144511</v>
      </c>
      <c r="BC515" s="15">
        <v>0.03</v>
      </c>
      <c r="BD515">
        <v>0.01</v>
      </c>
      <c r="BE515" s="37">
        <f t="shared" si="248"/>
        <v>261307.19999999998</v>
      </c>
      <c r="BF515" s="38">
        <f t="shared" si="249"/>
        <v>161196</v>
      </c>
      <c r="BG515" s="37">
        <f t="shared" si="230"/>
        <v>132800</v>
      </c>
      <c r="BH515" s="37">
        <f t="shared" si="250"/>
        <v>141400</v>
      </c>
      <c r="BI515">
        <v>132800</v>
      </c>
      <c r="BL515" s="8">
        <f t="shared" si="251"/>
        <v>99791.907514450868</v>
      </c>
      <c r="BM515" s="7" t="str">
        <f t="shared" si="232"/>
        <v>Terdaftar BPJS Kes &amp; Naker</v>
      </c>
      <c r="BN515" s="11">
        <f t="shared" si="233"/>
        <v>161196</v>
      </c>
      <c r="BO515" s="11">
        <f t="shared" si="234"/>
        <v>128391.20000000001</v>
      </c>
      <c r="BP515" s="9">
        <f t="shared" si="252"/>
        <v>0</v>
      </c>
      <c r="BQ515" t="str">
        <f>_xlfn.XLOOKUP(X515,'[2]NON TETAP'!$H:$H,'[2]NON TETAP'!$I:$I)</f>
        <v>GRAMEDIA ASRI MEDIA</v>
      </c>
    </row>
    <row r="516" spans="1:69" x14ac:dyDescent="0.3">
      <c r="A516" s="2">
        <v>515</v>
      </c>
      <c r="B516" s="5" t="s">
        <v>988</v>
      </c>
      <c r="C516" s="6" t="s">
        <v>241</v>
      </c>
      <c r="D516" s="6"/>
      <c r="E516" s="6" t="s">
        <v>73</v>
      </c>
      <c r="F516" s="6" t="s">
        <v>73</v>
      </c>
      <c r="G516" s="6" t="s">
        <v>73</v>
      </c>
      <c r="H516" s="6"/>
      <c r="K516" s="6">
        <v>800641</v>
      </c>
      <c r="M516" s="6"/>
      <c r="N516" s="46" t="s">
        <v>992</v>
      </c>
      <c r="O516" s="6">
        <v>1695550116</v>
      </c>
      <c r="P516" s="48" t="s">
        <v>991</v>
      </c>
      <c r="Q516" s="6">
        <v>10105</v>
      </c>
      <c r="R516" s="6">
        <v>27105</v>
      </c>
      <c r="S516" s="5" t="str">
        <f>VLOOKUP(T516,'[1]Kode Posisi'!$A$3:$B$45,2,)</f>
        <v>Outsourcing Keamanan</v>
      </c>
      <c r="T516" t="s">
        <v>37</v>
      </c>
      <c r="V516" s="44" t="s">
        <v>990</v>
      </c>
      <c r="W516" s="5" t="s">
        <v>104</v>
      </c>
      <c r="X516" s="5" t="s">
        <v>104</v>
      </c>
      <c r="Y516" s="42" t="s">
        <v>262</v>
      </c>
      <c r="Z516" s="46" t="s">
        <v>989</v>
      </c>
      <c r="AA516" s="42" t="s">
        <v>988</v>
      </c>
      <c r="AB516" s="47">
        <v>2828000</v>
      </c>
      <c r="AC516" s="41">
        <v>2828000</v>
      </c>
      <c r="AD516" s="52" t="s">
        <v>229</v>
      </c>
      <c r="AE516" s="16">
        <f t="shared" si="235"/>
        <v>172000</v>
      </c>
      <c r="AF516" s="16">
        <v>0</v>
      </c>
      <c r="AG516" s="17">
        <v>0</v>
      </c>
      <c r="AI516" s="16">
        <v>122820.80924855491</v>
      </c>
      <c r="AK516" s="16">
        <v>0</v>
      </c>
      <c r="AL516" s="11">
        <f t="shared" si="236"/>
        <v>2950820.809248555</v>
      </c>
      <c r="AM516" s="16">
        <f t="shared" si="237"/>
        <v>289587.19999999995</v>
      </c>
      <c r="AN516" s="16">
        <f t="shared" si="238"/>
        <v>113120</v>
      </c>
      <c r="AO516" s="16">
        <f t="shared" si="229"/>
        <v>176467.19999999998</v>
      </c>
      <c r="AP516" s="16">
        <f t="shared" si="239"/>
        <v>104636</v>
      </c>
      <c r="AQ516" s="16">
        <f t="shared" si="240"/>
        <v>3240408.0092485547</v>
      </c>
      <c r="AR516" s="16">
        <f t="shared" si="231"/>
        <v>194424.48055491329</v>
      </c>
      <c r="AS516" s="16">
        <f t="shared" si="241"/>
        <v>21386.692861040461</v>
      </c>
      <c r="AT516" s="16">
        <f t="shared" si="242"/>
        <v>-3888.4896110982659</v>
      </c>
      <c r="AU516" s="16">
        <f t="shared" si="243"/>
        <v>3430944.0001923698</v>
      </c>
      <c r="AV516" s="16">
        <f t="shared" si="244"/>
        <v>3434832.4898034679</v>
      </c>
      <c r="AW516" s="16">
        <f t="shared" si="245"/>
        <v>113120</v>
      </c>
      <c r="AX516" s="16" t="s">
        <v>235</v>
      </c>
      <c r="AZ516" s="17">
        <f t="shared" si="227"/>
        <v>2900</v>
      </c>
      <c r="BA516" s="16">
        <f t="shared" si="246"/>
        <v>2837700.809248555</v>
      </c>
      <c r="BB516" s="16">
        <f t="shared" si="247"/>
        <v>2834800.809248555</v>
      </c>
      <c r="BC516" s="15">
        <v>0.03</v>
      </c>
      <c r="BD516">
        <v>0.01</v>
      </c>
      <c r="BE516" s="37">
        <f t="shared" si="248"/>
        <v>261307.19999999998</v>
      </c>
      <c r="BF516" s="38">
        <f t="shared" si="249"/>
        <v>161196</v>
      </c>
      <c r="BG516" s="37">
        <f t="shared" si="230"/>
        <v>132800</v>
      </c>
      <c r="BH516" s="37">
        <f t="shared" si="250"/>
        <v>141400</v>
      </c>
      <c r="BI516">
        <v>132800</v>
      </c>
      <c r="BL516" s="8">
        <f t="shared" si="251"/>
        <v>122820.80924855491</v>
      </c>
      <c r="BM516" s="7" t="str">
        <f t="shared" si="232"/>
        <v>Terdaftar BPJS Kes &amp; Naker</v>
      </c>
      <c r="BN516" s="11">
        <f t="shared" si="233"/>
        <v>161196</v>
      </c>
      <c r="BO516" s="11">
        <f t="shared" si="234"/>
        <v>128391.20000000001</v>
      </c>
      <c r="BP516" s="9">
        <f t="shared" si="252"/>
        <v>0</v>
      </c>
      <c r="BQ516" t="str">
        <f>_xlfn.XLOOKUP(X516,'[2]NON TETAP'!$H:$H,'[2]NON TETAP'!$I:$I)</f>
        <v>GRAMEDIA ASRI MEDIA</v>
      </c>
    </row>
    <row r="517" spans="1:69" x14ac:dyDescent="0.3">
      <c r="A517" s="2">
        <v>516</v>
      </c>
      <c r="B517" s="5" t="s">
        <v>982</v>
      </c>
      <c r="C517" s="6" t="s">
        <v>241</v>
      </c>
      <c r="D517" s="6"/>
      <c r="E517" s="6" t="s">
        <v>73</v>
      </c>
      <c r="F517" s="6" t="s">
        <v>73</v>
      </c>
      <c r="G517" s="6" t="s">
        <v>73</v>
      </c>
      <c r="H517" s="6"/>
      <c r="K517" s="6">
        <v>800643</v>
      </c>
      <c r="M517" s="6"/>
      <c r="N517" s="46" t="s">
        <v>987</v>
      </c>
      <c r="O517" s="6">
        <v>847904163</v>
      </c>
      <c r="P517" s="48" t="s">
        <v>986</v>
      </c>
      <c r="Q517" s="6">
        <v>10458</v>
      </c>
      <c r="R517" s="6">
        <v>27458</v>
      </c>
      <c r="S517" s="5" t="str">
        <f>VLOOKUP(T517,'[1]Kode Posisi'!$A$3:$B$45,2,)</f>
        <v>Outsourcing Keamanan</v>
      </c>
      <c r="T517" t="s">
        <v>37</v>
      </c>
      <c r="V517" s="44" t="s">
        <v>985</v>
      </c>
      <c r="W517" s="5" t="s">
        <v>984</v>
      </c>
      <c r="X517" s="5" t="s">
        <v>984</v>
      </c>
      <c r="Y517" s="42" t="s">
        <v>63</v>
      </c>
      <c r="Z517" s="59" t="s">
        <v>983</v>
      </c>
      <c r="AA517" s="42" t="s">
        <v>982</v>
      </c>
      <c r="AB517" s="47">
        <v>3020000</v>
      </c>
      <c r="AC517" s="41">
        <v>3020000</v>
      </c>
      <c r="AD517" s="52" t="s">
        <v>981</v>
      </c>
      <c r="AE517" s="16">
        <f t="shared" si="235"/>
        <v>160000</v>
      </c>
      <c r="AF517" s="16">
        <v>0</v>
      </c>
      <c r="AG517" s="17">
        <v>0</v>
      </c>
      <c r="AI517" s="16">
        <v>0</v>
      </c>
      <c r="AK517" s="16"/>
      <c r="AL517" s="11">
        <f t="shared" si="236"/>
        <v>3020000</v>
      </c>
      <c r="AM517" s="16">
        <f t="shared" si="237"/>
        <v>309248</v>
      </c>
      <c r="AN517" s="16">
        <f t="shared" si="238"/>
        <v>120800</v>
      </c>
      <c r="AO517" s="16">
        <f t="shared" si="229"/>
        <v>188448</v>
      </c>
      <c r="AP517" s="16">
        <f t="shared" si="239"/>
        <v>111740</v>
      </c>
      <c r="AQ517" s="16">
        <f t="shared" si="240"/>
        <v>3329248</v>
      </c>
      <c r="AR517" s="16">
        <f t="shared" si="231"/>
        <v>199754.88</v>
      </c>
      <c r="AS517" s="16">
        <f t="shared" si="241"/>
        <v>21973.036800000002</v>
      </c>
      <c r="AT517" s="16">
        <f t="shared" si="242"/>
        <v>-3995.0976000000001</v>
      </c>
      <c r="AU517" s="16">
        <f t="shared" si="243"/>
        <v>3525007.7823999999</v>
      </c>
      <c r="AV517" s="16">
        <f t="shared" si="244"/>
        <v>3529002.88</v>
      </c>
      <c r="AW517" s="16">
        <f t="shared" si="245"/>
        <v>120800</v>
      </c>
      <c r="AX517" s="16" t="s">
        <v>91</v>
      </c>
      <c r="AZ517" s="17">
        <f t="shared" si="227"/>
        <v>2900</v>
      </c>
      <c r="BA517" s="16">
        <f t="shared" si="246"/>
        <v>2899200</v>
      </c>
      <c r="BB517" s="16">
        <f t="shared" si="247"/>
        <v>2896300</v>
      </c>
      <c r="BC517" s="15">
        <v>0.03</v>
      </c>
      <c r="BD517">
        <v>0.01</v>
      </c>
      <c r="BE517" s="37">
        <f t="shared" si="248"/>
        <v>279048</v>
      </c>
      <c r="BF517" s="38">
        <f t="shared" si="249"/>
        <v>172140</v>
      </c>
      <c r="BG517" s="37">
        <f t="shared" si="230"/>
        <v>143000</v>
      </c>
      <c r="BH517" s="37">
        <f t="shared" si="250"/>
        <v>151000</v>
      </c>
      <c r="BI517">
        <v>143000</v>
      </c>
      <c r="BL517" s="8">
        <f t="shared" si="251"/>
        <v>0</v>
      </c>
      <c r="BM517" s="7" t="str">
        <f t="shared" si="232"/>
        <v>Terdaftar BPJS Kes &amp; Naker</v>
      </c>
      <c r="BN517" s="11">
        <f t="shared" si="233"/>
        <v>172140</v>
      </c>
      <c r="BO517" s="11">
        <f t="shared" si="234"/>
        <v>137108</v>
      </c>
      <c r="BP517" s="9">
        <f t="shared" si="252"/>
        <v>0</v>
      </c>
      <c r="BQ517" t="str">
        <f>_xlfn.XLOOKUP(X517,'[2]NON TETAP'!$H:$H,'[2]NON TETAP'!$I:$I)</f>
        <v>GRAMEDIA ASRI MEDIA</v>
      </c>
    </row>
    <row r="518" spans="1:69" x14ac:dyDescent="0.3">
      <c r="A518" s="2">
        <v>517</v>
      </c>
      <c r="B518" s="5" t="s">
        <v>977</v>
      </c>
      <c r="C518" s="6" t="s">
        <v>241</v>
      </c>
      <c r="D518" s="6"/>
      <c r="E518" s="6" t="s">
        <v>73</v>
      </c>
      <c r="F518" s="6" t="s">
        <v>73</v>
      </c>
      <c r="G518" s="6"/>
      <c r="H518" s="6"/>
      <c r="I518" s="6"/>
      <c r="J518" s="6"/>
      <c r="K518" s="6">
        <v>800646</v>
      </c>
      <c r="M518" s="6"/>
      <c r="N518" s="6" t="s">
        <v>980</v>
      </c>
      <c r="O518" s="6">
        <v>1220307366</v>
      </c>
      <c r="P518" s="48" t="s">
        <v>979</v>
      </c>
      <c r="Q518" s="6">
        <v>10452</v>
      </c>
      <c r="R518" s="6">
        <v>27452</v>
      </c>
      <c r="S518" s="5" t="str">
        <f>VLOOKUP(T518,'[1]Kode Posisi'!$A$3:$B$45,2,)</f>
        <v>Outsourcing Petugas Administrasi</v>
      </c>
      <c r="T518" t="s">
        <v>35</v>
      </c>
      <c r="V518" s="44" t="s">
        <v>978</v>
      </c>
      <c r="W518" s="5" t="s">
        <v>172</v>
      </c>
      <c r="X518" s="5" t="s">
        <v>172</v>
      </c>
      <c r="Y518" t="s">
        <v>52</v>
      </c>
      <c r="Z518" s="46">
        <v>2290582329</v>
      </c>
      <c r="AA518" t="s">
        <v>977</v>
      </c>
      <c r="AB518" s="47">
        <v>5730000</v>
      </c>
      <c r="AC518" s="41">
        <v>5730000</v>
      </c>
      <c r="AD518" s="52" t="s">
        <v>177</v>
      </c>
      <c r="AE518" s="16">
        <f t="shared" si="235"/>
        <v>333000</v>
      </c>
      <c r="AF518" s="16">
        <v>0</v>
      </c>
      <c r="AG518" s="17">
        <v>0</v>
      </c>
      <c r="AI518" s="16">
        <v>0</v>
      </c>
      <c r="AK518" s="16"/>
      <c r="AL518" s="11">
        <f t="shared" si="236"/>
        <v>5730000</v>
      </c>
      <c r="AM518" s="16">
        <f t="shared" si="237"/>
        <v>586752</v>
      </c>
      <c r="AN518" s="16">
        <f t="shared" si="238"/>
        <v>229200</v>
      </c>
      <c r="AO518" s="16">
        <f t="shared" si="229"/>
        <v>357552</v>
      </c>
      <c r="AP518" s="16">
        <f t="shared" si="239"/>
        <v>212010</v>
      </c>
      <c r="AQ518" s="16">
        <f t="shared" si="240"/>
        <v>6316752</v>
      </c>
      <c r="AR518" s="16">
        <f t="shared" si="231"/>
        <v>379005.12</v>
      </c>
      <c r="AS518" s="16">
        <f t="shared" si="241"/>
        <v>41690.563199999997</v>
      </c>
      <c r="AT518" s="16">
        <f t="shared" si="242"/>
        <v>-7580.1023999999998</v>
      </c>
      <c r="AU518" s="16">
        <f t="shared" si="243"/>
        <v>6688177.0175999999</v>
      </c>
      <c r="AV518" s="16">
        <f t="shared" si="244"/>
        <v>6695757.1200000001</v>
      </c>
      <c r="AW518" s="16">
        <f t="shared" si="245"/>
        <v>229200</v>
      </c>
      <c r="AX518" s="16" t="s">
        <v>235</v>
      </c>
      <c r="AZ518" s="17">
        <f t="shared" si="227"/>
        <v>0</v>
      </c>
      <c r="BA518" s="16">
        <f t="shared" si="246"/>
        <v>5500800</v>
      </c>
      <c r="BB518" s="16">
        <f t="shared" si="247"/>
        <v>5500800</v>
      </c>
      <c r="BC518" s="15">
        <v>0.03</v>
      </c>
      <c r="BD518">
        <v>0.01</v>
      </c>
      <c r="BE518" s="37">
        <f t="shared" si="248"/>
        <v>529452</v>
      </c>
      <c r="BF518" s="38">
        <f t="shared" si="249"/>
        <v>326610</v>
      </c>
      <c r="BG518" s="37">
        <f t="shared" si="230"/>
        <v>269850</v>
      </c>
      <c r="BH518" s="37">
        <f t="shared" si="250"/>
        <v>286500</v>
      </c>
      <c r="BI518">
        <v>269850</v>
      </c>
      <c r="BL518" s="8">
        <f t="shared" si="251"/>
        <v>0</v>
      </c>
      <c r="BM518" s="7" t="str">
        <f t="shared" si="232"/>
        <v>Terdaftar BPJS Kes &amp; Naker</v>
      </c>
      <c r="BN518" s="11">
        <f t="shared" si="233"/>
        <v>326610</v>
      </c>
      <c r="BO518" s="11">
        <f t="shared" si="234"/>
        <v>260142.00000000003</v>
      </c>
      <c r="BP518" s="9">
        <f t="shared" si="252"/>
        <v>0</v>
      </c>
      <c r="BQ518" t="str">
        <f>_xlfn.XLOOKUP(X518,'[2]NON TETAP'!$H:$H,'[2]NON TETAP'!$I:$I)</f>
        <v>GRAMEDIA ASRI MEDIA</v>
      </c>
    </row>
    <row r="519" spans="1:69" x14ac:dyDescent="0.3">
      <c r="A519" s="2">
        <v>518</v>
      </c>
      <c r="B519" s="5" t="s">
        <v>976</v>
      </c>
      <c r="C519" s="6" t="s">
        <v>241</v>
      </c>
      <c r="D519" s="6"/>
      <c r="E519" s="6" t="s">
        <v>73</v>
      </c>
      <c r="F519" s="6" t="s">
        <v>73</v>
      </c>
      <c r="G519" s="6"/>
      <c r="H519" s="6"/>
      <c r="I519" s="6"/>
      <c r="J519" s="6"/>
      <c r="K519" s="6">
        <v>800647</v>
      </c>
      <c r="M519" s="6"/>
      <c r="N519" s="6" t="s">
        <v>975</v>
      </c>
      <c r="O519" s="6">
        <v>2509801705</v>
      </c>
      <c r="P519" s="48" t="s">
        <v>974</v>
      </c>
      <c r="Q519" s="6">
        <v>10452</v>
      </c>
      <c r="R519" s="6">
        <v>27452</v>
      </c>
      <c r="S519" s="5" t="str">
        <f>VLOOKUP(T519,'[1]Kode Posisi'!$A$3:$B$45,2,)</f>
        <v>Outsourcing Petugas Administrasi</v>
      </c>
      <c r="T519" t="s">
        <v>35</v>
      </c>
      <c r="V519" s="44" t="s">
        <v>973</v>
      </c>
      <c r="W519" s="5" t="s">
        <v>172</v>
      </c>
      <c r="X519" s="5" t="s">
        <v>172</v>
      </c>
      <c r="Y519" t="s">
        <v>52</v>
      </c>
      <c r="Z519" s="46">
        <v>2870424101</v>
      </c>
      <c r="AA519" t="s">
        <v>972</v>
      </c>
      <c r="AB519" s="47">
        <v>5730000</v>
      </c>
      <c r="AC519" s="41">
        <v>5730000</v>
      </c>
      <c r="AD519" s="52" t="s">
        <v>177</v>
      </c>
      <c r="AE519" s="16">
        <f t="shared" si="235"/>
        <v>333000</v>
      </c>
      <c r="AF519" s="16">
        <v>0</v>
      </c>
      <c r="AG519" s="17">
        <v>0</v>
      </c>
      <c r="AI519" s="16">
        <v>0</v>
      </c>
      <c r="AK519" s="16"/>
      <c r="AL519" s="11">
        <f t="shared" si="236"/>
        <v>5730000</v>
      </c>
      <c r="AM519" s="16">
        <f t="shared" si="237"/>
        <v>586752</v>
      </c>
      <c r="AN519" s="16">
        <f t="shared" si="238"/>
        <v>229200</v>
      </c>
      <c r="AO519" s="16">
        <f t="shared" si="229"/>
        <v>357552</v>
      </c>
      <c r="AP519" s="16">
        <f t="shared" si="239"/>
        <v>212010</v>
      </c>
      <c r="AQ519" s="16">
        <f t="shared" si="240"/>
        <v>6316752</v>
      </c>
      <c r="AR519" s="16">
        <f t="shared" si="231"/>
        <v>379005.12</v>
      </c>
      <c r="AS519" s="16">
        <f t="shared" si="241"/>
        <v>41690.563199999997</v>
      </c>
      <c r="AT519" s="16">
        <f t="shared" si="242"/>
        <v>-7580.1023999999998</v>
      </c>
      <c r="AU519" s="16">
        <f t="shared" si="243"/>
        <v>6688177.0175999999</v>
      </c>
      <c r="AV519" s="16">
        <f t="shared" si="244"/>
        <v>6695757.1200000001</v>
      </c>
      <c r="AW519" s="16">
        <f t="shared" si="245"/>
        <v>229200</v>
      </c>
      <c r="AX519" s="16" t="s">
        <v>243</v>
      </c>
      <c r="AZ519" s="17">
        <f t="shared" si="227"/>
        <v>0</v>
      </c>
      <c r="BA519" s="16">
        <f t="shared" si="246"/>
        <v>5500800</v>
      </c>
      <c r="BB519" s="16">
        <f t="shared" si="247"/>
        <v>5500800</v>
      </c>
      <c r="BC519" s="15">
        <v>0.03</v>
      </c>
      <c r="BD519">
        <v>0.01</v>
      </c>
      <c r="BE519" s="37">
        <f t="shared" si="248"/>
        <v>529452</v>
      </c>
      <c r="BF519" s="38">
        <f t="shared" si="249"/>
        <v>326610</v>
      </c>
      <c r="BG519" s="37">
        <f t="shared" si="230"/>
        <v>269850</v>
      </c>
      <c r="BH519" s="37">
        <f t="shared" si="250"/>
        <v>286500</v>
      </c>
      <c r="BI519">
        <v>269850</v>
      </c>
      <c r="BL519" s="8">
        <f t="shared" si="251"/>
        <v>0</v>
      </c>
      <c r="BM519" s="7" t="str">
        <f t="shared" si="232"/>
        <v>Terdaftar BPJS Kes &amp; Naker</v>
      </c>
      <c r="BN519" s="11">
        <f t="shared" si="233"/>
        <v>326610</v>
      </c>
      <c r="BO519" s="11">
        <f t="shared" si="234"/>
        <v>260142.00000000003</v>
      </c>
      <c r="BP519" s="9">
        <f t="shared" si="252"/>
        <v>0</v>
      </c>
      <c r="BQ519" t="str">
        <f>_xlfn.XLOOKUP(X519,'[2]NON TETAP'!$H:$H,'[2]NON TETAP'!$I:$I)</f>
        <v>GRAMEDIA ASRI MEDIA</v>
      </c>
    </row>
    <row r="520" spans="1:69" x14ac:dyDescent="0.3">
      <c r="A520" s="2">
        <v>519</v>
      </c>
      <c r="B520" s="4" t="s">
        <v>968</v>
      </c>
      <c r="C520" s="6" t="s">
        <v>241</v>
      </c>
      <c r="D520" s="6"/>
      <c r="E520" s="6" t="s">
        <v>73</v>
      </c>
      <c r="F520" s="6" t="s">
        <v>73</v>
      </c>
      <c r="G520" s="6" t="s">
        <v>73</v>
      </c>
      <c r="H520" s="6"/>
      <c r="K520" s="6">
        <v>800650</v>
      </c>
      <c r="M520" s="6"/>
      <c r="N520" s="46" t="s">
        <v>971</v>
      </c>
      <c r="O520" s="6">
        <v>90146125</v>
      </c>
      <c r="P520" s="48" t="s">
        <v>970</v>
      </c>
      <c r="Q520" s="6">
        <v>10108</v>
      </c>
      <c r="R520" s="6">
        <v>27108</v>
      </c>
      <c r="S520" s="5" t="str">
        <f>VLOOKUP(T520,'[1]Kode Posisi'!$A$3:$B$45,2,)</f>
        <v>Outsourcing Keamanan</v>
      </c>
      <c r="T520" t="s">
        <v>37</v>
      </c>
      <c r="V520" s="44">
        <v>82326650632</v>
      </c>
      <c r="W520" s="5" t="s">
        <v>45</v>
      </c>
      <c r="X520" s="5" t="s">
        <v>44</v>
      </c>
      <c r="Y520" t="s">
        <v>262</v>
      </c>
      <c r="Z520" s="46" t="s">
        <v>969</v>
      </c>
      <c r="AA520" t="s">
        <v>968</v>
      </c>
      <c r="AB520" s="47">
        <v>5730000</v>
      </c>
      <c r="AC520" s="41">
        <v>5730000</v>
      </c>
      <c r="AD520" s="52" t="s">
        <v>177</v>
      </c>
      <c r="AE520" s="16">
        <f t="shared" si="235"/>
        <v>333000</v>
      </c>
      <c r="AF520" s="16">
        <v>0</v>
      </c>
      <c r="AG520" s="17">
        <v>0</v>
      </c>
      <c r="AI520" s="16">
        <v>0</v>
      </c>
      <c r="AK520" s="16"/>
      <c r="AL520" s="11">
        <f t="shared" si="236"/>
        <v>5730000</v>
      </c>
      <c r="AM520" s="16">
        <f t="shared" si="237"/>
        <v>586752</v>
      </c>
      <c r="AN520" s="16">
        <f t="shared" si="238"/>
        <v>229200</v>
      </c>
      <c r="AO520" s="16">
        <f t="shared" si="229"/>
        <v>357552</v>
      </c>
      <c r="AP520" s="16">
        <f t="shared" si="239"/>
        <v>212010</v>
      </c>
      <c r="AQ520" s="16">
        <f t="shared" si="240"/>
        <v>6316752</v>
      </c>
      <c r="AR520" s="16">
        <f t="shared" si="231"/>
        <v>379005.12</v>
      </c>
      <c r="AS520" s="16">
        <f t="shared" si="241"/>
        <v>41690.563199999997</v>
      </c>
      <c r="AT520" s="16">
        <f t="shared" si="242"/>
        <v>-7580.1023999999998</v>
      </c>
      <c r="AU520" s="16">
        <f t="shared" si="243"/>
        <v>6688177.0175999999</v>
      </c>
      <c r="AV520" s="16">
        <f t="shared" si="244"/>
        <v>6695757.1200000001</v>
      </c>
      <c r="AW520" s="16">
        <f t="shared" si="245"/>
        <v>229200</v>
      </c>
      <c r="AX520" s="16" t="s">
        <v>235</v>
      </c>
      <c r="AZ520" s="17">
        <f t="shared" ref="AZ520:AZ583" si="253">IF(Y520="BCA",0,2900)</f>
        <v>2900</v>
      </c>
      <c r="BA520" s="16">
        <f t="shared" si="246"/>
        <v>5500800</v>
      </c>
      <c r="BB520" s="16">
        <f t="shared" si="247"/>
        <v>5497900</v>
      </c>
      <c r="BC520" s="15">
        <v>0.03</v>
      </c>
      <c r="BD520">
        <v>0.01</v>
      </c>
      <c r="BE520" s="37">
        <f t="shared" si="248"/>
        <v>529452</v>
      </c>
      <c r="BF520" s="38">
        <f t="shared" si="249"/>
        <v>326610</v>
      </c>
      <c r="BG520" s="37">
        <f t="shared" si="230"/>
        <v>269850</v>
      </c>
      <c r="BH520" s="37">
        <f t="shared" si="250"/>
        <v>286500</v>
      </c>
      <c r="BI520">
        <v>269850</v>
      </c>
      <c r="BL520" s="8">
        <f t="shared" si="251"/>
        <v>0</v>
      </c>
      <c r="BM520" s="7" t="str">
        <f t="shared" si="232"/>
        <v>Terdaftar BPJS Kes &amp; Naker</v>
      </c>
      <c r="BN520" s="11">
        <f t="shared" si="233"/>
        <v>326610</v>
      </c>
      <c r="BO520" s="11">
        <f t="shared" si="234"/>
        <v>260142.00000000003</v>
      </c>
      <c r="BP520" s="9">
        <f t="shared" si="252"/>
        <v>0</v>
      </c>
      <c r="BQ520" t="str">
        <f>_xlfn.XLOOKUP(X520,'[2]NON TETAP'!$H:$H,'[2]NON TETAP'!$I:$I)</f>
        <v>GRAMEDIA ASRI MEDIA</v>
      </c>
    </row>
    <row r="521" spans="1:69" x14ac:dyDescent="0.3">
      <c r="A521" s="2">
        <v>520</v>
      </c>
      <c r="B521" s="4" t="s">
        <v>963</v>
      </c>
      <c r="C521" s="6" t="s">
        <v>241</v>
      </c>
      <c r="D521" s="6"/>
      <c r="E521" s="6" t="s">
        <v>73</v>
      </c>
      <c r="F521" s="6" t="s">
        <v>73</v>
      </c>
      <c r="G521" s="6"/>
      <c r="H521" s="6"/>
      <c r="K521" s="6">
        <v>800651</v>
      </c>
      <c r="M521" s="6"/>
      <c r="N521" s="46" t="s">
        <v>967</v>
      </c>
      <c r="O521" s="6">
        <v>321643642</v>
      </c>
      <c r="P521" s="48" t="s">
        <v>966</v>
      </c>
      <c r="Q521" s="6">
        <v>10488</v>
      </c>
      <c r="R521" s="6">
        <v>27488</v>
      </c>
      <c r="S521" s="5" t="str">
        <f>VLOOKUP(T521,'[1]Kode Posisi'!$A$3:$B$45,2,)</f>
        <v>Outsourcing Keamanan</v>
      </c>
      <c r="T521" t="s">
        <v>37</v>
      </c>
      <c r="V521" s="44">
        <v>83178515587</v>
      </c>
      <c r="W521" s="5" t="s">
        <v>965</v>
      </c>
      <c r="X521" s="5" t="s">
        <v>965</v>
      </c>
      <c r="Y521" t="s">
        <v>473</v>
      </c>
      <c r="Z521" s="46" t="s">
        <v>964</v>
      </c>
      <c r="AA521" t="s">
        <v>963</v>
      </c>
      <c r="AB521" s="47">
        <v>4193000</v>
      </c>
      <c r="AC521" s="41">
        <v>4193000</v>
      </c>
      <c r="AD521" s="52" t="s">
        <v>962</v>
      </c>
      <c r="AE521" s="16">
        <f t="shared" si="235"/>
        <v>276000</v>
      </c>
      <c r="AF521" s="16">
        <v>0</v>
      </c>
      <c r="AG521" s="17">
        <v>0</v>
      </c>
      <c r="AI521" s="16">
        <v>0</v>
      </c>
      <c r="AK521" s="16"/>
      <c r="AL521" s="11">
        <f t="shared" si="236"/>
        <v>4193000</v>
      </c>
      <c r="AM521" s="16">
        <f t="shared" si="237"/>
        <v>429363.19999999995</v>
      </c>
      <c r="AN521" s="16">
        <f t="shared" si="238"/>
        <v>167720</v>
      </c>
      <c r="AO521" s="16">
        <f t="shared" si="229"/>
        <v>261643.19999999998</v>
      </c>
      <c r="AP521" s="16">
        <f t="shared" si="239"/>
        <v>155141</v>
      </c>
      <c r="AQ521" s="16">
        <f t="shared" si="240"/>
        <v>4622363.2</v>
      </c>
      <c r="AR521" s="16">
        <f t="shared" si="231"/>
        <v>277341.79200000002</v>
      </c>
      <c r="AS521" s="16">
        <f t="shared" si="241"/>
        <v>30507.597120000002</v>
      </c>
      <c r="AT521" s="16">
        <f t="shared" si="242"/>
        <v>-5546.8358400000006</v>
      </c>
      <c r="AU521" s="16">
        <f t="shared" si="243"/>
        <v>4894158.1561600007</v>
      </c>
      <c r="AV521" s="16">
        <f t="shared" si="244"/>
        <v>4899704.9920000006</v>
      </c>
      <c r="AW521" s="16">
        <f t="shared" si="245"/>
        <v>167720</v>
      </c>
      <c r="AX521" s="16" t="s">
        <v>235</v>
      </c>
      <c r="AZ521" s="17">
        <f t="shared" si="253"/>
        <v>2900</v>
      </c>
      <c r="BA521" s="16">
        <f t="shared" si="246"/>
        <v>4025280</v>
      </c>
      <c r="BB521" s="16">
        <f t="shared" si="247"/>
        <v>4022380</v>
      </c>
      <c r="BC521" s="15">
        <v>0.03</v>
      </c>
      <c r="BD521">
        <v>0.01</v>
      </c>
      <c r="BE521" s="37">
        <f t="shared" si="248"/>
        <v>387433.2</v>
      </c>
      <c r="BF521" s="38">
        <f t="shared" si="249"/>
        <v>239001.00000000003</v>
      </c>
      <c r="BG521" s="37">
        <f t="shared" si="230"/>
        <v>195850</v>
      </c>
      <c r="BH521" s="37">
        <f t="shared" si="250"/>
        <v>209650</v>
      </c>
      <c r="BI521">
        <v>195850</v>
      </c>
      <c r="BL521" s="8">
        <f t="shared" si="251"/>
        <v>0</v>
      </c>
      <c r="BM521" s="7" t="str">
        <f t="shared" si="232"/>
        <v>Terdaftar BPJS Kes &amp; Naker</v>
      </c>
      <c r="BN521" s="11">
        <f t="shared" si="233"/>
        <v>239001</v>
      </c>
      <c r="BO521" s="11">
        <f t="shared" si="234"/>
        <v>190362.2</v>
      </c>
      <c r="BP521" s="9">
        <f t="shared" si="252"/>
        <v>0</v>
      </c>
      <c r="BQ521" t="str">
        <f>_xlfn.XLOOKUP(X521,'[2]NON TETAP'!$H:$H,'[2]NON TETAP'!$I:$I)</f>
        <v>GRAMEDIA ASRI MEDIA</v>
      </c>
    </row>
    <row r="522" spans="1:69" x14ac:dyDescent="0.3">
      <c r="A522" s="2">
        <v>521</v>
      </c>
      <c r="B522" s="4" t="s">
        <v>961</v>
      </c>
      <c r="C522" s="6" t="s">
        <v>241</v>
      </c>
      <c r="D522" s="6"/>
      <c r="E522" s="6" t="s">
        <v>73</v>
      </c>
      <c r="F522" s="6" t="s">
        <v>73</v>
      </c>
      <c r="G522" s="6" t="s">
        <v>73</v>
      </c>
      <c r="H522" s="6"/>
      <c r="K522" s="6">
        <v>800652</v>
      </c>
      <c r="M522" s="6"/>
      <c r="N522" s="6" t="s">
        <v>960</v>
      </c>
      <c r="O522" s="6">
        <v>2631397757</v>
      </c>
      <c r="P522" s="48" t="s">
        <v>959</v>
      </c>
      <c r="Q522" s="6">
        <v>10108</v>
      </c>
      <c r="R522" s="6">
        <v>27108</v>
      </c>
      <c r="S522" s="5" t="str">
        <f>VLOOKUP(T522,'[1]Kode Posisi'!$A$3:$B$45,2,)</f>
        <v>Outsourcing Keamanan</v>
      </c>
      <c r="T522" t="s">
        <v>37</v>
      </c>
      <c r="V522" s="44">
        <v>85781003963</v>
      </c>
      <c r="W522" s="5" t="s">
        <v>45</v>
      </c>
      <c r="X522" s="5" t="s">
        <v>44</v>
      </c>
      <c r="Y522" t="s">
        <v>52</v>
      </c>
      <c r="Z522" s="46">
        <v>3420778766</v>
      </c>
      <c r="AA522" t="s">
        <v>958</v>
      </c>
      <c r="AB522" s="47">
        <v>5730000</v>
      </c>
      <c r="AC522" s="41">
        <v>5730000</v>
      </c>
      <c r="AD522" s="52" t="s">
        <v>177</v>
      </c>
      <c r="AE522" s="16">
        <f t="shared" si="235"/>
        <v>333000</v>
      </c>
      <c r="AF522" s="16">
        <v>0</v>
      </c>
      <c r="AG522" s="17">
        <v>0</v>
      </c>
      <c r="AI522" s="16">
        <v>436751.44508670521</v>
      </c>
      <c r="AK522" s="16"/>
      <c r="AL522" s="11">
        <f t="shared" si="236"/>
        <v>6166751.4450867055</v>
      </c>
      <c r="AM522" s="16">
        <f t="shared" si="237"/>
        <v>586752</v>
      </c>
      <c r="AN522" s="16">
        <f t="shared" si="238"/>
        <v>229200</v>
      </c>
      <c r="AO522" s="16">
        <f t="shared" si="229"/>
        <v>357552</v>
      </c>
      <c r="AP522" s="16">
        <f t="shared" si="239"/>
        <v>212010</v>
      </c>
      <c r="AQ522" s="16">
        <f t="shared" si="240"/>
        <v>6753503.4450867055</v>
      </c>
      <c r="AR522" s="16">
        <f t="shared" si="231"/>
        <v>405210.20670520229</v>
      </c>
      <c r="AS522" s="16">
        <f t="shared" si="241"/>
        <v>44573.122737572252</v>
      </c>
      <c r="AT522" s="16">
        <f t="shared" si="242"/>
        <v>-8104.2041341040458</v>
      </c>
      <c r="AU522" s="16">
        <f t="shared" si="243"/>
        <v>7150609.447657804</v>
      </c>
      <c r="AV522" s="16">
        <f t="shared" si="244"/>
        <v>7158713.6517919078</v>
      </c>
      <c r="AW522" s="16">
        <f t="shared" si="245"/>
        <v>229200</v>
      </c>
      <c r="AX522" s="16" t="s">
        <v>235</v>
      </c>
      <c r="AZ522" s="17">
        <f t="shared" si="253"/>
        <v>0</v>
      </c>
      <c r="BA522" s="16">
        <f t="shared" si="246"/>
        <v>5937551.4450867055</v>
      </c>
      <c r="BB522" s="16">
        <f t="shared" si="247"/>
        <v>5937551.4450867055</v>
      </c>
      <c r="BC522" s="15">
        <v>0.03</v>
      </c>
      <c r="BD522">
        <v>0.01</v>
      </c>
      <c r="BE522" s="37">
        <f t="shared" si="248"/>
        <v>529452</v>
      </c>
      <c r="BF522" s="38">
        <f t="shared" si="249"/>
        <v>326610</v>
      </c>
      <c r="BG522" s="37">
        <f t="shared" si="230"/>
        <v>269850</v>
      </c>
      <c r="BH522" s="37">
        <f t="shared" si="250"/>
        <v>286500</v>
      </c>
      <c r="BI522">
        <v>269850</v>
      </c>
      <c r="BL522" s="8">
        <f t="shared" si="251"/>
        <v>436751.44508670521</v>
      </c>
      <c r="BM522" s="7" t="str">
        <f t="shared" si="232"/>
        <v>Terdaftar BPJS Kes &amp; Naker</v>
      </c>
      <c r="BN522" s="11">
        <f t="shared" si="233"/>
        <v>326610</v>
      </c>
      <c r="BO522" s="11">
        <f t="shared" si="234"/>
        <v>260142.00000000003</v>
      </c>
      <c r="BP522" s="9">
        <f t="shared" si="252"/>
        <v>0</v>
      </c>
      <c r="BQ522" t="str">
        <f>_xlfn.XLOOKUP(X522,'[2]NON TETAP'!$H:$H,'[2]NON TETAP'!$I:$I)</f>
        <v>GRAMEDIA ASRI MEDIA</v>
      </c>
    </row>
    <row r="523" spans="1:69" x14ac:dyDescent="0.3">
      <c r="A523" s="2">
        <v>522</v>
      </c>
      <c r="B523" s="4" t="s">
        <v>954</v>
      </c>
      <c r="C523" s="6" t="s">
        <v>241</v>
      </c>
      <c r="D523" s="6"/>
      <c r="E523" s="6" t="s">
        <v>73</v>
      </c>
      <c r="F523" s="6" t="s">
        <v>73</v>
      </c>
      <c r="G523" s="6"/>
      <c r="H523" s="6"/>
      <c r="J523" t="s">
        <v>933</v>
      </c>
      <c r="K523" s="6">
        <v>800654</v>
      </c>
      <c r="M523" s="6"/>
      <c r="N523" s="6" t="s">
        <v>957</v>
      </c>
      <c r="O523" s="6">
        <v>1396111678</v>
      </c>
      <c r="P523" s="48" t="s">
        <v>956</v>
      </c>
      <c r="Q523" s="6">
        <v>11198</v>
      </c>
      <c r="R523" s="6">
        <v>27593</v>
      </c>
      <c r="S523" s="5" t="str">
        <f>VLOOKUP(T523,'[1]Kode Posisi'!$A$3:$B$45,2,)</f>
        <v>Outsourcing Petugas Gudang</v>
      </c>
      <c r="T523" t="s">
        <v>6</v>
      </c>
      <c r="V523" s="44">
        <v>85232341539</v>
      </c>
      <c r="W523" s="5" t="s">
        <v>5</v>
      </c>
      <c r="X523" s="5" t="s">
        <v>453</v>
      </c>
      <c r="Y523" t="s">
        <v>63</v>
      </c>
      <c r="Z523" s="57" t="s">
        <v>955</v>
      </c>
      <c r="AA523" t="s">
        <v>954</v>
      </c>
      <c r="AB523" s="41">
        <v>5289000</v>
      </c>
      <c r="AC523" s="41">
        <v>5289000</v>
      </c>
      <c r="AD523" s="52" t="s">
        <v>929</v>
      </c>
      <c r="AE523" s="16"/>
      <c r="AF523" s="16">
        <v>0</v>
      </c>
      <c r="AG523" s="17">
        <v>0</v>
      </c>
      <c r="AI523" s="16">
        <v>0</v>
      </c>
      <c r="AK523" s="16"/>
      <c r="AL523" s="11">
        <f t="shared" si="236"/>
        <v>5289000</v>
      </c>
      <c r="AM523" s="16">
        <f t="shared" si="237"/>
        <v>541593.59999999998</v>
      </c>
      <c r="AN523" s="16">
        <f t="shared" si="238"/>
        <v>211560</v>
      </c>
      <c r="AO523" s="16">
        <f t="shared" si="229"/>
        <v>330033.59999999998</v>
      </c>
      <c r="AP523" s="16">
        <f t="shared" si="239"/>
        <v>195693</v>
      </c>
      <c r="AQ523" s="16">
        <f t="shared" si="240"/>
        <v>5830593.5999999996</v>
      </c>
      <c r="AR523" s="16">
        <f t="shared" si="231"/>
        <v>349835.61599999998</v>
      </c>
      <c r="AS523" s="16">
        <f t="shared" si="241"/>
        <v>38481.917759999997</v>
      </c>
      <c r="AT523" s="16">
        <f t="shared" si="242"/>
        <v>-6996.7123199999996</v>
      </c>
      <c r="AU523" s="16">
        <f t="shared" si="243"/>
        <v>6173432.5036800001</v>
      </c>
      <c r="AV523" s="16">
        <f t="shared" si="244"/>
        <v>6180429.216</v>
      </c>
      <c r="AW523" s="16">
        <f t="shared" si="245"/>
        <v>211560</v>
      </c>
      <c r="AX523" s="16" t="s">
        <v>235</v>
      </c>
      <c r="AZ523" s="17">
        <f t="shared" si="253"/>
        <v>2900</v>
      </c>
      <c r="BA523" s="16">
        <f t="shared" si="246"/>
        <v>5077440</v>
      </c>
      <c r="BB523" s="16">
        <f t="shared" si="247"/>
        <v>5074540</v>
      </c>
      <c r="BC523" s="15">
        <v>0.03</v>
      </c>
      <c r="BD523">
        <v>0.01</v>
      </c>
      <c r="BE523" s="37">
        <f t="shared" si="248"/>
        <v>488703.6</v>
      </c>
      <c r="BF523" s="38">
        <f t="shared" si="249"/>
        <v>301473</v>
      </c>
      <c r="BG523" s="37">
        <f t="shared" si="230"/>
        <v>243550</v>
      </c>
      <c r="BH523" s="37">
        <f t="shared" si="250"/>
        <v>264450</v>
      </c>
      <c r="BI523">
        <v>243550</v>
      </c>
      <c r="BL523" s="8">
        <f t="shared" si="251"/>
        <v>0</v>
      </c>
      <c r="BM523" s="7" t="str">
        <f t="shared" si="232"/>
        <v>Terdaftar BPJS Kes &amp; Naker</v>
      </c>
      <c r="BN523" s="11">
        <f t="shared" si="233"/>
        <v>301473</v>
      </c>
      <c r="BO523" s="11">
        <f t="shared" si="234"/>
        <v>240120.6</v>
      </c>
      <c r="BP523" s="9">
        <f t="shared" si="252"/>
        <v>0</v>
      </c>
      <c r="BQ523" t="s">
        <v>8</v>
      </c>
    </row>
    <row r="524" spans="1:69" x14ac:dyDescent="0.3">
      <c r="A524" s="2">
        <v>523</v>
      </c>
      <c r="B524" s="4" t="s">
        <v>949</v>
      </c>
      <c r="C524" s="6" t="s">
        <v>241</v>
      </c>
      <c r="D524" s="6"/>
      <c r="E524" s="6" t="s">
        <v>73</v>
      </c>
      <c r="F524" s="6" t="s">
        <v>73</v>
      </c>
      <c r="G524" s="6" t="s">
        <v>73</v>
      </c>
      <c r="H524" s="6"/>
      <c r="K524" s="6">
        <v>800619</v>
      </c>
      <c r="M524" s="6"/>
      <c r="N524" s="6" t="s">
        <v>953</v>
      </c>
      <c r="O524" s="6">
        <v>2042579621</v>
      </c>
      <c r="P524" s="48" t="s">
        <v>952</v>
      </c>
      <c r="Q524" s="6">
        <v>10168</v>
      </c>
      <c r="R524" s="6">
        <v>27168</v>
      </c>
      <c r="S524" s="5" t="str">
        <f>VLOOKUP(T524,'[1]Kode Posisi'!$A$3:$B$45,2,)</f>
        <v>Outsourcing Keamanan</v>
      </c>
      <c r="T524" t="s">
        <v>37</v>
      </c>
      <c r="V524" s="44">
        <v>82282652186</v>
      </c>
      <c r="W524" s="5" t="s">
        <v>951</v>
      </c>
      <c r="X524" s="5" t="s">
        <v>951</v>
      </c>
      <c r="Y524" t="s">
        <v>63</v>
      </c>
      <c r="Z524" s="57" t="s">
        <v>950</v>
      </c>
      <c r="AA524" t="s">
        <v>949</v>
      </c>
      <c r="AB524" s="3">
        <v>3608000</v>
      </c>
      <c r="AC524" s="47">
        <v>3869000</v>
      </c>
      <c r="AD524" s="52" t="s">
        <v>948</v>
      </c>
      <c r="AE524" s="16"/>
      <c r="AF524" s="16">
        <v>0</v>
      </c>
      <c r="AG524" s="17">
        <v>0</v>
      </c>
      <c r="AI524" s="16">
        <v>0</v>
      </c>
      <c r="AK524" s="16"/>
      <c r="AL524" s="11">
        <f t="shared" si="236"/>
        <v>3608000</v>
      </c>
      <c r="AM524" s="16">
        <f t="shared" si="237"/>
        <v>396185.59999999998</v>
      </c>
      <c r="AN524" s="16">
        <f t="shared" si="238"/>
        <v>154760</v>
      </c>
      <c r="AO524" s="16">
        <f t="shared" si="229"/>
        <v>241425.59999999998</v>
      </c>
      <c r="AP524" s="16">
        <f t="shared" si="239"/>
        <v>133496</v>
      </c>
      <c r="AQ524" s="16">
        <f t="shared" si="240"/>
        <v>4004185.6</v>
      </c>
      <c r="AR524" s="16">
        <f t="shared" si="231"/>
        <v>240251.136</v>
      </c>
      <c r="AS524" s="16">
        <f t="shared" si="241"/>
        <v>26427.624960000001</v>
      </c>
      <c r="AT524" s="16">
        <f t="shared" si="242"/>
        <v>-4805.0227199999999</v>
      </c>
      <c r="AU524" s="16">
        <f t="shared" si="243"/>
        <v>4239631.7132800007</v>
      </c>
      <c r="AV524" s="16">
        <f t="shared" si="244"/>
        <v>4244436.7360000005</v>
      </c>
      <c r="AW524" s="16">
        <f t="shared" si="245"/>
        <v>154760</v>
      </c>
      <c r="AX524" s="16" t="s">
        <v>235</v>
      </c>
      <c r="AZ524" s="17">
        <f t="shared" si="253"/>
        <v>2900</v>
      </c>
      <c r="BA524" s="16">
        <f t="shared" si="246"/>
        <v>3453240</v>
      </c>
      <c r="BB524" s="16">
        <f t="shared" si="247"/>
        <v>3450340</v>
      </c>
      <c r="BC524" s="15">
        <v>0.03</v>
      </c>
      <c r="BD524">
        <v>0.01</v>
      </c>
      <c r="BE524" s="37">
        <f t="shared" si="248"/>
        <v>357495.6</v>
      </c>
      <c r="BF524" s="38">
        <f t="shared" si="249"/>
        <v>220533</v>
      </c>
      <c r="BG524" s="37">
        <f t="shared" si="230"/>
        <v>180400</v>
      </c>
      <c r="BH524" s="37">
        <f t="shared" si="250"/>
        <v>193450</v>
      </c>
      <c r="BI524">
        <v>180400</v>
      </c>
      <c r="BL524" s="8">
        <f t="shared" si="251"/>
        <v>0</v>
      </c>
      <c r="BM524" s="7" t="str">
        <f t="shared" si="232"/>
        <v>Terdaftar BPJS Kes &amp; Naker</v>
      </c>
      <c r="BN524" s="11">
        <f t="shared" si="233"/>
        <v>220533</v>
      </c>
      <c r="BO524" s="11">
        <f t="shared" si="234"/>
        <v>175652.6</v>
      </c>
      <c r="BP524" s="9">
        <f t="shared" si="252"/>
        <v>0</v>
      </c>
      <c r="BQ524" t="str">
        <f>_xlfn.XLOOKUP(X524,'[2]NON TETAP'!$H:$H,'[2]NON TETAP'!$I:$I)</f>
        <v>GRAMEDIA ASRI MEDIA</v>
      </c>
    </row>
    <row r="525" spans="1:69" x14ac:dyDescent="0.3">
      <c r="A525" s="2">
        <v>524</v>
      </c>
      <c r="B525" s="4" t="s">
        <v>947</v>
      </c>
      <c r="C525" s="6" t="s">
        <v>241</v>
      </c>
      <c r="D525" s="6"/>
      <c r="E525" s="6" t="s">
        <v>73</v>
      </c>
      <c r="F525" s="6" t="s">
        <v>73</v>
      </c>
      <c r="G525" s="6"/>
      <c r="H525" s="6"/>
      <c r="J525" t="s">
        <v>933</v>
      </c>
      <c r="K525" s="6">
        <v>800656</v>
      </c>
      <c r="M525" s="6"/>
      <c r="N525" s="6" t="s">
        <v>946</v>
      </c>
      <c r="O525" s="6">
        <v>2158639367</v>
      </c>
      <c r="P525" s="48" t="s">
        <v>945</v>
      </c>
      <c r="Q525" s="6">
        <v>11198</v>
      </c>
      <c r="R525" s="6">
        <v>27593</v>
      </c>
      <c r="S525" s="5" t="str">
        <f>VLOOKUP(T525,'[1]Kode Posisi'!$A$3:$B$45,2,)</f>
        <v>Outsourcing Petugas Gudang</v>
      </c>
      <c r="T525" t="s">
        <v>6</v>
      </c>
      <c r="V525" s="44">
        <v>85649923932</v>
      </c>
      <c r="W525" s="5" t="s">
        <v>5</v>
      </c>
      <c r="X525" s="5" t="s">
        <v>453</v>
      </c>
      <c r="Y525" t="s">
        <v>473</v>
      </c>
      <c r="Z525" s="57" t="s">
        <v>944</v>
      </c>
      <c r="AA525" t="s">
        <v>943</v>
      </c>
      <c r="AB525" s="41">
        <v>5289000</v>
      </c>
      <c r="AC525" s="41">
        <v>5289000</v>
      </c>
      <c r="AD525" s="52" t="s">
        <v>929</v>
      </c>
      <c r="AE525" s="16"/>
      <c r="AF525" s="16">
        <v>0</v>
      </c>
      <c r="AG525" s="17">
        <v>0</v>
      </c>
      <c r="AI525" s="16">
        <v>0</v>
      </c>
      <c r="AK525" s="16"/>
      <c r="AL525" s="11">
        <f t="shared" si="236"/>
        <v>5289000</v>
      </c>
      <c r="AM525" s="16">
        <f t="shared" si="237"/>
        <v>541593.59999999998</v>
      </c>
      <c r="AN525" s="16">
        <f t="shared" si="238"/>
        <v>211560</v>
      </c>
      <c r="AO525" s="16">
        <f t="shared" si="229"/>
        <v>330033.59999999998</v>
      </c>
      <c r="AP525" s="16">
        <f t="shared" si="239"/>
        <v>195693</v>
      </c>
      <c r="AQ525" s="16">
        <f t="shared" si="240"/>
        <v>5830593.5999999996</v>
      </c>
      <c r="AR525" s="16">
        <f t="shared" si="231"/>
        <v>349835.61599999998</v>
      </c>
      <c r="AS525" s="16">
        <f t="shared" si="241"/>
        <v>38481.917759999997</v>
      </c>
      <c r="AT525" s="16">
        <f t="shared" si="242"/>
        <v>-6996.7123199999996</v>
      </c>
      <c r="AU525" s="16">
        <f t="shared" si="243"/>
        <v>6173432.5036800001</v>
      </c>
      <c r="AV525" s="16">
        <f t="shared" si="244"/>
        <v>6180429.216</v>
      </c>
      <c r="AW525" s="16">
        <f t="shared" si="245"/>
        <v>211560</v>
      </c>
      <c r="AX525" s="16" t="s">
        <v>235</v>
      </c>
      <c r="AZ525" s="17">
        <f t="shared" si="253"/>
        <v>2900</v>
      </c>
      <c r="BA525" s="16">
        <f t="shared" si="246"/>
        <v>5077440</v>
      </c>
      <c r="BB525" s="16">
        <f t="shared" si="247"/>
        <v>5074540</v>
      </c>
      <c r="BC525" s="15">
        <v>0.03</v>
      </c>
      <c r="BD525">
        <v>0.01</v>
      </c>
      <c r="BE525" s="37">
        <f t="shared" si="248"/>
        <v>488703.6</v>
      </c>
      <c r="BF525" s="38">
        <f t="shared" si="249"/>
        <v>301473</v>
      </c>
      <c r="BG525" s="37">
        <f t="shared" si="230"/>
        <v>243550</v>
      </c>
      <c r="BH525" s="37">
        <f t="shared" si="250"/>
        <v>264450</v>
      </c>
      <c r="BI525">
        <v>243550</v>
      </c>
      <c r="BL525" s="8">
        <f t="shared" si="251"/>
        <v>0</v>
      </c>
      <c r="BM525" s="7" t="str">
        <f t="shared" si="232"/>
        <v>Terdaftar BPJS Kes &amp; Naker</v>
      </c>
      <c r="BN525" s="11">
        <f t="shared" si="233"/>
        <v>301473</v>
      </c>
      <c r="BO525" s="11">
        <f t="shared" si="234"/>
        <v>240120.6</v>
      </c>
      <c r="BP525" s="9">
        <f t="shared" si="252"/>
        <v>0</v>
      </c>
      <c r="BQ525" t="s">
        <v>8</v>
      </c>
    </row>
    <row r="526" spans="1:69" x14ac:dyDescent="0.3">
      <c r="A526" s="2">
        <v>525</v>
      </c>
      <c r="B526" s="4" t="s">
        <v>940</v>
      </c>
      <c r="C526" s="6" t="s">
        <v>241</v>
      </c>
      <c r="D526" s="6"/>
      <c r="E526" s="6" t="s">
        <v>73</v>
      </c>
      <c r="F526" s="6" t="s">
        <v>73</v>
      </c>
      <c r="G526" s="6"/>
      <c r="H526" s="6"/>
      <c r="J526" t="s">
        <v>933</v>
      </c>
      <c r="K526" s="6">
        <v>800657</v>
      </c>
      <c r="M526" s="6"/>
      <c r="N526" s="6" t="s">
        <v>942</v>
      </c>
      <c r="O526" s="6">
        <v>1378201151</v>
      </c>
      <c r="P526" s="48" t="s">
        <v>941</v>
      </c>
      <c r="Q526" s="6">
        <v>11198</v>
      </c>
      <c r="R526" s="6">
        <v>27593</v>
      </c>
      <c r="S526" s="5" t="str">
        <f>VLOOKUP(T526,'[1]Kode Posisi'!$A$3:$B$45,2,)</f>
        <v>Outsourcing Petugas Gudang</v>
      </c>
      <c r="T526" t="s">
        <v>6</v>
      </c>
      <c r="V526" s="44">
        <v>81252369490</v>
      </c>
      <c r="W526" s="5" t="s">
        <v>5</v>
      </c>
      <c r="X526" s="5" t="s">
        <v>453</v>
      </c>
      <c r="Y526" t="s">
        <v>52</v>
      </c>
      <c r="Z526" s="46">
        <v>6265151926</v>
      </c>
      <c r="AA526" t="s">
        <v>940</v>
      </c>
      <c r="AB526" s="41">
        <v>5289000</v>
      </c>
      <c r="AC526" s="41">
        <v>5289000</v>
      </c>
      <c r="AD526" s="52" t="s">
        <v>929</v>
      </c>
      <c r="AE526" s="16"/>
      <c r="AF526" s="16">
        <v>0</v>
      </c>
      <c r="AG526" s="17">
        <v>0</v>
      </c>
      <c r="AI526" s="16">
        <v>0</v>
      </c>
      <c r="AK526" s="16"/>
      <c r="AL526" s="11">
        <f t="shared" si="236"/>
        <v>5289000</v>
      </c>
      <c r="AM526" s="16">
        <f t="shared" si="237"/>
        <v>541593.59999999998</v>
      </c>
      <c r="AN526" s="16">
        <f t="shared" si="238"/>
        <v>211560</v>
      </c>
      <c r="AO526" s="16">
        <f t="shared" si="229"/>
        <v>330033.59999999998</v>
      </c>
      <c r="AP526" s="16">
        <f t="shared" si="239"/>
        <v>195693</v>
      </c>
      <c r="AQ526" s="16">
        <f t="shared" si="240"/>
        <v>5830593.5999999996</v>
      </c>
      <c r="AR526" s="16">
        <f t="shared" si="231"/>
        <v>349835.61599999998</v>
      </c>
      <c r="AS526" s="16">
        <f t="shared" si="241"/>
        <v>38481.917759999997</v>
      </c>
      <c r="AT526" s="16">
        <f t="shared" si="242"/>
        <v>-6996.7123199999996</v>
      </c>
      <c r="AU526" s="16">
        <f t="shared" si="243"/>
        <v>6173432.5036800001</v>
      </c>
      <c r="AV526" s="16">
        <f t="shared" si="244"/>
        <v>6180429.216</v>
      </c>
      <c r="AW526" s="16">
        <f t="shared" si="245"/>
        <v>211560</v>
      </c>
      <c r="AX526" s="16" t="s">
        <v>235</v>
      </c>
      <c r="AZ526" s="17">
        <f t="shared" si="253"/>
        <v>0</v>
      </c>
      <c r="BA526" s="16">
        <f t="shared" si="246"/>
        <v>5077440</v>
      </c>
      <c r="BB526" s="16">
        <f t="shared" si="247"/>
        <v>5077440</v>
      </c>
      <c r="BC526" s="15">
        <v>0.03</v>
      </c>
      <c r="BD526">
        <v>0.01</v>
      </c>
      <c r="BE526" s="37">
        <f t="shared" si="248"/>
        <v>488703.6</v>
      </c>
      <c r="BF526" s="38">
        <f t="shared" si="249"/>
        <v>301473</v>
      </c>
      <c r="BG526" s="37">
        <f t="shared" si="230"/>
        <v>243550</v>
      </c>
      <c r="BH526" s="37">
        <f t="shared" si="250"/>
        <v>264450</v>
      </c>
      <c r="BI526">
        <v>243550</v>
      </c>
      <c r="BL526" s="8">
        <f t="shared" si="251"/>
        <v>0</v>
      </c>
      <c r="BM526" s="7" t="str">
        <f t="shared" si="232"/>
        <v>Terdaftar BPJS Kes &amp; Naker</v>
      </c>
      <c r="BN526" s="11">
        <f t="shared" si="233"/>
        <v>301473</v>
      </c>
      <c r="BO526" s="11">
        <f t="shared" si="234"/>
        <v>240120.6</v>
      </c>
      <c r="BP526" s="9">
        <f t="shared" si="252"/>
        <v>0</v>
      </c>
      <c r="BQ526" t="s">
        <v>8</v>
      </c>
    </row>
    <row r="527" spans="1:69" x14ac:dyDescent="0.3">
      <c r="A527" s="2">
        <v>526</v>
      </c>
      <c r="B527" s="4" t="s">
        <v>939</v>
      </c>
      <c r="C527" s="6" t="s">
        <v>309</v>
      </c>
      <c r="D527" s="6" t="s">
        <v>938</v>
      </c>
      <c r="E527" s="6" t="s">
        <v>73</v>
      </c>
      <c r="F527" s="6" t="s">
        <v>73</v>
      </c>
      <c r="G527" s="6"/>
      <c r="H527" s="6"/>
      <c r="I527" t="s">
        <v>937</v>
      </c>
      <c r="J527" t="s">
        <v>444</v>
      </c>
      <c r="K527" s="6">
        <v>800658</v>
      </c>
      <c r="M527" s="6"/>
      <c r="N527" s="6" t="s">
        <v>936</v>
      </c>
      <c r="O527" s="6">
        <v>1646326833</v>
      </c>
      <c r="P527" s="48" t="s">
        <v>935</v>
      </c>
      <c r="Q527" s="6">
        <v>18090</v>
      </c>
      <c r="R527" s="6">
        <v>27600</v>
      </c>
      <c r="S527" s="5" t="str">
        <f>VLOOKUP(T527,'[1]Kode Posisi'!$A$3:$B$45,2,)</f>
        <v>Outsourcing Petugas Administrasi</v>
      </c>
      <c r="T527" t="s">
        <v>35</v>
      </c>
      <c r="V527" s="44">
        <v>81311037113</v>
      </c>
      <c r="W527" s="5" t="s">
        <v>98</v>
      </c>
      <c r="X527" s="5" t="s">
        <v>98</v>
      </c>
      <c r="Y527" t="s">
        <v>52</v>
      </c>
      <c r="Z527" s="46">
        <v>7610748893</v>
      </c>
      <c r="AA527" t="s">
        <v>934</v>
      </c>
      <c r="AB527" s="47">
        <v>5730000</v>
      </c>
      <c r="AC527" s="41">
        <v>5730000</v>
      </c>
      <c r="AD527" s="52" t="s">
        <v>177</v>
      </c>
      <c r="AE527" s="16"/>
      <c r="AF527" s="16">
        <v>0</v>
      </c>
      <c r="AG527" s="17">
        <v>150000</v>
      </c>
      <c r="AI527" s="16">
        <v>0</v>
      </c>
      <c r="AK527" s="16">
        <v>818571.42857142852</v>
      </c>
      <c r="AL527" s="11">
        <f t="shared" si="236"/>
        <v>5061428.5714285718</v>
      </c>
      <c r="AM527" s="16">
        <f t="shared" si="237"/>
        <v>586752</v>
      </c>
      <c r="AN527" s="16">
        <f t="shared" si="238"/>
        <v>229200</v>
      </c>
      <c r="AO527" s="16">
        <f t="shared" si="229"/>
        <v>357552</v>
      </c>
      <c r="AP527" s="16">
        <f t="shared" si="239"/>
        <v>212010</v>
      </c>
      <c r="AQ527" s="16">
        <f t="shared" si="240"/>
        <v>5648180.5714285718</v>
      </c>
      <c r="AR527" s="16">
        <f t="shared" si="231"/>
        <v>338890.83428571431</v>
      </c>
      <c r="AS527" s="16">
        <f t="shared" si="241"/>
        <v>37277.991771428577</v>
      </c>
      <c r="AT527" s="16">
        <f t="shared" si="242"/>
        <v>-6777.816685714286</v>
      </c>
      <c r="AU527" s="16">
        <f t="shared" si="243"/>
        <v>5980293.5890285727</v>
      </c>
      <c r="AV527" s="16">
        <f t="shared" si="244"/>
        <v>5987071.4057142865</v>
      </c>
      <c r="AW527" s="16">
        <f t="shared" si="245"/>
        <v>229200</v>
      </c>
      <c r="AX527" s="16" t="s">
        <v>235</v>
      </c>
      <c r="AZ527" s="17">
        <f t="shared" si="253"/>
        <v>0</v>
      </c>
      <c r="BA527" s="16">
        <f t="shared" si="246"/>
        <v>4832228.5714285718</v>
      </c>
      <c r="BB527" s="16">
        <f t="shared" si="247"/>
        <v>4832228.5714285718</v>
      </c>
      <c r="BC527" s="15">
        <v>0.03</v>
      </c>
      <c r="BD527">
        <v>0.01</v>
      </c>
      <c r="BE527" s="37">
        <f t="shared" si="248"/>
        <v>529452</v>
      </c>
      <c r="BF527" s="38">
        <f t="shared" si="249"/>
        <v>326610</v>
      </c>
      <c r="BG527" s="37">
        <f t="shared" si="230"/>
        <v>269850</v>
      </c>
      <c r="BH527" s="37">
        <f t="shared" si="250"/>
        <v>286500</v>
      </c>
      <c r="BI527">
        <v>269850</v>
      </c>
      <c r="BL527" s="8">
        <f t="shared" si="251"/>
        <v>-668571.42857142852</v>
      </c>
      <c r="BM527" s="7" t="str">
        <f t="shared" si="232"/>
        <v>Terdaftar BPJS Kes &amp; Naker</v>
      </c>
      <c r="BN527" s="11">
        <f t="shared" si="233"/>
        <v>326610</v>
      </c>
      <c r="BO527" s="11">
        <f t="shared" si="234"/>
        <v>260142.00000000003</v>
      </c>
      <c r="BP527" s="9">
        <f t="shared" si="252"/>
        <v>0</v>
      </c>
      <c r="BQ527" t="str">
        <f>_xlfn.XLOOKUP(X527,'[2]NON TETAP'!$H:$H,'[2]NON TETAP'!$I:$I)</f>
        <v>GRAMEDIA ASRI MEDIA</v>
      </c>
    </row>
    <row r="528" spans="1:69" x14ac:dyDescent="0.3">
      <c r="A528" s="2">
        <v>527</v>
      </c>
      <c r="B528" s="4" t="s">
        <v>930</v>
      </c>
      <c r="C528" s="6" t="s">
        <v>241</v>
      </c>
      <c r="D528" s="6"/>
      <c r="E528" s="6" t="s">
        <v>73</v>
      </c>
      <c r="F528" s="6" t="s">
        <v>73</v>
      </c>
      <c r="G528" s="6"/>
      <c r="H528" s="6"/>
      <c r="J528" t="s">
        <v>933</v>
      </c>
      <c r="K528" s="6">
        <v>800659</v>
      </c>
      <c r="M528" s="6"/>
      <c r="N528" s="6" t="s">
        <v>932</v>
      </c>
      <c r="O528" s="6">
        <v>789844893</v>
      </c>
      <c r="P528" s="48" t="s">
        <v>931</v>
      </c>
      <c r="Q528" s="6">
        <v>11198</v>
      </c>
      <c r="R528" s="6">
        <v>27593</v>
      </c>
      <c r="S528" s="5" t="str">
        <f>VLOOKUP(T528,'[1]Kode Posisi'!$A$3:$B$45,2,)</f>
        <v>Outsourcing Petugas Administrasi</v>
      </c>
      <c r="T528" t="s">
        <v>35</v>
      </c>
      <c r="V528" s="44">
        <v>87811499660</v>
      </c>
      <c r="W528" s="5" t="s">
        <v>5</v>
      </c>
      <c r="X528" s="5" t="s">
        <v>453</v>
      </c>
      <c r="Y528" t="s">
        <v>52</v>
      </c>
      <c r="Z528" s="46">
        <v>7290132457</v>
      </c>
      <c r="AA528" t="s">
        <v>930</v>
      </c>
      <c r="AB528" s="41">
        <v>5289000</v>
      </c>
      <c r="AC528" s="41">
        <v>5289000</v>
      </c>
      <c r="AD528" s="52" t="s">
        <v>929</v>
      </c>
      <c r="AE528" s="16"/>
      <c r="AF528" s="16">
        <v>0</v>
      </c>
      <c r="AG528" s="17">
        <v>0</v>
      </c>
      <c r="AI528" s="16">
        <v>0</v>
      </c>
      <c r="AK528" s="16"/>
      <c r="AL528" s="11">
        <f t="shared" si="236"/>
        <v>5289000</v>
      </c>
      <c r="AM528" s="16">
        <f t="shared" si="237"/>
        <v>541593.59999999998</v>
      </c>
      <c r="AN528" s="16">
        <f t="shared" si="238"/>
        <v>211560</v>
      </c>
      <c r="AO528" s="16">
        <f t="shared" si="229"/>
        <v>330033.59999999998</v>
      </c>
      <c r="AP528" s="16">
        <f t="shared" si="239"/>
        <v>195693</v>
      </c>
      <c r="AQ528" s="16">
        <f t="shared" si="240"/>
        <v>5830593.5999999996</v>
      </c>
      <c r="AR528" s="16">
        <f t="shared" si="231"/>
        <v>349835.61599999998</v>
      </c>
      <c r="AS528" s="16">
        <f t="shared" si="241"/>
        <v>38481.917759999997</v>
      </c>
      <c r="AT528" s="16">
        <f t="shared" si="242"/>
        <v>-6996.7123199999996</v>
      </c>
      <c r="AU528" s="16">
        <f t="shared" si="243"/>
        <v>6173432.5036800001</v>
      </c>
      <c r="AV528" s="16">
        <f t="shared" si="244"/>
        <v>6180429.216</v>
      </c>
      <c r="AW528" s="16">
        <f t="shared" si="245"/>
        <v>211560</v>
      </c>
      <c r="AX528" s="16" t="s">
        <v>235</v>
      </c>
      <c r="AZ528" s="17">
        <f t="shared" si="253"/>
        <v>0</v>
      </c>
      <c r="BA528" s="16">
        <f t="shared" si="246"/>
        <v>5077440</v>
      </c>
      <c r="BB528" s="16">
        <f t="shared" si="247"/>
        <v>5077440</v>
      </c>
      <c r="BC528" s="15">
        <v>0.03</v>
      </c>
      <c r="BD528">
        <v>0.01</v>
      </c>
      <c r="BE528" s="37">
        <f t="shared" si="248"/>
        <v>488703.6</v>
      </c>
      <c r="BF528" s="38">
        <f t="shared" si="249"/>
        <v>301473</v>
      </c>
      <c r="BG528" s="37">
        <f t="shared" si="230"/>
        <v>243550</v>
      </c>
      <c r="BH528" s="37">
        <f t="shared" si="250"/>
        <v>264450</v>
      </c>
      <c r="BI528">
        <v>243550</v>
      </c>
      <c r="BL528" s="8">
        <f t="shared" si="251"/>
        <v>0</v>
      </c>
      <c r="BM528" s="7" t="str">
        <f t="shared" si="232"/>
        <v>Terdaftar BPJS Kes &amp; Naker</v>
      </c>
      <c r="BN528" s="11">
        <f t="shared" si="233"/>
        <v>301473</v>
      </c>
      <c r="BO528" s="11">
        <f t="shared" si="234"/>
        <v>240120.6</v>
      </c>
      <c r="BP528" s="9">
        <f t="shared" si="252"/>
        <v>0</v>
      </c>
      <c r="BQ528" t="s">
        <v>8</v>
      </c>
    </row>
    <row r="529" spans="1:69" x14ac:dyDescent="0.3">
      <c r="A529" s="2">
        <v>528</v>
      </c>
      <c r="B529" s="4" t="s">
        <v>928</v>
      </c>
      <c r="C529" s="6" t="s">
        <v>241</v>
      </c>
      <c r="D529" s="6"/>
      <c r="E529" s="6" t="s">
        <v>73</v>
      </c>
      <c r="F529" s="6" t="s">
        <v>73</v>
      </c>
      <c r="G529" s="6"/>
      <c r="H529" s="6"/>
      <c r="K529" s="6">
        <v>800616</v>
      </c>
      <c r="M529" s="6"/>
      <c r="N529" s="46" t="s">
        <v>927</v>
      </c>
      <c r="O529" s="6">
        <v>261693292</v>
      </c>
      <c r="P529" s="48" t="s">
        <v>926</v>
      </c>
      <c r="Q529" s="6">
        <v>99090</v>
      </c>
      <c r="R529" s="6">
        <v>27004</v>
      </c>
      <c r="S529" s="5" t="str">
        <f>VLOOKUP(T529,'[1]Kode Posisi'!$A$3:$B$45,2,)</f>
        <v>Outsourcing Penjualan</v>
      </c>
      <c r="T529" t="s">
        <v>21</v>
      </c>
      <c r="V529" t="s">
        <v>925</v>
      </c>
      <c r="W529" s="5" t="s">
        <v>924</v>
      </c>
      <c r="X529" s="36" t="s">
        <v>23</v>
      </c>
      <c r="Y529" t="s">
        <v>52</v>
      </c>
      <c r="Z529" s="46">
        <v>8115352128</v>
      </c>
      <c r="AA529" t="s">
        <v>923</v>
      </c>
      <c r="AB529" s="47">
        <v>4336000</v>
      </c>
      <c r="AC529" s="41">
        <v>4336000</v>
      </c>
      <c r="AD529" s="52" t="s">
        <v>496</v>
      </c>
      <c r="AE529" s="16">
        <f>AB529-AD529</f>
        <v>321000</v>
      </c>
      <c r="AF529" s="16">
        <v>0</v>
      </c>
      <c r="AG529" s="17">
        <v>0</v>
      </c>
      <c r="AI529" s="16">
        <v>0</v>
      </c>
      <c r="AK529" s="16"/>
      <c r="AL529" s="11">
        <f t="shared" si="236"/>
        <v>4336000</v>
      </c>
      <c r="AM529" s="16">
        <f t="shared" si="237"/>
        <v>444006.39999999997</v>
      </c>
      <c r="AN529" s="16">
        <f t="shared" si="238"/>
        <v>173440</v>
      </c>
      <c r="AO529" s="16">
        <f t="shared" si="229"/>
        <v>270566.39999999997</v>
      </c>
      <c r="AP529" s="16">
        <f t="shared" si="239"/>
        <v>160432</v>
      </c>
      <c r="AQ529" s="16">
        <f t="shared" si="240"/>
        <v>4780006.4000000004</v>
      </c>
      <c r="AR529" s="16">
        <f t="shared" si="231"/>
        <v>286800.38400000002</v>
      </c>
      <c r="AS529" s="16">
        <f t="shared" si="241"/>
        <v>31548.042240000002</v>
      </c>
      <c r="AT529" s="16">
        <f t="shared" si="242"/>
        <v>-5736.0076800000006</v>
      </c>
      <c r="AU529" s="16">
        <f t="shared" si="243"/>
        <v>5061070.7763200002</v>
      </c>
      <c r="AV529" s="16">
        <f t="shared" si="244"/>
        <v>5066806.784</v>
      </c>
      <c r="AW529" s="16">
        <f t="shared" si="245"/>
        <v>173440</v>
      </c>
      <c r="AX529" s="16" t="s">
        <v>235</v>
      </c>
      <c r="AZ529" s="17">
        <f t="shared" si="253"/>
        <v>0</v>
      </c>
      <c r="BA529" s="16">
        <f t="shared" si="246"/>
        <v>4162560</v>
      </c>
      <c r="BB529" s="16">
        <f t="shared" si="247"/>
        <v>4162560</v>
      </c>
      <c r="BC529" s="15">
        <v>0.03</v>
      </c>
      <c r="BD529">
        <v>0.01</v>
      </c>
      <c r="BE529" s="37">
        <f t="shared" si="248"/>
        <v>400646.39999999997</v>
      </c>
      <c r="BF529" s="38">
        <f t="shared" si="249"/>
        <v>247152</v>
      </c>
      <c r="BG529" s="37">
        <f t="shared" si="230"/>
        <v>200750</v>
      </c>
      <c r="BH529" s="37">
        <f t="shared" si="250"/>
        <v>216800</v>
      </c>
      <c r="BI529">
        <v>200750</v>
      </c>
      <c r="BL529" s="8">
        <f t="shared" si="251"/>
        <v>0</v>
      </c>
      <c r="BM529" s="7" t="str">
        <f t="shared" si="232"/>
        <v>Terdaftar BPJS Kes &amp; Naker</v>
      </c>
      <c r="BN529" s="11">
        <f t="shared" si="233"/>
        <v>247152</v>
      </c>
      <c r="BO529" s="11">
        <f t="shared" si="234"/>
        <v>196854.40000000002</v>
      </c>
      <c r="BP529" s="9">
        <f t="shared" si="252"/>
        <v>0</v>
      </c>
      <c r="BQ529" t="str">
        <f>_xlfn.XLOOKUP(X529,'[2]NON TETAP'!$H:$H,'[2]NON TETAP'!$I:$I)</f>
        <v>GLOBAL LINTAS KARYA UTAMA</v>
      </c>
    </row>
    <row r="530" spans="1:69" x14ac:dyDescent="0.3">
      <c r="A530" s="2">
        <v>529</v>
      </c>
      <c r="B530" s="5" t="s">
        <v>922</v>
      </c>
      <c r="C530" s="6" t="s">
        <v>241</v>
      </c>
      <c r="D530" s="6"/>
      <c r="E530" s="6" t="s">
        <v>73</v>
      </c>
      <c r="F530" s="6" t="s">
        <v>73</v>
      </c>
      <c r="G530" s="6"/>
      <c r="H530" s="6"/>
      <c r="K530" s="6">
        <v>800660</v>
      </c>
      <c r="L530" s="39"/>
      <c r="M530" s="6"/>
      <c r="N530" s="6" t="s">
        <v>921</v>
      </c>
      <c r="O530" s="6">
        <v>2209438721</v>
      </c>
      <c r="P530" s="48" t="s">
        <v>920</v>
      </c>
      <c r="Q530" s="6">
        <v>33085</v>
      </c>
      <c r="R530" s="6">
        <v>27510</v>
      </c>
      <c r="S530" s="5" t="str">
        <f>VLOOKUP(T530,'[1]Kode Posisi'!$A$3:$B$45,2,)</f>
        <v>Outsourcing Petugas Administrasi</v>
      </c>
      <c r="T530" t="s">
        <v>35</v>
      </c>
      <c r="V530" t="s">
        <v>919</v>
      </c>
      <c r="W530" s="5" t="s">
        <v>303</v>
      </c>
      <c r="X530" s="5" t="s">
        <v>622</v>
      </c>
      <c r="Y530" t="s">
        <v>473</v>
      </c>
      <c r="Z530" s="57" t="s">
        <v>918</v>
      </c>
      <c r="AA530" t="s">
        <v>917</v>
      </c>
      <c r="AB530" s="47">
        <v>6000000</v>
      </c>
      <c r="AC530" s="41">
        <v>5730000</v>
      </c>
      <c r="AD530" s="52" t="s">
        <v>177</v>
      </c>
      <c r="AF530" s="16" t="s">
        <v>916</v>
      </c>
      <c r="AI530" s="16">
        <v>0</v>
      </c>
      <c r="AK530" s="16"/>
      <c r="AL530" s="11">
        <f t="shared" si="236"/>
        <v>6000000</v>
      </c>
      <c r="AM530" s="16">
        <f t="shared" si="237"/>
        <v>586752</v>
      </c>
      <c r="AN530" s="16">
        <f t="shared" si="238"/>
        <v>229200</v>
      </c>
      <c r="AO530" s="16">
        <f t="shared" si="229"/>
        <v>357552</v>
      </c>
      <c r="AP530" s="16" t="e">
        <f t="shared" si="239"/>
        <v>#VALUE!</v>
      </c>
      <c r="AQ530" s="16">
        <f t="shared" si="240"/>
        <v>6586752</v>
      </c>
      <c r="AR530" s="16">
        <f t="shared" si="231"/>
        <v>395205.12</v>
      </c>
      <c r="AS530" s="16">
        <f t="shared" si="241"/>
        <v>43472.563199999997</v>
      </c>
      <c r="AT530" s="16">
        <f t="shared" si="242"/>
        <v>-7904.1023999999998</v>
      </c>
      <c r="AU530" s="16">
        <f t="shared" si="243"/>
        <v>6974053.0175999999</v>
      </c>
      <c r="AV530" s="16">
        <f t="shared" si="244"/>
        <v>6981957.1200000001</v>
      </c>
      <c r="AW530" s="16">
        <f t="shared" si="245"/>
        <v>229200</v>
      </c>
      <c r="AX530" s="16" t="s">
        <v>286</v>
      </c>
      <c r="AZ530" s="17">
        <f t="shared" si="253"/>
        <v>2900</v>
      </c>
      <c r="BA530" s="16">
        <f t="shared" si="246"/>
        <v>5770800</v>
      </c>
      <c r="BB530" s="16">
        <f t="shared" si="247"/>
        <v>5767900</v>
      </c>
      <c r="BC530" s="15">
        <v>0.03</v>
      </c>
      <c r="BD530">
        <v>0.01</v>
      </c>
      <c r="BE530" s="37">
        <f t="shared" si="248"/>
        <v>529452</v>
      </c>
      <c r="BF530" s="38">
        <f t="shared" si="249"/>
        <v>326610</v>
      </c>
      <c r="BG530" s="37">
        <f t="shared" si="230"/>
        <v>269850</v>
      </c>
      <c r="BH530" s="37">
        <f t="shared" si="250"/>
        <v>286500</v>
      </c>
      <c r="BI530">
        <v>269850</v>
      </c>
      <c r="BL530" s="8">
        <f t="shared" si="251"/>
        <v>0</v>
      </c>
      <c r="BM530" s="7" t="str">
        <f t="shared" si="232"/>
        <v>Terdaftar BPJS Kes &amp; Naker</v>
      </c>
      <c r="BN530" s="11">
        <f t="shared" si="233"/>
        <v>326610</v>
      </c>
      <c r="BO530" s="11">
        <f t="shared" si="234"/>
        <v>260142.00000000003</v>
      </c>
      <c r="BP530" s="9">
        <f t="shared" si="252"/>
        <v>0</v>
      </c>
      <c r="BQ530" t="s">
        <v>8</v>
      </c>
    </row>
    <row r="531" spans="1:69" x14ac:dyDescent="0.3">
      <c r="A531" s="2">
        <v>530</v>
      </c>
      <c r="B531" s="5" t="s">
        <v>911</v>
      </c>
      <c r="C531" s="6" t="s">
        <v>241</v>
      </c>
      <c r="D531" s="6"/>
      <c r="E531" s="6" t="s">
        <v>73</v>
      </c>
      <c r="F531" s="6" t="s">
        <v>73</v>
      </c>
      <c r="G531" s="6"/>
      <c r="H531" s="6"/>
      <c r="I531" s="6" t="s">
        <v>880</v>
      </c>
      <c r="K531" s="6">
        <v>800661</v>
      </c>
      <c r="L531" s="39"/>
      <c r="M531" s="6"/>
      <c r="N531" s="2" t="s">
        <v>915</v>
      </c>
      <c r="O531" s="6">
        <v>1966111817</v>
      </c>
      <c r="P531" s="48" t="s">
        <v>914</v>
      </c>
      <c r="Q531" s="6">
        <v>33085</v>
      </c>
      <c r="R531" s="6">
        <v>27510</v>
      </c>
      <c r="S531" s="5" t="str">
        <f>VLOOKUP(T531,'[1]Kode Posisi'!$A$3:$B$45,2,)</f>
        <v>Outsourcing Petugas Gudang</v>
      </c>
      <c r="T531" t="s">
        <v>2</v>
      </c>
      <c r="V531" t="s">
        <v>913</v>
      </c>
      <c r="W531" s="5" t="s">
        <v>410</v>
      </c>
      <c r="X531" s="5" t="s">
        <v>409</v>
      </c>
      <c r="Y531" t="s">
        <v>473</v>
      </c>
      <c r="Z531" s="57" t="s">
        <v>912</v>
      </c>
      <c r="AA531" t="s">
        <v>911</v>
      </c>
      <c r="AB531" s="47">
        <v>6000000</v>
      </c>
      <c r="AC531" s="41">
        <v>4738000</v>
      </c>
      <c r="AD531" s="52" t="s">
        <v>509</v>
      </c>
      <c r="AF531" s="16">
        <v>1000000</v>
      </c>
      <c r="AI531" s="16">
        <v>0</v>
      </c>
      <c r="AK531" s="16"/>
      <c r="AL531" s="11">
        <f t="shared" si="236"/>
        <v>7000000</v>
      </c>
      <c r="AM531" s="16">
        <f t="shared" si="237"/>
        <v>485171.20000000001</v>
      </c>
      <c r="AN531" s="16">
        <f t="shared" si="238"/>
        <v>189520</v>
      </c>
      <c r="AO531" s="16">
        <f t="shared" si="229"/>
        <v>295651.20000000001</v>
      </c>
      <c r="AP531" s="16">
        <f t="shared" si="239"/>
        <v>259000</v>
      </c>
      <c r="AQ531" s="16">
        <f t="shared" si="240"/>
        <v>7485171.2000000002</v>
      </c>
      <c r="AR531" s="16">
        <f t="shared" si="231"/>
        <v>449110.272</v>
      </c>
      <c r="AS531" s="16">
        <f t="shared" si="241"/>
        <v>49402.129919999999</v>
      </c>
      <c r="AT531" s="16">
        <f t="shared" si="242"/>
        <v>-8982.2054399999997</v>
      </c>
      <c r="AU531" s="16">
        <f t="shared" si="243"/>
        <v>7925299.2665600004</v>
      </c>
      <c r="AV531" s="16">
        <f t="shared" si="244"/>
        <v>7934281.4720000001</v>
      </c>
      <c r="AW531" s="16">
        <f t="shared" si="245"/>
        <v>189520</v>
      </c>
      <c r="AX531" s="16" t="s">
        <v>286</v>
      </c>
      <c r="AZ531" s="17">
        <f t="shared" si="253"/>
        <v>2900</v>
      </c>
      <c r="BA531" s="16">
        <f t="shared" si="246"/>
        <v>6810480</v>
      </c>
      <c r="BB531" s="16">
        <f t="shared" si="247"/>
        <v>6807580</v>
      </c>
      <c r="BC531" s="15">
        <v>0.03</v>
      </c>
      <c r="BD531">
        <v>0.01</v>
      </c>
      <c r="BE531" s="37">
        <f t="shared" si="248"/>
        <v>437791.19999999995</v>
      </c>
      <c r="BF531" s="38">
        <f t="shared" si="249"/>
        <v>270066</v>
      </c>
      <c r="BG531" s="37">
        <f t="shared" si="230"/>
        <v>186650</v>
      </c>
      <c r="BH531" s="37">
        <f t="shared" si="250"/>
        <v>236900</v>
      </c>
      <c r="BI531">
        <v>0</v>
      </c>
      <c r="BL531" s="8">
        <f t="shared" si="251"/>
        <v>1000000</v>
      </c>
      <c r="BM531" s="7" t="str">
        <f t="shared" si="232"/>
        <v>Terdaftar BPJS Kes &amp; Naker</v>
      </c>
      <c r="BN531" s="11">
        <f t="shared" si="233"/>
        <v>270066</v>
      </c>
      <c r="BO531" s="11">
        <f t="shared" si="234"/>
        <v>215105.2</v>
      </c>
      <c r="BP531" s="9">
        <f t="shared" si="252"/>
        <v>0</v>
      </c>
      <c r="BQ531" t="s">
        <v>8</v>
      </c>
    </row>
    <row r="532" spans="1:69" x14ac:dyDescent="0.3">
      <c r="A532" s="2">
        <v>531</v>
      </c>
      <c r="B532" s="5" t="s">
        <v>910</v>
      </c>
      <c r="C532" s="6" t="s">
        <v>241</v>
      </c>
      <c r="D532" s="6"/>
      <c r="E532" s="6" t="s">
        <v>73</v>
      </c>
      <c r="F532" s="6" t="s">
        <v>73</v>
      </c>
      <c r="G532" s="6"/>
      <c r="H532" s="6"/>
      <c r="I532" s="6" t="s">
        <v>880</v>
      </c>
      <c r="K532" s="6">
        <v>800662</v>
      </c>
      <c r="L532" s="39"/>
      <c r="M532" s="6"/>
      <c r="N532" s="2" t="s">
        <v>909</v>
      </c>
      <c r="O532" s="6">
        <v>1652831381</v>
      </c>
      <c r="P532" s="48" t="s">
        <v>908</v>
      </c>
      <c r="Q532" s="6">
        <v>33085</v>
      </c>
      <c r="R532" s="6">
        <v>27510</v>
      </c>
      <c r="S532" s="5" t="str">
        <f>VLOOKUP(T532,'[1]Kode Posisi'!$A$3:$B$45,2,)</f>
        <v>Outsourcing Penjualan</v>
      </c>
      <c r="T532" t="s">
        <v>907</v>
      </c>
      <c r="V532" t="s">
        <v>906</v>
      </c>
      <c r="W532" s="5" t="s">
        <v>303</v>
      </c>
      <c r="X532" s="5" t="s">
        <v>622</v>
      </c>
      <c r="Y532" t="s">
        <v>52</v>
      </c>
      <c r="Z532" s="57" t="s">
        <v>905</v>
      </c>
      <c r="AA532" t="s">
        <v>904</v>
      </c>
      <c r="AB532" s="47">
        <v>6000000</v>
      </c>
      <c r="AC532" s="41">
        <v>5730000</v>
      </c>
      <c r="AD532" s="52" t="s">
        <v>177</v>
      </c>
      <c r="AF532" s="16">
        <v>500000</v>
      </c>
      <c r="AI532" s="16">
        <v>0</v>
      </c>
      <c r="AK532" s="16"/>
      <c r="AL532" s="11">
        <f t="shared" si="236"/>
        <v>6500000</v>
      </c>
      <c r="AM532" s="16">
        <f t="shared" si="237"/>
        <v>586752</v>
      </c>
      <c r="AN532" s="16">
        <f t="shared" si="238"/>
        <v>229200</v>
      </c>
      <c r="AO532" s="16">
        <f t="shared" si="229"/>
        <v>357552</v>
      </c>
      <c r="AP532" s="16">
        <f t="shared" si="239"/>
        <v>240500</v>
      </c>
      <c r="AQ532" s="16">
        <f t="shared" si="240"/>
        <v>7086752</v>
      </c>
      <c r="AR532" s="16">
        <f t="shared" si="231"/>
        <v>425205.12</v>
      </c>
      <c r="AS532" s="16">
        <f t="shared" si="241"/>
        <v>46772.563199999997</v>
      </c>
      <c r="AT532" s="16">
        <f t="shared" si="242"/>
        <v>-8504.1023999999998</v>
      </c>
      <c r="AU532" s="16">
        <f t="shared" si="243"/>
        <v>7503453.0175999999</v>
      </c>
      <c r="AV532" s="16">
        <f t="shared" si="244"/>
        <v>7511957.1200000001</v>
      </c>
      <c r="AW532" s="16">
        <f t="shared" si="245"/>
        <v>229200</v>
      </c>
      <c r="AX532" s="16" t="s">
        <v>243</v>
      </c>
      <c r="AZ532" s="17">
        <f t="shared" si="253"/>
        <v>0</v>
      </c>
      <c r="BA532" s="16">
        <f t="shared" si="246"/>
        <v>6270800</v>
      </c>
      <c r="BB532" s="16">
        <f t="shared" si="247"/>
        <v>6270800</v>
      </c>
      <c r="BC532" s="15">
        <v>0.03</v>
      </c>
      <c r="BD532">
        <v>0.01</v>
      </c>
      <c r="BE532" s="37">
        <f t="shared" si="248"/>
        <v>529452</v>
      </c>
      <c r="BF532" s="38">
        <f t="shared" si="249"/>
        <v>326610</v>
      </c>
      <c r="BG532" s="37">
        <f t="shared" si="230"/>
        <v>269850</v>
      </c>
      <c r="BH532" s="37">
        <f t="shared" si="250"/>
        <v>286500</v>
      </c>
      <c r="BI532">
        <v>0</v>
      </c>
      <c r="BL532" s="8">
        <f t="shared" si="251"/>
        <v>500000</v>
      </c>
      <c r="BM532" s="7" t="str">
        <f t="shared" si="232"/>
        <v>Terdaftar BPJS Kes &amp; Naker</v>
      </c>
      <c r="BN532" s="11">
        <f t="shared" si="233"/>
        <v>326610</v>
      </c>
      <c r="BO532" s="11">
        <f t="shared" si="234"/>
        <v>260142.00000000003</v>
      </c>
      <c r="BP532" s="9">
        <f t="shared" si="252"/>
        <v>0</v>
      </c>
      <c r="BQ532" t="s">
        <v>8</v>
      </c>
    </row>
    <row r="533" spans="1:69" x14ac:dyDescent="0.3">
      <c r="A533" s="2">
        <v>532</v>
      </c>
      <c r="B533" s="5" t="s">
        <v>899</v>
      </c>
      <c r="C533" s="6" t="s">
        <v>241</v>
      </c>
      <c r="D533" s="6"/>
      <c r="E533" s="6" t="s">
        <v>73</v>
      </c>
      <c r="F533" s="6" t="s">
        <v>73</v>
      </c>
      <c r="G533" s="6"/>
      <c r="H533" s="6"/>
      <c r="I533" s="6" t="s">
        <v>880</v>
      </c>
      <c r="K533" s="6">
        <v>800663</v>
      </c>
      <c r="L533" s="39"/>
      <c r="M533" s="6"/>
      <c r="N533" s="2" t="s">
        <v>903</v>
      </c>
      <c r="O533" s="6">
        <v>1655235797</v>
      </c>
      <c r="P533" s="48" t="s">
        <v>902</v>
      </c>
      <c r="Q533" s="6">
        <v>33085</v>
      </c>
      <c r="R533" s="6">
        <v>27510</v>
      </c>
      <c r="S533" s="5" t="str">
        <f>VLOOKUP(T533,'[1]Kode Posisi'!$A$3:$B$45,2,)</f>
        <v>Outsourcing Petugas Administrasi</v>
      </c>
      <c r="T533" t="s">
        <v>35</v>
      </c>
      <c r="V533" t="s">
        <v>901</v>
      </c>
      <c r="W533" s="5" t="s">
        <v>303</v>
      </c>
      <c r="X533" s="5" t="s">
        <v>622</v>
      </c>
      <c r="Y533" t="s">
        <v>52</v>
      </c>
      <c r="Z533" s="57" t="s">
        <v>900</v>
      </c>
      <c r="AA533" t="s">
        <v>899</v>
      </c>
      <c r="AB533" s="47">
        <v>6000000</v>
      </c>
      <c r="AC533" s="41">
        <v>5730000</v>
      </c>
      <c r="AD533" s="52" t="s">
        <v>177</v>
      </c>
      <c r="AI533" s="16">
        <v>0</v>
      </c>
      <c r="AK533" s="16"/>
      <c r="AL533" s="11">
        <f t="shared" si="236"/>
        <v>6000000</v>
      </c>
      <c r="AM533" s="16">
        <f t="shared" si="237"/>
        <v>586752</v>
      </c>
      <c r="AN533" s="16">
        <f t="shared" si="238"/>
        <v>229200</v>
      </c>
      <c r="AO533" s="16">
        <f t="shared" si="229"/>
        <v>357552</v>
      </c>
      <c r="AP533" s="16">
        <f t="shared" si="239"/>
        <v>222000</v>
      </c>
      <c r="AQ533" s="16">
        <f t="shared" si="240"/>
        <v>6586752</v>
      </c>
      <c r="AR533" s="16">
        <f t="shared" si="231"/>
        <v>395205.12</v>
      </c>
      <c r="AS533" s="16">
        <f t="shared" si="241"/>
        <v>43472.563199999997</v>
      </c>
      <c r="AT533" s="16">
        <f t="shared" si="242"/>
        <v>-7904.1023999999998</v>
      </c>
      <c r="AU533" s="16">
        <f t="shared" si="243"/>
        <v>6974053.0175999999</v>
      </c>
      <c r="AV533" s="16">
        <f t="shared" si="244"/>
        <v>6981957.1200000001</v>
      </c>
      <c r="AW533" s="16">
        <f t="shared" si="245"/>
        <v>229200</v>
      </c>
      <c r="AX533" s="16" t="s">
        <v>286</v>
      </c>
      <c r="AZ533" s="17">
        <f t="shared" si="253"/>
        <v>0</v>
      </c>
      <c r="BA533" s="16">
        <f t="shared" si="246"/>
        <v>5770800</v>
      </c>
      <c r="BB533" s="16">
        <f t="shared" si="247"/>
        <v>5770800</v>
      </c>
      <c r="BC533" s="15">
        <v>0.03</v>
      </c>
      <c r="BD533">
        <v>0.01</v>
      </c>
      <c r="BE533" s="37">
        <f t="shared" si="248"/>
        <v>529452</v>
      </c>
      <c r="BF533" s="38">
        <f t="shared" si="249"/>
        <v>326610</v>
      </c>
      <c r="BG533" s="37">
        <f t="shared" si="230"/>
        <v>269850</v>
      </c>
      <c r="BH533" s="37">
        <f t="shared" si="250"/>
        <v>286500</v>
      </c>
      <c r="BI533">
        <v>0</v>
      </c>
      <c r="BL533" s="8">
        <f t="shared" si="251"/>
        <v>0</v>
      </c>
      <c r="BM533" s="7" t="str">
        <f t="shared" si="232"/>
        <v>Terdaftar BPJS Kes &amp; Naker</v>
      </c>
      <c r="BN533" s="11">
        <f t="shared" si="233"/>
        <v>326610</v>
      </c>
      <c r="BO533" s="11">
        <f t="shared" si="234"/>
        <v>260142.00000000003</v>
      </c>
      <c r="BP533" s="9">
        <f t="shared" si="252"/>
        <v>0</v>
      </c>
      <c r="BQ533" t="s">
        <v>8</v>
      </c>
    </row>
    <row r="534" spans="1:69" x14ac:dyDescent="0.3">
      <c r="A534" s="2">
        <v>533</v>
      </c>
      <c r="B534" s="5" t="s">
        <v>898</v>
      </c>
      <c r="C534" s="6" t="s">
        <v>241</v>
      </c>
      <c r="D534" s="6"/>
      <c r="E534" s="6" t="s">
        <v>73</v>
      </c>
      <c r="F534" s="6" t="s">
        <v>73</v>
      </c>
      <c r="G534" s="6"/>
      <c r="H534" s="6"/>
      <c r="I534" s="6" t="s">
        <v>880</v>
      </c>
      <c r="K534" s="6">
        <v>800664</v>
      </c>
      <c r="L534" s="39"/>
      <c r="M534" s="6"/>
      <c r="N534" s="2" t="s">
        <v>897</v>
      </c>
      <c r="O534" s="6">
        <v>1655212228</v>
      </c>
      <c r="P534" s="48" t="s">
        <v>896</v>
      </c>
      <c r="Q534" s="6">
        <v>33085</v>
      </c>
      <c r="R534" s="6">
        <v>27510</v>
      </c>
      <c r="S534" s="5" t="str">
        <f>VLOOKUP(T534,'[1]Kode Posisi'!$A$3:$B$45,2,)</f>
        <v>Outsourcing Petugas Administrasi</v>
      </c>
      <c r="T534" t="s">
        <v>35</v>
      </c>
      <c r="V534" t="s">
        <v>895</v>
      </c>
      <c r="W534" s="5" t="s">
        <v>303</v>
      </c>
      <c r="X534" s="5" t="s">
        <v>622</v>
      </c>
      <c r="Y534" t="s">
        <v>473</v>
      </c>
      <c r="Z534" s="57" t="s">
        <v>894</v>
      </c>
      <c r="AA534" t="s">
        <v>893</v>
      </c>
      <c r="AB534" s="47">
        <v>6000000</v>
      </c>
      <c r="AC534" s="41">
        <v>5730000</v>
      </c>
      <c r="AD534" s="52" t="s">
        <v>177</v>
      </c>
      <c r="AI534" s="16">
        <v>0</v>
      </c>
      <c r="AK534" s="16"/>
      <c r="AL534" s="11">
        <f t="shared" si="236"/>
        <v>6000000</v>
      </c>
      <c r="AM534" s="16">
        <f t="shared" si="237"/>
        <v>586752</v>
      </c>
      <c r="AN534" s="16">
        <f t="shared" si="238"/>
        <v>229200</v>
      </c>
      <c r="AO534" s="16">
        <f t="shared" si="229"/>
        <v>357552</v>
      </c>
      <c r="AP534" s="16">
        <f t="shared" si="239"/>
        <v>222000</v>
      </c>
      <c r="AQ534" s="16">
        <f t="shared" si="240"/>
        <v>6586752</v>
      </c>
      <c r="AR534" s="16">
        <f t="shared" si="231"/>
        <v>395205.12</v>
      </c>
      <c r="AS534" s="16">
        <f t="shared" si="241"/>
        <v>43472.563199999997</v>
      </c>
      <c r="AT534" s="16">
        <f t="shared" si="242"/>
        <v>-7904.1023999999998</v>
      </c>
      <c r="AU534" s="16">
        <f t="shared" si="243"/>
        <v>6974053.0175999999</v>
      </c>
      <c r="AV534" s="16">
        <f t="shared" si="244"/>
        <v>6981957.1200000001</v>
      </c>
      <c r="AW534" s="16">
        <f t="shared" si="245"/>
        <v>229200</v>
      </c>
      <c r="AX534" s="16" t="s">
        <v>319</v>
      </c>
      <c r="AZ534" s="17">
        <f t="shared" si="253"/>
        <v>2900</v>
      </c>
      <c r="BA534" s="16">
        <f t="shared" si="246"/>
        <v>5770800</v>
      </c>
      <c r="BB534" s="16">
        <f t="shared" si="247"/>
        <v>5767900</v>
      </c>
      <c r="BC534" s="15">
        <v>0.03</v>
      </c>
      <c r="BD534">
        <v>0.01</v>
      </c>
      <c r="BE534" s="37">
        <f t="shared" si="248"/>
        <v>529452</v>
      </c>
      <c r="BF534" s="38">
        <f t="shared" si="249"/>
        <v>326610</v>
      </c>
      <c r="BG534" s="37">
        <f t="shared" si="230"/>
        <v>269850</v>
      </c>
      <c r="BH534" s="37">
        <f t="shared" si="250"/>
        <v>286500</v>
      </c>
      <c r="BI534">
        <v>0</v>
      </c>
      <c r="BL534" s="8">
        <f t="shared" si="251"/>
        <v>0</v>
      </c>
      <c r="BM534" s="7" t="str">
        <f t="shared" si="232"/>
        <v>Terdaftar BPJS Kes &amp; Naker</v>
      </c>
      <c r="BN534" s="11">
        <f t="shared" si="233"/>
        <v>326610</v>
      </c>
      <c r="BO534" s="11">
        <f t="shared" si="234"/>
        <v>260142.00000000003</v>
      </c>
      <c r="BP534" s="9">
        <f t="shared" si="252"/>
        <v>0</v>
      </c>
      <c r="BQ534" t="s">
        <v>8</v>
      </c>
    </row>
    <row r="535" spans="1:69" x14ac:dyDescent="0.3">
      <c r="A535" s="2">
        <v>534</v>
      </c>
      <c r="B535" s="5" t="s">
        <v>892</v>
      </c>
      <c r="C535" s="6" t="s">
        <v>241</v>
      </c>
      <c r="D535" s="6"/>
      <c r="E535" s="6" t="s">
        <v>73</v>
      </c>
      <c r="F535" s="6" t="s">
        <v>73</v>
      </c>
      <c r="G535" s="6"/>
      <c r="H535" s="6"/>
      <c r="I535" s="6" t="s">
        <v>880</v>
      </c>
      <c r="K535" s="6">
        <v>800665</v>
      </c>
      <c r="L535" s="39"/>
      <c r="M535" s="6"/>
      <c r="N535" s="2" t="s">
        <v>891</v>
      </c>
      <c r="O535" s="6">
        <v>1872221679</v>
      </c>
      <c r="P535" s="48" t="s">
        <v>890</v>
      </c>
      <c r="Q535" s="6">
        <v>33085</v>
      </c>
      <c r="R535" s="6">
        <v>27510</v>
      </c>
      <c r="S535" s="5" t="str">
        <f>VLOOKUP(T535,'[1]Kode Posisi'!$A$3:$B$45,2,)</f>
        <v>Outsourcing Petugas Gudang</v>
      </c>
      <c r="T535" t="s">
        <v>6</v>
      </c>
      <c r="V535" t="s">
        <v>889</v>
      </c>
      <c r="W535" s="5" t="s">
        <v>303</v>
      </c>
      <c r="X535" s="5" t="s">
        <v>622</v>
      </c>
      <c r="Y535" t="s">
        <v>473</v>
      </c>
      <c r="Z535" s="57" t="s">
        <v>888</v>
      </c>
      <c r="AA535" t="s">
        <v>887</v>
      </c>
      <c r="AB535" s="47">
        <v>6000000</v>
      </c>
      <c r="AC535" s="41">
        <v>5730000</v>
      </c>
      <c r="AD535" s="52" t="s">
        <v>177</v>
      </c>
      <c r="AI535" s="16">
        <v>416184.97109826596</v>
      </c>
      <c r="AK535" s="16"/>
      <c r="AL535" s="11">
        <f t="shared" si="236"/>
        <v>6416184.9710982656</v>
      </c>
      <c r="AM535" s="16">
        <f t="shared" si="237"/>
        <v>586752</v>
      </c>
      <c r="AN535" s="16">
        <f t="shared" si="238"/>
        <v>229200</v>
      </c>
      <c r="AO535" s="16">
        <f t="shared" si="229"/>
        <v>357552</v>
      </c>
      <c r="AP535" s="16">
        <f t="shared" si="239"/>
        <v>222000</v>
      </c>
      <c r="AQ535" s="16">
        <f t="shared" si="240"/>
        <v>7002936.9710982656</v>
      </c>
      <c r="AR535" s="16">
        <f t="shared" si="231"/>
        <v>420176.21826589591</v>
      </c>
      <c r="AS535" s="16">
        <f t="shared" si="241"/>
        <v>46219.384009248548</v>
      </c>
      <c r="AT535" s="16">
        <f t="shared" si="242"/>
        <v>-8403.5243653179186</v>
      </c>
      <c r="AU535" s="16">
        <f t="shared" si="243"/>
        <v>7414709.6649988433</v>
      </c>
      <c r="AV535" s="16">
        <f t="shared" si="244"/>
        <v>7423113.1893641613</v>
      </c>
      <c r="AW535" s="16">
        <f t="shared" si="245"/>
        <v>229200</v>
      </c>
      <c r="AX535" s="16" t="s">
        <v>243</v>
      </c>
      <c r="AZ535" s="17">
        <f t="shared" si="253"/>
        <v>2900</v>
      </c>
      <c r="BA535" s="16">
        <f t="shared" si="246"/>
        <v>6186984.9710982656</v>
      </c>
      <c r="BB535" s="16">
        <f t="shared" si="247"/>
        <v>6184084.9710982656</v>
      </c>
      <c r="BC535" s="15">
        <v>0.03</v>
      </c>
      <c r="BD535">
        <v>0.01</v>
      </c>
      <c r="BE535" s="37">
        <f t="shared" si="248"/>
        <v>529452</v>
      </c>
      <c r="BF535" s="38">
        <f t="shared" si="249"/>
        <v>326610</v>
      </c>
      <c r="BG535" s="37">
        <f t="shared" si="230"/>
        <v>269850</v>
      </c>
      <c r="BH535" s="37">
        <f t="shared" si="250"/>
        <v>286500</v>
      </c>
      <c r="BI535">
        <v>0</v>
      </c>
      <c r="BL535" s="8">
        <f t="shared" si="251"/>
        <v>416184.97109826596</v>
      </c>
      <c r="BM535" s="7" t="str">
        <f t="shared" si="232"/>
        <v>Terdaftar BPJS Kes &amp; Naker</v>
      </c>
      <c r="BN535" s="11">
        <f t="shared" si="233"/>
        <v>326610</v>
      </c>
      <c r="BO535" s="11">
        <f t="shared" si="234"/>
        <v>260142.00000000003</v>
      </c>
      <c r="BP535" s="9">
        <f t="shared" si="252"/>
        <v>0</v>
      </c>
      <c r="BQ535" t="s">
        <v>8</v>
      </c>
    </row>
    <row r="536" spans="1:69" x14ac:dyDescent="0.3">
      <c r="A536" s="2">
        <v>535</v>
      </c>
      <c r="B536" s="5" t="s">
        <v>886</v>
      </c>
      <c r="C536" s="6" t="s">
        <v>241</v>
      </c>
      <c r="D536" s="6"/>
      <c r="E536" s="6" t="s">
        <v>73</v>
      </c>
      <c r="F536" s="6" t="s">
        <v>73</v>
      </c>
      <c r="G536" s="6"/>
      <c r="H536" s="6"/>
      <c r="I536" s="6" t="s">
        <v>880</v>
      </c>
      <c r="K536" s="6">
        <v>800666</v>
      </c>
      <c r="L536" s="39"/>
      <c r="M536" s="6"/>
      <c r="N536" s="2" t="s">
        <v>885</v>
      </c>
      <c r="O536" s="6">
        <v>2932884371</v>
      </c>
      <c r="P536" s="48" t="s">
        <v>884</v>
      </c>
      <c r="Q536" s="6">
        <v>33085</v>
      </c>
      <c r="R536" s="6">
        <v>27510</v>
      </c>
      <c r="S536" s="5" t="str">
        <f>VLOOKUP(T536,'[1]Kode Posisi'!$A$3:$B$45,2,)</f>
        <v>Outsourcing Petugas Gudang</v>
      </c>
      <c r="T536" t="s">
        <v>2</v>
      </c>
      <c r="V536" t="s">
        <v>883</v>
      </c>
      <c r="W536" s="5" t="s">
        <v>410</v>
      </c>
      <c r="X536" s="5" t="s">
        <v>409</v>
      </c>
      <c r="Y536" t="s">
        <v>473</v>
      </c>
      <c r="Z536" s="57" t="s">
        <v>882</v>
      </c>
      <c r="AA536" t="s">
        <v>881</v>
      </c>
      <c r="AB536" s="3">
        <v>3949900</v>
      </c>
      <c r="AC536" s="3">
        <v>3949900</v>
      </c>
      <c r="AD536" s="52" t="s">
        <v>509</v>
      </c>
      <c r="AF536">
        <v>567000</v>
      </c>
      <c r="AI536" s="16">
        <v>0</v>
      </c>
      <c r="AK536" s="16"/>
      <c r="AL536" s="11">
        <f t="shared" si="236"/>
        <v>4516900</v>
      </c>
      <c r="AM536" s="16">
        <f t="shared" si="237"/>
        <v>404469.76000000001</v>
      </c>
      <c r="AN536" s="16">
        <f t="shared" si="238"/>
        <v>157996</v>
      </c>
      <c r="AO536" s="16">
        <f t="shared" si="229"/>
        <v>246473.75999999998</v>
      </c>
      <c r="AP536" s="16">
        <f t="shared" si="239"/>
        <v>167125.29999999999</v>
      </c>
      <c r="AQ536" s="16">
        <f t="shared" si="240"/>
        <v>4921369.76</v>
      </c>
      <c r="AR536" s="16">
        <f t="shared" si="231"/>
        <v>295282.18559999997</v>
      </c>
      <c r="AS536" s="16">
        <f t="shared" si="241"/>
        <v>32481.040415999996</v>
      </c>
      <c r="AT536" s="16">
        <f t="shared" si="242"/>
        <v>-5905.6437119999991</v>
      </c>
      <c r="AU536" s="16">
        <f t="shared" si="243"/>
        <v>5210746.3018879993</v>
      </c>
      <c r="AV536" s="16">
        <f t="shared" si="244"/>
        <v>5216651.9455999993</v>
      </c>
      <c r="AW536" s="16">
        <f t="shared" si="245"/>
        <v>157996</v>
      </c>
      <c r="AX536" s="16" t="s">
        <v>243</v>
      </c>
      <c r="AZ536" s="17">
        <f t="shared" si="253"/>
        <v>2900</v>
      </c>
      <c r="BA536" s="16">
        <f t="shared" si="246"/>
        <v>4358904</v>
      </c>
      <c r="BB536" s="16">
        <f t="shared" si="247"/>
        <v>4356004</v>
      </c>
      <c r="BC536" s="15">
        <v>0.03</v>
      </c>
      <c r="BD536">
        <v>0.01</v>
      </c>
      <c r="BE536" s="37">
        <f t="shared" si="248"/>
        <v>364970.76</v>
      </c>
      <c r="BF536" s="38">
        <f t="shared" si="249"/>
        <v>225144.30000000002</v>
      </c>
      <c r="BG536" s="37">
        <f t="shared" si="230"/>
        <v>186650</v>
      </c>
      <c r="BH536" s="37">
        <f t="shared" si="250"/>
        <v>197495</v>
      </c>
      <c r="BI536">
        <v>0</v>
      </c>
      <c r="BL536" s="8">
        <f t="shared" si="251"/>
        <v>567000</v>
      </c>
      <c r="BM536" s="7" t="str">
        <f t="shared" si="232"/>
        <v>Terdaftar BPJS Kes &amp; Naker</v>
      </c>
      <c r="BN536" s="11">
        <f t="shared" si="233"/>
        <v>225144.30000000002</v>
      </c>
      <c r="BO536" s="11">
        <f t="shared" si="234"/>
        <v>179325.46000000002</v>
      </c>
      <c r="BP536" s="9">
        <f t="shared" si="252"/>
        <v>0</v>
      </c>
      <c r="BQ536" t="s">
        <v>8</v>
      </c>
    </row>
    <row r="537" spans="1:69" x14ac:dyDescent="0.3">
      <c r="A537" s="2">
        <v>536</v>
      </c>
      <c r="B537" s="5" t="s">
        <v>875</v>
      </c>
      <c r="C537" s="6" t="s">
        <v>241</v>
      </c>
      <c r="D537" s="6"/>
      <c r="E537" s="6" t="s">
        <v>73</v>
      </c>
      <c r="F537" s="6" t="s">
        <v>73</v>
      </c>
      <c r="G537" s="6"/>
      <c r="H537" s="6"/>
      <c r="I537" s="6" t="s">
        <v>880</v>
      </c>
      <c r="K537" s="6">
        <v>800667</v>
      </c>
      <c r="L537" s="39"/>
      <c r="M537" s="6"/>
      <c r="N537" s="2" t="s">
        <v>879</v>
      </c>
      <c r="O537" s="6">
        <v>1742447248</v>
      </c>
      <c r="P537" s="48" t="s">
        <v>878</v>
      </c>
      <c r="Q537" s="6">
        <v>33085</v>
      </c>
      <c r="R537" s="6">
        <v>27510</v>
      </c>
      <c r="S537" s="5" t="str">
        <f>VLOOKUP(T537,'[1]Kode Posisi'!$A$3:$B$45,2,)</f>
        <v>Outsourcing Petugas Administrasi</v>
      </c>
      <c r="T537" t="s">
        <v>35</v>
      </c>
      <c r="V537" t="s">
        <v>877</v>
      </c>
      <c r="W537" s="5" t="s">
        <v>303</v>
      </c>
      <c r="X537" s="5" t="s">
        <v>622</v>
      </c>
      <c r="Y537" t="s">
        <v>473</v>
      </c>
      <c r="Z537" s="57" t="s">
        <v>876</v>
      </c>
      <c r="AA537" t="s">
        <v>875</v>
      </c>
      <c r="AB537" s="47">
        <v>5700000</v>
      </c>
      <c r="AC537" s="41">
        <v>5730000</v>
      </c>
      <c r="AD537" s="52" t="s">
        <v>177</v>
      </c>
      <c r="AI537" s="16">
        <v>0</v>
      </c>
      <c r="AK537" s="16"/>
      <c r="AL537" s="11">
        <f t="shared" si="236"/>
        <v>5700000</v>
      </c>
      <c r="AM537" s="16">
        <f t="shared" si="237"/>
        <v>586752</v>
      </c>
      <c r="AN537" s="16">
        <f t="shared" si="238"/>
        <v>229200</v>
      </c>
      <c r="AO537" s="16">
        <f t="shared" si="229"/>
        <v>357552</v>
      </c>
      <c r="AP537" s="16">
        <f t="shared" si="239"/>
        <v>210900</v>
      </c>
      <c r="AQ537" s="16">
        <f t="shared" si="240"/>
        <v>6286752</v>
      </c>
      <c r="AR537" s="16">
        <f t="shared" si="231"/>
        <v>377205.12</v>
      </c>
      <c r="AS537" s="16">
        <f t="shared" si="241"/>
        <v>41492.563199999997</v>
      </c>
      <c r="AT537" s="16">
        <f t="shared" si="242"/>
        <v>-7544.1023999999998</v>
      </c>
      <c r="AU537" s="16">
        <f t="shared" si="243"/>
        <v>6656413.0175999999</v>
      </c>
      <c r="AV537" s="16">
        <f t="shared" si="244"/>
        <v>6663957.1200000001</v>
      </c>
      <c r="AW537" s="16">
        <f t="shared" si="245"/>
        <v>229200</v>
      </c>
      <c r="AX537" s="16" t="s">
        <v>319</v>
      </c>
      <c r="AZ537" s="17">
        <f t="shared" si="253"/>
        <v>2900</v>
      </c>
      <c r="BA537" s="16">
        <f t="shared" si="246"/>
        <v>5470800</v>
      </c>
      <c r="BB537" s="16">
        <f t="shared" si="247"/>
        <v>5467900</v>
      </c>
      <c r="BC537" s="15">
        <v>0.03</v>
      </c>
      <c r="BD537">
        <v>0.01</v>
      </c>
      <c r="BE537" s="37">
        <f t="shared" si="248"/>
        <v>529452</v>
      </c>
      <c r="BF537" s="38">
        <f t="shared" si="249"/>
        <v>326610</v>
      </c>
      <c r="BG537" s="37">
        <f t="shared" si="230"/>
        <v>269850</v>
      </c>
      <c r="BH537" s="37">
        <f t="shared" si="250"/>
        <v>286500</v>
      </c>
      <c r="BI537">
        <v>0</v>
      </c>
      <c r="BL537" s="8">
        <f t="shared" si="251"/>
        <v>0</v>
      </c>
      <c r="BM537" s="7" t="str">
        <f t="shared" si="232"/>
        <v>Terdaftar BPJS Kes &amp; Naker</v>
      </c>
      <c r="BN537" s="11">
        <f t="shared" si="233"/>
        <v>326610</v>
      </c>
      <c r="BO537" s="11">
        <f t="shared" si="234"/>
        <v>260142.00000000003</v>
      </c>
      <c r="BP537" s="9">
        <f t="shared" si="252"/>
        <v>0</v>
      </c>
      <c r="BQ537" t="s">
        <v>8</v>
      </c>
    </row>
    <row r="538" spans="1:69" x14ac:dyDescent="0.3">
      <c r="A538" s="2">
        <v>537</v>
      </c>
      <c r="B538" s="5" t="s">
        <v>874</v>
      </c>
      <c r="C538" s="6" t="s">
        <v>241</v>
      </c>
      <c r="D538" s="6"/>
      <c r="E538" s="6" t="s">
        <v>73</v>
      </c>
      <c r="F538" s="6" t="s">
        <v>73</v>
      </c>
      <c r="G538" s="6"/>
      <c r="H538" s="6"/>
      <c r="K538" s="6">
        <v>800668</v>
      </c>
      <c r="L538" s="39"/>
      <c r="M538" s="6"/>
      <c r="N538" s="6" t="s">
        <v>873</v>
      </c>
      <c r="O538" s="6">
        <v>1810254879</v>
      </c>
      <c r="P538" s="48" t="s">
        <v>872</v>
      </c>
      <c r="Q538" s="6">
        <v>33085</v>
      </c>
      <c r="R538" s="6">
        <v>27510</v>
      </c>
      <c r="S538" s="5" t="str">
        <f>VLOOKUP(T538,'[1]Kode Posisi'!$A$3:$B$45,2,)</f>
        <v>Outsourcing Petugas Administrasi</v>
      </c>
      <c r="T538" t="s">
        <v>35</v>
      </c>
      <c r="V538" t="s">
        <v>871</v>
      </c>
      <c r="W538" s="5" t="s">
        <v>303</v>
      </c>
      <c r="X538" s="5" t="s">
        <v>622</v>
      </c>
      <c r="Y538" t="s">
        <v>63</v>
      </c>
      <c r="Z538" s="57" t="s">
        <v>870</v>
      </c>
      <c r="AA538" t="s">
        <v>869</v>
      </c>
      <c r="AB538" s="47">
        <v>5730000</v>
      </c>
      <c r="AC538" s="41">
        <v>5730000</v>
      </c>
      <c r="AD538" s="52" t="s">
        <v>177</v>
      </c>
      <c r="AI538" s="16">
        <v>0</v>
      </c>
      <c r="AK538" s="16"/>
      <c r="AL538" s="11">
        <f t="shared" si="236"/>
        <v>5730000</v>
      </c>
      <c r="AM538" s="16">
        <f t="shared" si="237"/>
        <v>472152</v>
      </c>
      <c r="AN538" s="16">
        <f t="shared" si="238"/>
        <v>229200</v>
      </c>
      <c r="AO538" s="16">
        <f t="shared" ref="AO538:AO569" si="254">IF(BC538=0.02,AC538*0.0424,0)</f>
        <v>242952</v>
      </c>
      <c r="AP538" s="16">
        <f t="shared" si="239"/>
        <v>0</v>
      </c>
      <c r="AQ538" s="16">
        <f t="shared" si="240"/>
        <v>6202152</v>
      </c>
      <c r="AR538" s="16">
        <f t="shared" si="231"/>
        <v>372129.12</v>
      </c>
      <c r="AS538" s="16">
        <f t="shared" si="241"/>
        <v>40934.203199999996</v>
      </c>
      <c r="AT538" s="16">
        <f t="shared" si="242"/>
        <v>-7442.5824000000002</v>
      </c>
      <c r="AU538" s="16">
        <f t="shared" si="243"/>
        <v>6566838.5376000004</v>
      </c>
      <c r="AV538" s="16">
        <f t="shared" si="244"/>
        <v>6574281.1200000001</v>
      </c>
      <c r="AW538" s="16">
        <f t="shared" si="245"/>
        <v>171900</v>
      </c>
      <c r="AX538" s="16" t="s">
        <v>235</v>
      </c>
      <c r="AZ538" s="17">
        <f t="shared" si="253"/>
        <v>2900</v>
      </c>
      <c r="BA538" s="16">
        <f t="shared" si="246"/>
        <v>5558100</v>
      </c>
      <c r="BB538" s="16">
        <f t="shared" si="247"/>
        <v>5555200</v>
      </c>
      <c r="BC538" s="15">
        <v>0.02</v>
      </c>
      <c r="BD538">
        <v>0.01</v>
      </c>
      <c r="BE538" s="37">
        <f t="shared" si="248"/>
        <v>0</v>
      </c>
      <c r="BF538" s="38">
        <f t="shared" si="249"/>
        <v>0</v>
      </c>
      <c r="BG538" s="37">
        <f t="shared" si="230"/>
        <v>269850</v>
      </c>
      <c r="BH538" s="37">
        <f t="shared" si="250"/>
        <v>286500</v>
      </c>
      <c r="BI538">
        <v>269850</v>
      </c>
      <c r="BK538" s="48"/>
      <c r="BL538" s="8">
        <f t="shared" si="251"/>
        <v>0</v>
      </c>
      <c r="BM538" s="7" t="str">
        <f t="shared" si="232"/>
        <v>Tidak Terdaftar</v>
      </c>
      <c r="BN538" s="11">
        <f t="shared" ref="BN538:BN569" si="255">AC538*3.7%</f>
        <v>212010.00000000003</v>
      </c>
      <c r="BO538" s="11">
        <f t="shared" si="234"/>
        <v>260142.00000000003</v>
      </c>
      <c r="BP538" s="9">
        <f t="shared" si="252"/>
        <v>0</v>
      </c>
      <c r="BQ538" t="s">
        <v>8</v>
      </c>
    </row>
    <row r="539" spans="1:69" x14ac:dyDescent="0.3">
      <c r="A539" s="2">
        <v>538</v>
      </c>
      <c r="B539" s="5" t="s">
        <v>868</v>
      </c>
      <c r="C539" s="6" t="s">
        <v>241</v>
      </c>
      <c r="D539" s="6"/>
      <c r="E539" s="6" t="s">
        <v>73</v>
      </c>
      <c r="F539" s="6" t="s">
        <v>73</v>
      </c>
      <c r="G539" s="6"/>
      <c r="H539" s="6"/>
      <c r="K539" s="6">
        <v>800669</v>
      </c>
      <c r="L539" s="39"/>
      <c r="M539" s="6"/>
      <c r="N539" s="6" t="s">
        <v>867</v>
      </c>
      <c r="O539" s="6">
        <v>1000108067</v>
      </c>
      <c r="P539" s="48" t="s">
        <v>866</v>
      </c>
      <c r="Q539" s="6">
        <v>33085</v>
      </c>
      <c r="R539" s="6">
        <v>27510</v>
      </c>
      <c r="S539" s="5" t="str">
        <f>VLOOKUP(T539,'[1]Kode Posisi'!$A$3:$B$45,2,)</f>
        <v>Outsourcing Petugas Administrasi</v>
      </c>
      <c r="T539" t="s">
        <v>35</v>
      </c>
      <c r="V539" t="s">
        <v>865</v>
      </c>
      <c r="W539" s="5" t="s">
        <v>303</v>
      </c>
      <c r="X539" s="5" t="s">
        <v>622</v>
      </c>
      <c r="Y539" t="s">
        <v>52</v>
      </c>
      <c r="Z539" s="57" t="s">
        <v>864</v>
      </c>
      <c r="AA539" t="s">
        <v>863</v>
      </c>
      <c r="AB539" s="47">
        <v>5730000</v>
      </c>
      <c r="AC539" s="41">
        <v>5730000</v>
      </c>
      <c r="AD539" s="52" t="s">
        <v>177</v>
      </c>
      <c r="AI539" s="16">
        <v>0</v>
      </c>
      <c r="AK539" s="16"/>
      <c r="AL539" s="11">
        <f t="shared" si="236"/>
        <v>5730000</v>
      </c>
      <c r="AM539" s="16">
        <f t="shared" si="237"/>
        <v>472152</v>
      </c>
      <c r="AN539" s="16">
        <f t="shared" si="238"/>
        <v>229200</v>
      </c>
      <c r="AO539" s="16">
        <f t="shared" si="254"/>
        <v>242952</v>
      </c>
      <c r="AP539" s="16">
        <f t="shared" si="239"/>
        <v>0</v>
      </c>
      <c r="AQ539" s="16">
        <f t="shared" si="240"/>
        <v>6202152</v>
      </c>
      <c r="AR539" s="16">
        <f t="shared" si="231"/>
        <v>372129.12</v>
      </c>
      <c r="AS539" s="16">
        <f t="shared" si="241"/>
        <v>40934.203199999996</v>
      </c>
      <c r="AT539" s="16">
        <f t="shared" si="242"/>
        <v>-7442.5824000000002</v>
      </c>
      <c r="AU539" s="16">
        <f t="shared" si="243"/>
        <v>6566838.5376000004</v>
      </c>
      <c r="AV539" s="16">
        <f t="shared" si="244"/>
        <v>6574281.1200000001</v>
      </c>
      <c r="AW539" s="16">
        <f t="shared" si="245"/>
        <v>171900</v>
      </c>
      <c r="AX539" s="16" t="s">
        <v>235</v>
      </c>
      <c r="AZ539" s="17">
        <f t="shared" si="253"/>
        <v>0</v>
      </c>
      <c r="BA539" s="16">
        <f t="shared" si="246"/>
        <v>5558100</v>
      </c>
      <c r="BB539" s="16">
        <f t="shared" si="247"/>
        <v>5558100</v>
      </c>
      <c r="BC539" s="15">
        <v>0.02</v>
      </c>
      <c r="BD539">
        <v>0.01</v>
      </c>
      <c r="BE539" s="37">
        <f t="shared" si="248"/>
        <v>0</v>
      </c>
      <c r="BF539" s="38">
        <f t="shared" si="249"/>
        <v>0</v>
      </c>
      <c r="BG539" s="37">
        <f t="shared" si="230"/>
        <v>269850</v>
      </c>
      <c r="BH539" s="37">
        <f t="shared" si="250"/>
        <v>286500</v>
      </c>
      <c r="BI539">
        <v>269850</v>
      </c>
      <c r="BK539" s="48"/>
      <c r="BL539" s="8">
        <f t="shared" si="251"/>
        <v>0</v>
      </c>
      <c r="BM539" s="7" t="str">
        <f t="shared" si="232"/>
        <v>Tidak Terdaftar</v>
      </c>
      <c r="BN539" s="11">
        <f t="shared" si="255"/>
        <v>212010.00000000003</v>
      </c>
      <c r="BO539" s="11">
        <f t="shared" si="234"/>
        <v>260142.00000000003</v>
      </c>
      <c r="BP539" s="9">
        <f t="shared" si="252"/>
        <v>0</v>
      </c>
      <c r="BQ539" t="s">
        <v>8</v>
      </c>
    </row>
    <row r="540" spans="1:69" x14ac:dyDescent="0.3">
      <c r="A540" s="2">
        <v>539</v>
      </c>
      <c r="B540" s="5" t="s">
        <v>859</v>
      </c>
      <c r="C540" s="6" t="s">
        <v>241</v>
      </c>
      <c r="D540" s="6"/>
      <c r="E540" s="6" t="s">
        <v>73</v>
      </c>
      <c r="F540" s="6" t="s">
        <v>73</v>
      </c>
      <c r="G540" s="6"/>
      <c r="H540" s="6"/>
      <c r="K540" s="6">
        <v>800670</v>
      </c>
      <c r="L540" s="39"/>
      <c r="M540" s="6"/>
      <c r="N540" s="6">
        <v>2</v>
      </c>
      <c r="O540" s="6">
        <v>446874175</v>
      </c>
      <c r="P540" s="48" t="s">
        <v>862</v>
      </c>
      <c r="Q540" s="6">
        <v>33085</v>
      </c>
      <c r="R540" s="6">
        <v>27510</v>
      </c>
      <c r="S540" s="5" t="str">
        <f>VLOOKUP(T540,'[1]Kode Posisi'!$A$3:$B$45,2,)</f>
        <v>Outsourcing Petugas Gudang</v>
      </c>
      <c r="T540" t="s">
        <v>2</v>
      </c>
      <c r="V540" t="s">
        <v>861</v>
      </c>
      <c r="W540" s="5" t="s">
        <v>303</v>
      </c>
      <c r="X540" s="5" t="s">
        <v>622</v>
      </c>
      <c r="Y540" t="s">
        <v>63</v>
      </c>
      <c r="Z540" s="57" t="s">
        <v>860</v>
      </c>
      <c r="AA540" t="s">
        <v>859</v>
      </c>
      <c r="AB540" s="47">
        <v>5730000</v>
      </c>
      <c r="AC540" s="41">
        <v>5730000</v>
      </c>
      <c r="AD540" s="52" t="s">
        <v>177</v>
      </c>
      <c r="AI540" s="16">
        <v>374358.38150289014</v>
      </c>
      <c r="AK540" s="16"/>
      <c r="AL540" s="11">
        <f t="shared" si="236"/>
        <v>6104358.38150289</v>
      </c>
      <c r="AM540" s="16">
        <f t="shared" si="237"/>
        <v>472152</v>
      </c>
      <c r="AN540" s="16">
        <f t="shared" si="238"/>
        <v>229200</v>
      </c>
      <c r="AO540" s="16">
        <f t="shared" si="254"/>
        <v>242952</v>
      </c>
      <c r="AP540" s="16">
        <f t="shared" si="239"/>
        <v>0</v>
      </c>
      <c r="AQ540" s="16">
        <f t="shared" si="240"/>
        <v>6576510.38150289</v>
      </c>
      <c r="AR540" s="16">
        <f t="shared" si="231"/>
        <v>394590.6228901734</v>
      </c>
      <c r="AS540" s="16">
        <f t="shared" si="241"/>
        <v>43404.968517919071</v>
      </c>
      <c r="AT540" s="16">
        <f t="shared" si="242"/>
        <v>-7891.8124578034685</v>
      </c>
      <c r="AU540" s="16">
        <f t="shared" si="243"/>
        <v>6963209.1919352598</v>
      </c>
      <c r="AV540" s="16">
        <f t="shared" si="244"/>
        <v>6971101.0043930635</v>
      </c>
      <c r="AW540" s="16">
        <f t="shared" si="245"/>
        <v>171900</v>
      </c>
      <c r="AX540" s="16" t="s">
        <v>91</v>
      </c>
      <c r="AZ540" s="17">
        <f t="shared" si="253"/>
        <v>2900</v>
      </c>
      <c r="BA540" s="16">
        <f t="shared" si="246"/>
        <v>5932458.38150289</v>
      </c>
      <c r="BB540" s="16">
        <f t="shared" si="247"/>
        <v>5929558.38150289</v>
      </c>
      <c r="BC540" s="15">
        <v>0.02</v>
      </c>
      <c r="BD540">
        <v>0.01</v>
      </c>
      <c r="BE540" s="37">
        <f t="shared" si="248"/>
        <v>0</v>
      </c>
      <c r="BF540" s="38">
        <f t="shared" si="249"/>
        <v>0</v>
      </c>
      <c r="BG540" s="37">
        <f t="shared" si="230"/>
        <v>269850</v>
      </c>
      <c r="BH540" s="37">
        <f t="shared" si="250"/>
        <v>286500</v>
      </c>
      <c r="BI540">
        <v>269850</v>
      </c>
      <c r="BK540" s="48"/>
      <c r="BL540" s="8">
        <f t="shared" si="251"/>
        <v>374358.38150289014</v>
      </c>
      <c r="BM540" s="7" t="str">
        <f t="shared" si="232"/>
        <v>Tidak Terdaftar</v>
      </c>
      <c r="BN540" s="11">
        <f t="shared" si="255"/>
        <v>212010.00000000003</v>
      </c>
      <c r="BO540" s="11">
        <f t="shared" si="234"/>
        <v>260142.00000000003</v>
      </c>
      <c r="BP540" s="9">
        <f t="shared" si="252"/>
        <v>0</v>
      </c>
      <c r="BQ540" t="s">
        <v>8</v>
      </c>
    </row>
    <row r="541" spans="1:69" x14ac:dyDescent="0.3">
      <c r="A541" s="2">
        <v>540</v>
      </c>
      <c r="B541" s="5" t="s">
        <v>858</v>
      </c>
      <c r="C541" s="6" t="s">
        <v>241</v>
      </c>
      <c r="D541" s="6"/>
      <c r="E541" s="6" t="s">
        <v>73</v>
      </c>
      <c r="F541" s="6" t="s">
        <v>73</v>
      </c>
      <c r="G541" s="6"/>
      <c r="H541" s="6"/>
      <c r="K541" s="6">
        <v>800671</v>
      </c>
      <c r="L541" s="39"/>
      <c r="M541" s="6"/>
      <c r="N541" s="6" t="s">
        <v>857</v>
      </c>
      <c r="O541" s="6">
        <v>1476874721</v>
      </c>
      <c r="P541" s="48" t="s">
        <v>856</v>
      </c>
      <c r="Q541" s="6">
        <v>33085</v>
      </c>
      <c r="R541" s="6">
        <v>27510</v>
      </c>
      <c r="S541" s="5" t="str">
        <f>VLOOKUP(T541,'[1]Kode Posisi'!$A$3:$B$45,2,)</f>
        <v>Outsourcing Petugas Gudang</v>
      </c>
      <c r="T541" t="s">
        <v>2</v>
      </c>
      <c r="V541" t="s">
        <v>855</v>
      </c>
      <c r="W541" s="5" t="s">
        <v>303</v>
      </c>
      <c r="X541" s="5" t="s">
        <v>622</v>
      </c>
      <c r="Y541" t="s">
        <v>52</v>
      </c>
      <c r="Z541" s="46">
        <v>5420351862</v>
      </c>
      <c r="AA541" t="s">
        <v>854</v>
      </c>
      <c r="AB541" s="47">
        <v>5730000</v>
      </c>
      <c r="AC541" s="41">
        <v>5730000</v>
      </c>
      <c r="AD541" s="52" t="s">
        <v>177</v>
      </c>
      <c r="AI541" s="16">
        <v>374358.38150289014</v>
      </c>
      <c r="AK541" s="16"/>
      <c r="AL541" s="11">
        <f t="shared" si="236"/>
        <v>6104358.38150289</v>
      </c>
      <c r="AM541" s="16">
        <f t="shared" si="237"/>
        <v>472152</v>
      </c>
      <c r="AN541" s="16">
        <f t="shared" si="238"/>
        <v>229200</v>
      </c>
      <c r="AO541" s="16">
        <f t="shared" si="254"/>
        <v>242952</v>
      </c>
      <c r="AP541" s="16">
        <f t="shared" si="239"/>
        <v>0</v>
      </c>
      <c r="AQ541" s="16">
        <f t="shared" si="240"/>
        <v>6576510.38150289</v>
      </c>
      <c r="AR541" s="16">
        <f t="shared" si="231"/>
        <v>394590.6228901734</v>
      </c>
      <c r="AS541" s="16">
        <f t="shared" si="241"/>
        <v>43404.968517919071</v>
      </c>
      <c r="AT541" s="16">
        <f t="shared" si="242"/>
        <v>-7891.8124578034685</v>
      </c>
      <c r="AU541" s="16">
        <f t="shared" si="243"/>
        <v>6963209.1919352598</v>
      </c>
      <c r="AV541" s="16">
        <f t="shared" si="244"/>
        <v>6971101.0043930635</v>
      </c>
      <c r="AW541" s="16">
        <f t="shared" si="245"/>
        <v>171900</v>
      </c>
      <c r="AX541" s="16" t="s">
        <v>319</v>
      </c>
      <c r="AZ541" s="17">
        <f t="shared" si="253"/>
        <v>0</v>
      </c>
      <c r="BA541" s="16">
        <f t="shared" si="246"/>
        <v>5932458.38150289</v>
      </c>
      <c r="BB541" s="16">
        <f t="shared" si="247"/>
        <v>5932458.38150289</v>
      </c>
      <c r="BC541" s="15">
        <v>0.02</v>
      </c>
      <c r="BD541">
        <v>0.01</v>
      </c>
      <c r="BE541" s="37">
        <f t="shared" si="248"/>
        <v>0</v>
      </c>
      <c r="BF541" s="38">
        <f t="shared" si="249"/>
        <v>0</v>
      </c>
      <c r="BG541" s="37">
        <f t="shared" si="230"/>
        <v>269850</v>
      </c>
      <c r="BH541" s="37">
        <f t="shared" si="250"/>
        <v>286500</v>
      </c>
      <c r="BI541">
        <v>269850</v>
      </c>
      <c r="BK541" s="48"/>
      <c r="BL541" s="8">
        <f t="shared" si="251"/>
        <v>374358.38150289014</v>
      </c>
      <c r="BM541" s="7" t="str">
        <f t="shared" si="232"/>
        <v>Tidak Terdaftar</v>
      </c>
      <c r="BN541" s="11">
        <f t="shared" si="255"/>
        <v>212010.00000000003</v>
      </c>
      <c r="BO541" s="11">
        <f t="shared" si="234"/>
        <v>260142.00000000003</v>
      </c>
      <c r="BP541" s="9">
        <f t="shared" si="252"/>
        <v>0</v>
      </c>
      <c r="BQ541" t="s">
        <v>8</v>
      </c>
    </row>
    <row r="542" spans="1:69" x14ac:dyDescent="0.3">
      <c r="A542" s="2">
        <v>541</v>
      </c>
      <c r="B542" s="5" t="s">
        <v>853</v>
      </c>
      <c r="C542" s="6" t="s">
        <v>241</v>
      </c>
      <c r="D542" s="6"/>
      <c r="E542" s="6" t="s">
        <v>73</v>
      </c>
      <c r="F542" s="6" t="s">
        <v>73</v>
      </c>
      <c r="G542" s="6"/>
      <c r="H542" s="6"/>
      <c r="K542" s="6">
        <v>800672</v>
      </c>
      <c r="L542" s="39"/>
      <c r="M542" s="6"/>
      <c r="N542" s="6" t="s">
        <v>852</v>
      </c>
      <c r="O542" s="6">
        <v>801168017</v>
      </c>
      <c r="P542" s="48" t="s">
        <v>851</v>
      </c>
      <c r="Q542" s="6">
        <v>33085</v>
      </c>
      <c r="R542" s="6">
        <v>27510</v>
      </c>
      <c r="S542" s="5" t="str">
        <f>VLOOKUP(T542,'[1]Kode Posisi'!$A$3:$B$45,2,)</f>
        <v>Outsourcing Petugas Gudang</v>
      </c>
      <c r="T542" t="s">
        <v>2</v>
      </c>
      <c r="V542" t="s">
        <v>850</v>
      </c>
      <c r="W542" s="5" t="s">
        <v>303</v>
      </c>
      <c r="X542" s="5" t="s">
        <v>622</v>
      </c>
      <c r="Y542" t="s">
        <v>52</v>
      </c>
      <c r="Z542" s="57" t="s">
        <v>849</v>
      </c>
      <c r="AA542" t="s">
        <v>848</v>
      </c>
      <c r="AB542" s="47">
        <v>5730000</v>
      </c>
      <c r="AC542" s="41">
        <v>5730000</v>
      </c>
      <c r="AD542" s="52" t="s">
        <v>177</v>
      </c>
      <c r="AI542" s="16">
        <v>62393.063583815027</v>
      </c>
      <c r="AK542" s="16"/>
      <c r="AL542" s="11">
        <f t="shared" si="236"/>
        <v>5792393.0635838155</v>
      </c>
      <c r="AM542" s="16">
        <f t="shared" si="237"/>
        <v>472152</v>
      </c>
      <c r="AN542" s="16">
        <f t="shared" si="238"/>
        <v>229200</v>
      </c>
      <c r="AO542" s="16">
        <f t="shared" si="254"/>
        <v>242952</v>
      </c>
      <c r="AP542" s="16">
        <f t="shared" si="239"/>
        <v>0</v>
      </c>
      <c r="AQ542" s="16">
        <f t="shared" si="240"/>
        <v>6264545.0635838155</v>
      </c>
      <c r="AR542" s="16">
        <f t="shared" si="231"/>
        <v>375872.70381502889</v>
      </c>
      <c r="AS542" s="16">
        <f t="shared" si="241"/>
        <v>41345.997419653177</v>
      </c>
      <c r="AT542" s="16">
        <f t="shared" si="242"/>
        <v>-7517.454076300578</v>
      </c>
      <c r="AU542" s="16">
        <f t="shared" si="243"/>
        <v>6632900.3133225441</v>
      </c>
      <c r="AV542" s="16">
        <f t="shared" si="244"/>
        <v>6640417.7673988445</v>
      </c>
      <c r="AW542" s="16">
        <f t="shared" si="245"/>
        <v>171900</v>
      </c>
      <c r="AX542" s="16" t="s">
        <v>319</v>
      </c>
      <c r="AZ542" s="17">
        <f t="shared" si="253"/>
        <v>0</v>
      </c>
      <c r="BA542" s="16">
        <f t="shared" si="246"/>
        <v>5620493.0635838155</v>
      </c>
      <c r="BB542" s="16">
        <f t="shared" si="247"/>
        <v>5620493.0635838155</v>
      </c>
      <c r="BC542" s="15">
        <v>0.02</v>
      </c>
      <c r="BD542">
        <v>0.01</v>
      </c>
      <c r="BE542" s="37">
        <f t="shared" si="248"/>
        <v>0</v>
      </c>
      <c r="BF542" s="38">
        <f t="shared" si="249"/>
        <v>0</v>
      </c>
      <c r="BG542" s="37">
        <f t="shared" si="230"/>
        <v>269850</v>
      </c>
      <c r="BH542" s="37">
        <f t="shared" si="250"/>
        <v>286500</v>
      </c>
      <c r="BI542">
        <v>269850</v>
      </c>
      <c r="BK542" s="48"/>
      <c r="BL542" s="8">
        <f t="shared" si="251"/>
        <v>62393.063583815027</v>
      </c>
      <c r="BM542" s="7" t="str">
        <f t="shared" si="232"/>
        <v>Tidak Terdaftar</v>
      </c>
      <c r="BN542" s="11">
        <f t="shared" si="255"/>
        <v>212010.00000000003</v>
      </c>
      <c r="BO542" s="11">
        <f t="shared" si="234"/>
        <v>260142.00000000003</v>
      </c>
      <c r="BP542" s="9">
        <f t="shared" si="252"/>
        <v>0</v>
      </c>
      <c r="BQ542" t="s">
        <v>8</v>
      </c>
    </row>
    <row r="543" spans="1:69" x14ac:dyDescent="0.3">
      <c r="A543" s="2">
        <v>542</v>
      </c>
      <c r="B543" s="5" t="s">
        <v>847</v>
      </c>
      <c r="C543" s="6" t="s">
        <v>241</v>
      </c>
      <c r="D543" s="6"/>
      <c r="E543" s="6" t="s">
        <v>73</v>
      </c>
      <c r="F543" s="6" t="s">
        <v>73</v>
      </c>
      <c r="G543" s="6"/>
      <c r="H543" s="6"/>
      <c r="K543" s="6">
        <v>800673</v>
      </c>
      <c r="L543" s="39"/>
      <c r="M543" s="6"/>
      <c r="N543" s="6" t="s">
        <v>846</v>
      </c>
      <c r="O543" s="6">
        <v>1824019154</v>
      </c>
      <c r="P543" s="48" t="s">
        <v>845</v>
      </c>
      <c r="Q543" s="6">
        <v>33085</v>
      </c>
      <c r="R543" s="6">
        <v>27510</v>
      </c>
      <c r="S543" s="5" t="str">
        <f>VLOOKUP(T543,'[1]Kode Posisi'!$A$3:$B$45,2,)</f>
        <v>Outsourcing Petugas Gudang</v>
      </c>
      <c r="T543" t="s">
        <v>2</v>
      </c>
      <c r="V543" t="s">
        <v>844</v>
      </c>
      <c r="W543" s="5" t="s">
        <v>303</v>
      </c>
      <c r="X543" s="5" t="s">
        <v>622</v>
      </c>
      <c r="Y543" t="s">
        <v>52</v>
      </c>
      <c r="Z543" s="46">
        <v>6300276138</v>
      </c>
      <c r="AA543" t="s">
        <v>843</v>
      </c>
      <c r="AB543" s="47">
        <v>5730000</v>
      </c>
      <c r="AC543" s="41">
        <v>5730000</v>
      </c>
      <c r="AD543" s="52" t="s">
        <v>177</v>
      </c>
      <c r="AI543" s="16">
        <v>1060682.0809248555</v>
      </c>
      <c r="AK543" s="16"/>
      <c r="AL543" s="11">
        <f t="shared" si="236"/>
        <v>6790682.0809248555</v>
      </c>
      <c r="AM543" s="16">
        <f t="shared" si="237"/>
        <v>472152</v>
      </c>
      <c r="AN543" s="16">
        <f t="shared" si="238"/>
        <v>229200</v>
      </c>
      <c r="AO543" s="16">
        <f t="shared" si="254"/>
        <v>242952</v>
      </c>
      <c r="AP543" s="16">
        <f t="shared" si="239"/>
        <v>0</v>
      </c>
      <c r="AQ543" s="16">
        <f t="shared" si="240"/>
        <v>7262834.0809248555</v>
      </c>
      <c r="AR543" s="16">
        <f t="shared" si="231"/>
        <v>435770.04485549132</v>
      </c>
      <c r="AS543" s="16">
        <f t="shared" si="241"/>
        <v>47934.704934104047</v>
      </c>
      <c r="AT543" s="16">
        <f t="shared" si="242"/>
        <v>-8715.4008971098265</v>
      </c>
      <c r="AU543" s="16">
        <f t="shared" si="243"/>
        <v>7689888.7248832369</v>
      </c>
      <c r="AV543" s="16">
        <f t="shared" si="244"/>
        <v>7698604.1257803468</v>
      </c>
      <c r="AW543" s="16">
        <f t="shared" si="245"/>
        <v>171900</v>
      </c>
      <c r="AX543" s="16" t="s">
        <v>319</v>
      </c>
      <c r="AZ543" s="17">
        <f t="shared" si="253"/>
        <v>0</v>
      </c>
      <c r="BA543" s="16">
        <f t="shared" si="246"/>
        <v>6618782.0809248555</v>
      </c>
      <c r="BB543" s="16">
        <f t="shared" si="247"/>
        <v>6618782.0809248555</v>
      </c>
      <c r="BC543" s="15">
        <v>0.02</v>
      </c>
      <c r="BD543">
        <v>0.01</v>
      </c>
      <c r="BE543" s="37">
        <f t="shared" si="248"/>
        <v>0</v>
      </c>
      <c r="BF543" s="38">
        <f t="shared" si="249"/>
        <v>0</v>
      </c>
      <c r="BG543" s="37">
        <f t="shared" si="230"/>
        <v>269850</v>
      </c>
      <c r="BH543" s="37">
        <f t="shared" si="250"/>
        <v>286500</v>
      </c>
      <c r="BI543">
        <v>269850</v>
      </c>
      <c r="BK543" s="48"/>
      <c r="BL543" s="8">
        <f t="shared" si="251"/>
        <v>1060682.0809248555</v>
      </c>
      <c r="BM543" s="7" t="str">
        <f t="shared" si="232"/>
        <v>Tidak Terdaftar</v>
      </c>
      <c r="BN543" s="11">
        <f t="shared" si="255"/>
        <v>212010.00000000003</v>
      </c>
      <c r="BO543" s="11">
        <f t="shared" si="234"/>
        <v>260142.00000000003</v>
      </c>
      <c r="BP543" s="9">
        <f t="shared" si="252"/>
        <v>0</v>
      </c>
      <c r="BQ543" t="s">
        <v>8</v>
      </c>
    </row>
    <row r="544" spans="1:69" x14ac:dyDescent="0.3">
      <c r="A544" s="2">
        <v>543</v>
      </c>
      <c r="B544" s="5" t="s">
        <v>842</v>
      </c>
      <c r="C544" s="6" t="s">
        <v>241</v>
      </c>
      <c r="D544" s="6"/>
      <c r="E544" s="6" t="s">
        <v>73</v>
      </c>
      <c r="F544" s="6" t="s">
        <v>73</v>
      </c>
      <c r="G544" s="6"/>
      <c r="H544" s="6"/>
      <c r="K544" s="6">
        <v>800674</v>
      </c>
      <c r="L544" s="39"/>
      <c r="M544" s="6"/>
      <c r="N544" s="6" t="s">
        <v>841</v>
      </c>
      <c r="O544" s="6">
        <v>1131315546</v>
      </c>
      <c r="P544" s="48" t="s">
        <v>840</v>
      </c>
      <c r="Q544" s="6">
        <v>33085</v>
      </c>
      <c r="R544" s="6">
        <v>27510</v>
      </c>
      <c r="S544" s="5" t="str">
        <f>VLOOKUP(T544,'[1]Kode Posisi'!$A$3:$B$45,2,)</f>
        <v>Outsourcing Petugas Gudang</v>
      </c>
      <c r="T544" t="s">
        <v>2</v>
      </c>
      <c r="V544" t="s">
        <v>839</v>
      </c>
      <c r="W544" s="5" t="s">
        <v>303</v>
      </c>
      <c r="X544" s="5" t="s">
        <v>622</v>
      </c>
      <c r="Y544" t="s">
        <v>63</v>
      </c>
      <c r="Z544" s="57" t="s">
        <v>838</v>
      </c>
      <c r="AA544" t="s">
        <v>837</v>
      </c>
      <c r="AB544" s="47">
        <v>5730000</v>
      </c>
      <c r="AC544" s="41">
        <v>5730000</v>
      </c>
      <c r="AD544" s="52" t="s">
        <v>177</v>
      </c>
      <c r="AI544" s="16">
        <v>530341.04046242777</v>
      </c>
      <c r="AK544" s="16"/>
      <c r="AL544" s="11">
        <f t="shared" si="236"/>
        <v>6260341.0404624278</v>
      </c>
      <c r="AM544" s="16">
        <f t="shared" si="237"/>
        <v>472152</v>
      </c>
      <c r="AN544" s="16">
        <f t="shared" si="238"/>
        <v>229200</v>
      </c>
      <c r="AO544" s="16">
        <f t="shared" si="254"/>
        <v>242952</v>
      </c>
      <c r="AP544" s="16">
        <f t="shared" si="239"/>
        <v>0</v>
      </c>
      <c r="AQ544" s="16">
        <f t="shared" si="240"/>
        <v>6732493.0404624278</v>
      </c>
      <c r="AR544" s="16">
        <f t="shared" si="231"/>
        <v>403949.58242774563</v>
      </c>
      <c r="AS544" s="16">
        <f t="shared" si="241"/>
        <v>44434.454067052022</v>
      </c>
      <c r="AT544" s="16">
        <f t="shared" si="242"/>
        <v>-8078.9916485549129</v>
      </c>
      <c r="AU544" s="16">
        <f t="shared" si="243"/>
        <v>7128363.6312416187</v>
      </c>
      <c r="AV544" s="16">
        <f t="shared" si="244"/>
        <v>7136442.6228901735</v>
      </c>
      <c r="AW544" s="16">
        <f t="shared" si="245"/>
        <v>171900</v>
      </c>
      <c r="AX544" s="16" t="s">
        <v>286</v>
      </c>
      <c r="AZ544" s="17">
        <f t="shared" si="253"/>
        <v>2900</v>
      </c>
      <c r="BA544" s="16">
        <f t="shared" si="246"/>
        <v>6088441.0404624278</v>
      </c>
      <c r="BB544" s="16">
        <f t="shared" si="247"/>
        <v>6085541.0404624278</v>
      </c>
      <c r="BC544" s="15">
        <v>0.02</v>
      </c>
      <c r="BD544">
        <v>0.01</v>
      </c>
      <c r="BE544" s="37">
        <f t="shared" si="248"/>
        <v>0</v>
      </c>
      <c r="BF544" s="38">
        <f t="shared" si="249"/>
        <v>0</v>
      </c>
      <c r="BG544" s="37">
        <f t="shared" si="230"/>
        <v>269850</v>
      </c>
      <c r="BH544" s="37">
        <f t="shared" si="250"/>
        <v>286500</v>
      </c>
      <c r="BI544">
        <v>269850</v>
      </c>
      <c r="BK544" s="48"/>
      <c r="BL544" s="8">
        <f t="shared" si="251"/>
        <v>530341.04046242777</v>
      </c>
      <c r="BM544" s="7" t="str">
        <f t="shared" si="232"/>
        <v>Tidak Terdaftar</v>
      </c>
      <c r="BN544" s="11">
        <f t="shared" si="255"/>
        <v>212010.00000000003</v>
      </c>
      <c r="BO544" s="11">
        <f t="shared" si="234"/>
        <v>260142.00000000003</v>
      </c>
      <c r="BP544" s="9">
        <f t="shared" si="252"/>
        <v>0</v>
      </c>
      <c r="BQ544" t="s">
        <v>8</v>
      </c>
    </row>
    <row r="545" spans="1:69" x14ac:dyDescent="0.3">
      <c r="A545" s="2">
        <v>544</v>
      </c>
      <c r="B545" s="5" t="s">
        <v>836</v>
      </c>
      <c r="C545" s="6" t="s">
        <v>241</v>
      </c>
      <c r="D545" s="6"/>
      <c r="E545" s="6" t="s">
        <v>73</v>
      </c>
      <c r="F545" s="6" t="s">
        <v>73</v>
      </c>
      <c r="G545" s="6"/>
      <c r="H545" s="6"/>
      <c r="K545" s="6">
        <v>800675</v>
      </c>
      <c r="L545" s="39"/>
      <c r="M545" s="6"/>
      <c r="N545" s="6" t="s">
        <v>835</v>
      </c>
      <c r="O545" s="6">
        <v>1155571154</v>
      </c>
      <c r="P545" s="48" t="s">
        <v>834</v>
      </c>
      <c r="Q545" s="6">
        <v>33085</v>
      </c>
      <c r="R545" s="6">
        <v>27510</v>
      </c>
      <c r="S545" s="5" t="str">
        <f>VLOOKUP(T545,'[1]Kode Posisi'!$A$3:$B$45,2,)</f>
        <v>Outsourcing Petugas Administrasi</v>
      </c>
      <c r="T545" t="s">
        <v>35</v>
      </c>
      <c r="V545" t="s">
        <v>833</v>
      </c>
      <c r="W545" s="5" t="s">
        <v>303</v>
      </c>
      <c r="X545" s="5" t="s">
        <v>622</v>
      </c>
      <c r="Y545" t="s">
        <v>52</v>
      </c>
      <c r="Z545" s="46">
        <v>6310298164</v>
      </c>
      <c r="AA545" t="s">
        <v>832</v>
      </c>
      <c r="AB545" s="47">
        <v>5730000</v>
      </c>
      <c r="AC545" s="41">
        <v>5730000</v>
      </c>
      <c r="AD545" s="52" t="s">
        <v>177</v>
      </c>
      <c r="AI545" s="16">
        <v>530341.04046242777</v>
      </c>
      <c r="AK545" s="16"/>
      <c r="AL545" s="11">
        <f t="shared" si="236"/>
        <v>6260341.0404624278</v>
      </c>
      <c r="AM545" s="16">
        <f t="shared" si="237"/>
        <v>472152</v>
      </c>
      <c r="AN545" s="16">
        <f t="shared" si="238"/>
        <v>229200</v>
      </c>
      <c r="AO545" s="16">
        <f t="shared" si="254"/>
        <v>242952</v>
      </c>
      <c r="AP545" s="16">
        <f t="shared" si="239"/>
        <v>0</v>
      </c>
      <c r="AQ545" s="16">
        <f t="shared" si="240"/>
        <v>6732493.0404624278</v>
      </c>
      <c r="AR545" s="16">
        <f t="shared" si="231"/>
        <v>403949.58242774563</v>
      </c>
      <c r="AS545" s="16">
        <f t="shared" si="241"/>
        <v>44434.454067052022</v>
      </c>
      <c r="AT545" s="16">
        <f t="shared" si="242"/>
        <v>-8078.9916485549129</v>
      </c>
      <c r="AU545" s="16">
        <f t="shared" si="243"/>
        <v>7128363.6312416187</v>
      </c>
      <c r="AV545" s="16">
        <f t="shared" si="244"/>
        <v>7136442.6228901735</v>
      </c>
      <c r="AW545" s="16">
        <f t="shared" si="245"/>
        <v>171900</v>
      </c>
      <c r="AX545" s="16" t="s">
        <v>235</v>
      </c>
      <c r="AZ545" s="17">
        <f t="shared" si="253"/>
        <v>0</v>
      </c>
      <c r="BA545" s="16">
        <f t="shared" si="246"/>
        <v>6088441.0404624278</v>
      </c>
      <c r="BB545" s="16">
        <f t="shared" si="247"/>
        <v>6088441.0404624278</v>
      </c>
      <c r="BC545" s="15">
        <v>0.02</v>
      </c>
      <c r="BD545">
        <v>0.01</v>
      </c>
      <c r="BE545" s="37">
        <f t="shared" si="248"/>
        <v>0</v>
      </c>
      <c r="BF545" s="38">
        <f t="shared" si="249"/>
        <v>0</v>
      </c>
      <c r="BG545" s="37">
        <f t="shared" si="230"/>
        <v>269850</v>
      </c>
      <c r="BH545" s="37">
        <f t="shared" si="250"/>
        <v>286500</v>
      </c>
      <c r="BI545">
        <v>269850</v>
      </c>
      <c r="BK545" s="48"/>
      <c r="BL545" s="8">
        <f t="shared" si="251"/>
        <v>530341.04046242777</v>
      </c>
      <c r="BM545" s="7" t="str">
        <f t="shared" si="232"/>
        <v>Tidak Terdaftar</v>
      </c>
      <c r="BN545" s="11">
        <f t="shared" si="255"/>
        <v>212010.00000000003</v>
      </c>
      <c r="BO545" s="11">
        <f t="shared" si="234"/>
        <v>260142.00000000003</v>
      </c>
      <c r="BP545" s="9">
        <f t="shared" si="252"/>
        <v>0</v>
      </c>
      <c r="BQ545" t="s">
        <v>8</v>
      </c>
    </row>
    <row r="546" spans="1:69" x14ac:dyDescent="0.3">
      <c r="A546" s="2">
        <v>545</v>
      </c>
      <c r="B546" s="5" t="s">
        <v>831</v>
      </c>
      <c r="C546" s="6" t="s">
        <v>241</v>
      </c>
      <c r="D546" s="6"/>
      <c r="E546" s="6" t="s">
        <v>73</v>
      </c>
      <c r="F546" s="6" t="s">
        <v>73</v>
      </c>
      <c r="G546" s="6"/>
      <c r="H546" s="6"/>
      <c r="K546" s="6">
        <v>800676</v>
      </c>
      <c r="L546" s="39"/>
      <c r="M546" s="6"/>
      <c r="N546" s="6" t="s">
        <v>830</v>
      </c>
      <c r="O546" s="6">
        <v>2896396773</v>
      </c>
      <c r="P546" s="48" t="s">
        <v>829</v>
      </c>
      <c r="Q546" s="6">
        <v>33085</v>
      </c>
      <c r="R546" s="6">
        <v>27510</v>
      </c>
      <c r="S546" s="5" t="str">
        <f>VLOOKUP(T546,'[1]Kode Posisi'!$A$3:$B$45,2,)</f>
        <v>Outsourcing Petugas Administrasi</v>
      </c>
      <c r="T546" t="s">
        <v>35</v>
      </c>
      <c r="V546" t="s">
        <v>828</v>
      </c>
      <c r="W546" s="5" t="s">
        <v>303</v>
      </c>
      <c r="X546" s="5" t="s">
        <v>622</v>
      </c>
      <c r="Y546" t="s">
        <v>52</v>
      </c>
      <c r="Z546" s="46">
        <v>6870836757</v>
      </c>
      <c r="AA546" t="s">
        <v>827</v>
      </c>
      <c r="AB546" s="47">
        <v>5730000</v>
      </c>
      <c r="AC546" s="41">
        <v>5730000</v>
      </c>
      <c r="AD546" s="52" t="s">
        <v>177</v>
      </c>
      <c r="AI546" s="16">
        <v>623930.63583815028</v>
      </c>
      <c r="AK546" s="16"/>
      <c r="AL546" s="11">
        <f t="shared" si="236"/>
        <v>6353930.63583815</v>
      </c>
      <c r="AM546" s="16">
        <f t="shared" si="237"/>
        <v>472152</v>
      </c>
      <c r="AN546" s="16">
        <f t="shared" si="238"/>
        <v>229200</v>
      </c>
      <c r="AO546" s="16">
        <f t="shared" si="254"/>
        <v>242952</v>
      </c>
      <c r="AP546" s="16">
        <f t="shared" si="239"/>
        <v>0</v>
      </c>
      <c r="AQ546" s="16">
        <f t="shared" si="240"/>
        <v>6826082.63583815</v>
      </c>
      <c r="AR546" s="16">
        <f t="shared" si="231"/>
        <v>409564.95815028896</v>
      </c>
      <c r="AS546" s="16">
        <f t="shared" si="241"/>
        <v>45052.145396531785</v>
      </c>
      <c r="AT546" s="16">
        <f t="shared" si="242"/>
        <v>-8191.2991630057795</v>
      </c>
      <c r="AU546" s="16">
        <f t="shared" si="243"/>
        <v>7227456.2948254338</v>
      </c>
      <c r="AV546" s="16">
        <f t="shared" si="244"/>
        <v>7235647.5939884391</v>
      </c>
      <c r="AW546" s="16">
        <f t="shared" si="245"/>
        <v>171900</v>
      </c>
      <c r="AX546" s="16" t="s">
        <v>243</v>
      </c>
      <c r="AZ546" s="17">
        <f t="shared" si="253"/>
        <v>0</v>
      </c>
      <c r="BA546" s="16">
        <f t="shared" si="246"/>
        <v>6182030.63583815</v>
      </c>
      <c r="BB546" s="16">
        <f t="shared" si="247"/>
        <v>6182030.63583815</v>
      </c>
      <c r="BC546" s="15">
        <v>0.02</v>
      </c>
      <c r="BD546">
        <v>0.01</v>
      </c>
      <c r="BE546" s="37">
        <f t="shared" si="248"/>
        <v>0</v>
      </c>
      <c r="BF546" s="38">
        <f t="shared" si="249"/>
        <v>0</v>
      </c>
      <c r="BG546" s="37">
        <f t="shared" si="230"/>
        <v>269850</v>
      </c>
      <c r="BH546" s="37">
        <f t="shared" si="250"/>
        <v>286500</v>
      </c>
      <c r="BI546">
        <v>269850</v>
      </c>
      <c r="BK546" s="48"/>
      <c r="BL546" s="8">
        <f t="shared" si="251"/>
        <v>623930.63583815028</v>
      </c>
      <c r="BM546" s="7" t="str">
        <f t="shared" si="232"/>
        <v>Tidak Terdaftar</v>
      </c>
      <c r="BN546" s="11">
        <f t="shared" si="255"/>
        <v>212010.00000000003</v>
      </c>
      <c r="BO546" s="11">
        <f t="shared" si="234"/>
        <v>260142.00000000003</v>
      </c>
      <c r="BP546" s="9">
        <f t="shared" si="252"/>
        <v>0</v>
      </c>
      <c r="BQ546" t="s">
        <v>8</v>
      </c>
    </row>
    <row r="547" spans="1:69" x14ac:dyDescent="0.3">
      <c r="A547" s="2">
        <v>546</v>
      </c>
      <c r="B547" s="5" t="s">
        <v>826</v>
      </c>
      <c r="C547" s="6" t="s">
        <v>241</v>
      </c>
      <c r="D547" s="6"/>
      <c r="E547" s="6" t="s">
        <v>73</v>
      </c>
      <c r="F547" s="6" t="s">
        <v>73</v>
      </c>
      <c r="G547" s="6"/>
      <c r="H547" s="6"/>
      <c r="K547" s="6">
        <v>800677</v>
      </c>
      <c r="L547" s="39"/>
      <c r="M547" s="6"/>
      <c r="N547" s="6">
        <v>3</v>
      </c>
      <c r="O547" s="6">
        <v>1054373736</v>
      </c>
      <c r="P547" s="48" t="s">
        <v>825</v>
      </c>
      <c r="Q547" s="6">
        <v>33085</v>
      </c>
      <c r="R547" s="6">
        <v>27510</v>
      </c>
      <c r="S547" s="5" t="str">
        <f>VLOOKUP(T547,'[1]Kode Posisi'!$A$3:$B$45,2,)</f>
        <v>Outsourcing Petugas Gudang</v>
      </c>
      <c r="T547" t="s">
        <v>2</v>
      </c>
      <c r="V547" t="s">
        <v>824</v>
      </c>
      <c r="W547" s="5" t="s">
        <v>303</v>
      </c>
      <c r="X547" s="5" t="s">
        <v>622</v>
      </c>
      <c r="Y547" t="s">
        <v>52</v>
      </c>
      <c r="Z547" s="46">
        <v>5212244805</v>
      </c>
      <c r="AA547" t="s">
        <v>823</v>
      </c>
      <c r="AB547" s="47">
        <v>5730000</v>
      </c>
      <c r="AC547" s="41">
        <v>5730000</v>
      </c>
      <c r="AD547" s="52" t="s">
        <v>177</v>
      </c>
      <c r="AI547" s="16">
        <v>155982.65895953757</v>
      </c>
      <c r="AK547" s="16"/>
      <c r="AL547" s="11">
        <f t="shared" si="236"/>
        <v>5885982.6589595377</v>
      </c>
      <c r="AM547" s="16">
        <f t="shared" si="237"/>
        <v>472152</v>
      </c>
      <c r="AN547" s="16">
        <f t="shared" si="238"/>
        <v>229200</v>
      </c>
      <c r="AO547" s="16">
        <f t="shared" si="254"/>
        <v>242952</v>
      </c>
      <c r="AP547" s="16">
        <f t="shared" si="239"/>
        <v>0</v>
      </c>
      <c r="AQ547" s="16">
        <f t="shared" si="240"/>
        <v>6358134.6589595377</v>
      </c>
      <c r="AR547" s="16">
        <f t="shared" si="231"/>
        <v>381488.07953757222</v>
      </c>
      <c r="AS547" s="16">
        <f t="shared" si="241"/>
        <v>41963.688749132947</v>
      </c>
      <c r="AT547" s="16">
        <f t="shared" si="242"/>
        <v>-7629.7615907514446</v>
      </c>
      <c r="AU547" s="16">
        <f t="shared" si="243"/>
        <v>6731992.9769063583</v>
      </c>
      <c r="AV547" s="16">
        <f t="shared" si="244"/>
        <v>6739622.7384971101</v>
      </c>
      <c r="AW547" s="16">
        <f t="shared" si="245"/>
        <v>171900</v>
      </c>
      <c r="AX547" s="16" t="s">
        <v>319</v>
      </c>
      <c r="AZ547" s="17">
        <f t="shared" si="253"/>
        <v>0</v>
      </c>
      <c r="BA547" s="16">
        <f t="shared" si="246"/>
        <v>5714082.6589595377</v>
      </c>
      <c r="BB547" s="16">
        <f t="shared" si="247"/>
        <v>5714082.6589595377</v>
      </c>
      <c r="BC547" s="15">
        <v>0.02</v>
      </c>
      <c r="BD547">
        <v>0.01</v>
      </c>
      <c r="BE547" s="37">
        <f t="shared" si="248"/>
        <v>0</v>
      </c>
      <c r="BF547" s="38">
        <f t="shared" si="249"/>
        <v>0</v>
      </c>
      <c r="BG547" s="37">
        <f t="shared" si="230"/>
        <v>269850</v>
      </c>
      <c r="BH547" s="37">
        <f t="shared" si="250"/>
        <v>286500</v>
      </c>
      <c r="BI547">
        <v>269850</v>
      </c>
      <c r="BK547" s="48"/>
      <c r="BL547" s="8">
        <f t="shared" si="251"/>
        <v>155982.65895953757</v>
      </c>
      <c r="BM547" s="7" t="str">
        <f t="shared" si="232"/>
        <v>Tidak Terdaftar</v>
      </c>
      <c r="BN547" s="11">
        <f t="shared" si="255"/>
        <v>212010.00000000003</v>
      </c>
      <c r="BO547" s="11">
        <f t="shared" si="234"/>
        <v>260142.00000000003</v>
      </c>
      <c r="BP547" s="9">
        <f t="shared" si="252"/>
        <v>0</v>
      </c>
      <c r="BQ547" t="s">
        <v>8</v>
      </c>
    </row>
    <row r="548" spans="1:69" x14ac:dyDescent="0.3">
      <c r="A548" s="2">
        <v>547</v>
      </c>
      <c r="B548" s="5" t="s">
        <v>819</v>
      </c>
      <c r="C548" s="6" t="s">
        <v>241</v>
      </c>
      <c r="D548" s="6"/>
      <c r="E548" s="6" t="s">
        <v>73</v>
      </c>
      <c r="F548" s="6" t="s">
        <v>73</v>
      </c>
      <c r="G548" s="6"/>
      <c r="H548" s="6"/>
      <c r="K548" s="6">
        <v>800678</v>
      </c>
      <c r="L548" s="39"/>
      <c r="M548" s="6"/>
      <c r="N548" s="6" t="s">
        <v>822</v>
      </c>
      <c r="O548" s="6">
        <v>1479451228</v>
      </c>
      <c r="P548" s="48" t="s">
        <v>821</v>
      </c>
      <c r="Q548" s="6">
        <v>33085</v>
      </c>
      <c r="R548" s="6">
        <v>27510</v>
      </c>
      <c r="S548" s="5" t="str">
        <f>VLOOKUP(T548,'[1]Kode Posisi'!$A$3:$B$45,2,)</f>
        <v>Outsourcing Petugas Gudang</v>
      </c>
      <c r="T548" t="s">
        <v>2</v>
      </c>
      <c r="V548" t="s">
        <v>820</v>
      </c>
      <c r="W548" s="5" t="s">
        <v>303</v>
      </c>
      <c r="X548" s="5" t="s">
        <v>622</v>
      </c>
      <c r="Y548" t="s">
        <v>52</v>
      </c>
      <c r="Z548" s="46">
        <v>7391401202</v>
      </c>
      <c r="AA548" t="s">
        <v>819</v>
      </c>
      <c r="AB548" s="47">
        <v>5730000</v>
      </c>
      <c r="AC548" s="41">
        <v>5730000</v>
      </c>
      <c r="AD548" s="52" t="s">
        <v>177</v>
      </c>
      <c r="AI548" s="16">
        <v>811109.82658959529</v>
      </c>
      <c r="AK548" s="16"/>
      <c r="AL548" s="11">
        <f t="shared" si="236"/>
        <v>6541109.8265895955</v>
      </c>
      <c r="AM548" s="16">
        <f t="shared" si="237"/>
        <v>472152</v>
      </c>
      <c r="AN548" s="16">
        <f t="shared" si="238"/>
        <v>229200</v>
      </c>
      <c r="AO548" s="16">
        <f t="shared" si="254"/>
        <v>242952</v>
      </c>
      <c r="AP548" s="16">
        <f t="shared" si="239"/>
        <v>0</v>
      </c>
      <c r="AQ548" s="16">
        <f t="shared" si="240"/>
        <v>7013261.8265895955</v>
      </c>
      <c r="AR548" s="16">
        <f t="shared" si="231"/>
        <v>420795.70959537569</v>
      </c>
      <c r="AS548" s="16">
        <f t="shared" si="241"/>
        <v>46287.528055491326</v>
      </c>
      <c r="AT548" s="16">
        <f t="shared" si="242"/>
        <v>-8415.9141919075137</v>
      </c>
      <c r="AU548" s="16">
        <f t="shared" si="243"/>
        <v>7425641.6219930639</v>
      </c>
      <c r="AV548" s="16">
        <f t="shared" si="244"/>
        <v>7434057.5361849712</v>
      </c>
      <c r="AW548" s="16">
        <f t="shared" si="245"/>
        <v>171900</v>
      </c>
      <c r="AX548" s="16" t="s">
        <v>286</v>
      </c>
      <c r="AZ548" s="17">
        <f t="shared" si="253"/>
        <v>0</v>
      </c>
      <c r="BA548" s="16">
        <f t="shared" si="246"/>
        <v>6369209.8265895955</v>
      </c>
      <c r="BB548" s="16">
        <f t="shared" si="247"/>
        <v>6369209.8265895955</v>
      </c>
      <c r="BC548" s="15">
        <v>0.02</v>
      </c>
      <c r="BD548">
        <v>0.01</v>
      </c>
      <c r="BE548" s="37">
        <f t="shared" si="248"/>
        <v>0</v>
      </c>
      <c r="BF548" s="38">
        <f t="shared" si="249"/>
        <v>0</v>
      </c>
      <c r="BG548" s="37">
        <f t="shared" si="230"/>
        <v>269850</v>
      </c>
      <c r="BH548" s="37">
        <f t="shared" si="250"/>
        <v>286500</v>
      </c>
      <c r="BI548">
        <v>269850</v>
      </c>
      <c r="BK548" s="48"/>
      <c r="BL548" s="8">
        <f t="shared" si="251"/>
        <v>811109.82658959529</v>
      </c>
      <c r="BM548" s="7" t="str">
        <f t="shared" si="232"/>
        <v>Tidak Terdaftar</v>
      </c>
      <c r="BN548" s="11">
        <f t="shared" si="255"/>
        <v>212010.00000000003</v>
      </c>
      <c r="BO548" s="11">
        <f t="shared" si="234"/>
        <v>260142.00000000003</v>
      </c>
      <c r="BP548" s="9">
        <f t="shared" si="252"/>
        <v>0</v>
      </c>
      <c r="BQ548" t="s">
        <v>8</v>
      </c>
    </row>
    <row r="549" spans="1:69" x14ac:dyDescent="0.3">
      <c r="A549" s="2">
        <v>548</v>
      </c>
      <c r="B549" s="5" t="s">
        <v>815</v>
      </c>
      <c r="C549" s="6" t="s">
        <v>241</v>
      </c>
      <c r="D549" s="6"/>
      <c r="E549" s="6" t="s">
        <v>73</v>
      </c>
      <c r="F549" s="6" t="s">
        <v>73</v>
      </c>
      <c r="G549" s="6"/>
      <c r="H549" s="6"/>
      <c r="K549" s="6">
        <v>800679</v>
      </c>
      <c r="L549" s="39"/>
      <c r="M549" s="6"/>
      <c r="N549" s="6" t="s">
        <v>818</v>
      </c>
      <c r="O549" s="6">
        <v>1153281914</v>
      </c>
      <c r="P549" s="48" t="s">
        <v>817</v>
      </c>
      <c r="Q549" s="6">
        <v>33085</v>
      </c>
      <c r="R549" s="6">
        <v>27510</v>
      </c>
      <c r="S549" s="5" t="str">
        <f>VLOOKUP(T549,'[1]Kode Posisi'!$A$3:$B$45,2,)</f>
        <v>Outsourcing Petugas Gudang</v>
      </c>
      <c r="T549" t="s">
        <v>2</v>
      </c>
      <c r="V549" t="s">
        <v>816</v>
      </c>
      <c r="W549" s="5" t="s">
        <v>303</v>
      </c>
      <c r="X549" s="5" t="s">
        <v>622</v>
      </c>
      <c r="Y549" t="s">
        <v>52</v>
      </c>
      <c r="Z549" s="46">
        <v>2170341646</v>
      </c>
      <c r="AA549" t="s">
        <v>815</v>
      </c>
      <c r="AB549" s="47">
        <v>5730000</v>
      </c>
      <c r="AC549" s="41">
        <v>5730000</v>
      </c>
      <c r="AD549" s="52" t="s">
        <v>177</v>
      </c>
      <c r="AI549" s="16">
        <v>93589.595375722536</v>
      </c>
      <c r="AK549" s="16"/>
      <c r="AL549" s="11">
        <f t="shared" si="236"/>
        <v>5823589.5953757223</v>
      </c>
      <c r="AM549" s="16">
        <f t="shared" si="237"/>
        <v>472152</v>
      </c>
      <c r="AN549" s="16">
        <f t="shared" si="238"/>
        <v>229200</v>
      </c>
      <c r="AO549" s="16">
        <f t="shared" si="254"/>
        <v>242952</v>
      </c>
      <c r="AP549" s="16">
        <f t="shared" si="239"/>
        <v>0</v>
      </c>
      <c r="AQ549" s="16">
        <f t="shared" si="240"/>
        <v>6295741.5953757223</v>
      </c>
      <c r="AR549" s="16">
        <f t="shared" si="231"/>
        <v>377744.49572254333</v>
      </c>
      <c r="AS549" s="16">
        <f t="shared" si="241"/>
        <v>41551.894529479767</v>
      </c>
      <c r="AT549" s="16">
        <f t="shared" si="242"/>
        <v>-7554.8899144508669</v>
      </c>
      <c r="AU549" s="16">
        <f t="shared" si="243"/>
        <v>6665931.2011838146</v>
      </c>
      <c r="AV549" s="16">
        <f t="shared" si="244"/>
        <v>6673486.0910982657</v>
      </c>
      <c r="AW549" s="16">
        <f t="shared" si="245"/>
        <v>171900</v>
      </c>
      <c r="AX549" s="16" t="s">
        <v>91</v>
      </c>
      <c r="AZ549" s="17">
        <f t="shared" si="253"/>
        <v>0</v>
      </c>
      <c r="BA549" s="16">
        <f t="shared" si="246"/>
        <v>5651689.5953757223</v>
      </c>
      <c r="BB549" s="16">
        <f t="shared" si="247"/>
        <v>5651689.5953757223</v>
      </c>
      <c r="BC549" s="15">
        <v>0.02</v>
      </c>
      <c r="BD549">
        <v>0.01</v>
      </c>
      <c r="BE549" s="37">
        <f t="shared" si="248"/>
        <v>0</v>
      </c>
      <c r="BF549" s="38">
        <f t="shared" si="249"/>
        <v>0</v>
      </c>
      <c r="BG549" s="37">
        <f t="shared" si="230"/>
        <v>269850</v>
      </c>
      <c r="BH549" s="37">
        <f t="shared" si="250"/>
        <v>286500</v>
      </c>
      <c r="BI549">
        <v>269850</v>
      </c>
      <c r="BK549" s="48"/>
      <c r="BL549" s="8">
        <f t="shared" si="251"/>
        <v>93589.595375722536</v>
      </c>
      <c r="BM549" s="7" t="str">
        <f t="shared" si="232"/>
        <v>Tidak Terdaftar</v>
      </c>
      <c r="BN549" s="11">
        <f t="shared" si="255"/>
        <v>212010.00000000003</v>
      </c>
      <c r="BO549" s="11">
        <f t="shared" si="234"/>
        <v>260142.00000000003</v>
      </c>
      <c r="BP549" s="9">
        <f t="shared" si="252"/>
        <v>0</v>
      </c>
      <c r="BQ549" t="s">
        <v>8</v>
      </c>
    </row>
    <row r="550" spans="1:69" x14ac:dyDescent="0.3">
      <c r="A550" s="2">
        <v>549</v>
      </c>
      <c r="B550" s="5" t="s">
        <v>814</v>
      </c>
      <c r="C550" s="6" t="s">
        <v>241</v>
      </c>
      <c r="D550" s="6"/>
      <c r="E550" s="6" t="s">
        <v>73</v>
      </c>
      <c r="F550" s="6" t="s">
        <v>73</v>
      </c>
      <c r="G550" s="6"/>
      <c r="H550" s="6"/>
      <c r="K550" s="6">
        <v>800680</v>
      </c>
      <c r="L550" s="39"/>
      <c r="M550" s="6"/>
      <c r="N550" s="6" t="s">
        <v>813</v>
      </c>
      <c r="O550" s="6">
        <v>1813148728</v>
      </c>
      <c r="P550" s="48" t="s">
        <v>812</v>
      </c>
      <c r="Q550" s="6">
        <v>33085</v>
      </c>
      <c r="R550" s="6">
        <v>27510</v>
      </c>
      <c r="S550" s="5" t="str">
        <f>VLOOKUP(T550,'[1]Kode Posisi'!$A$3:$B$45,2,)</f>
        <v>Outsourcing Petugas Gudang</v>
      </c>
      <c r="T550" t="s">
        <v>2</v>
      </c>
      <c r="V550" t="s">
        <v>811</v>
      </c>
      <c r="W550" s="5" t="s">
        <v>303</v>
      </c>
      <c r="X550" s="5" t="s">
        <v>622</v>
      </c>
      <c r="Y550" t="s">
        <v>52</v>
      </c>
      <c r="Z550" s="46">
        <v>4230341350</v>
      </c>
      <c r="AA550" t="s">
        <v>810</v>
      </c>
      <c r="AB550" s="47">
        <v>5730000</v>
      </c>
      <c r="AC550" s="41">
        <v>5730000</v>
      </c>
      <c r="AD550" s="52" t="s">
        <v>177</v>
      </c>
      <c r="AI550" s="16">
        <v>686323.69942196528</v>
      </c>
      <c r="AK550" s="16"/>
      <c r="AL550" s="11">
        <f t="shared" si="236"/>
        <v>6416323.6994219655</v>
      </c>
      <c r="AM550" s="16">
        <f t="shared" si="237"/>
        <v>472152</v>
      </c>
      <c r="AN550" s="16">
        <f t="shared" si="238"/>
        <v>229200</v>
      </c>
      <c r="AO550" s="16">
        <f t="shared" si="254"/>
        <v>242952</v>
      </c>
      <c r="AP550" s="16">
        <f t="shared" si="239"/>
        <v>0</v>
      </c>
      <c r="AQ550" s="16">
        <f t="shared" si="240"/>
        <v>6888475.6994219655</v>
      </c>
      <c r="AR550" s="16">
        <f t="shared" si="231"/>
        <v>413308.54196531791</v>
      </c>
      <c r="AS550" s="16">
        <f t="shared" si="241"/>
        <v>45463.939616184973</v>
      </c>
      <c r="AT550" s="16">
        <f t="shared" si="242"/>
        <v>-8266.1708393063582</v>
      </c>
      <c r="AU550" s="16">
        <f t="shared" si="243"/>
        <v>7293518.0705479775</v>
      </c>
      <c r="AV550" s="16">
        <f t="shared" si="244"/>
        <v>7301784.2413872834</v>
      </c>
      <c r="AW550" s="16">
        <f t="shared" si="245"/>
        <v>171900</v>
      </c>
      <c r="AX550" s="16" t="s">
        <v>286</v>
      </c>
      <c r="AZ550" s="17">
        <f t="shared" si="253"/>
        <v>0</v>
      </c>
      <c r="BA550" s="16">
        <f t="shared" si="246"/>
        <v>6244423.6994219655</v>
      </c>
      <c r="BB550" s="16">
        <f t="shared" si="247"/>
        <v>6244423.6994219655</v>
      </c>
      <c r="BC550" s="15">
        <v>0.02</v>
      </c>
      <c r="BD550">
        <v>0.01</v>
      </c>
      <c r="BE550" s="37">
        <f t="shared" si="248"/>
        <v>0</v>
      </c>
      <c r="BF550" s="38">
        <f t="shared" si="249"/>
        <v>0</v>
      </c>
      <c r="BG550" s="37">
        <f t="shared" si="230"/>
        <v>269850</v>
      </c>
      <c r="BH550" s="37">
        <f t="shared" si="250"/>
        <v>286500</v>
      </c>
      <c r="BI550">
        <v>269850</v>
      </c>
      <c r="BK550" s="48"/>
      <c r="BL550" s="8">
        <f t="shared" si="251"/>
        <v>686323.69942196528</v>
      </c>
      <c r="BM550" s="7" t="str">
        <f t="shared" si="232"/>
        <v>Tidak Terdaftar</v>
      </c>
      <c r="BN550" s="11">
        <f t="shared" si="255"/>
        <v>212010.00000000003</v>
      </c>
      <c r="BO550" s="11">
        <f t="shared" si="234"/>
        <v>260142.00000000003</v>
      </c>
      <c r="BP550" s="9">
        <f t="shared" si="252"/>
        <v>0</v>
      </c>
      <c r="BQ550" t="s">
        <v>8</v>
      </c>
    </row>
    <row r="551" spans="1:69" x14ac:dyDescent="0.3">
      <c r="A551" s="2">
        <v>550</v>
      </c>
      <c r="B551" s="5" t="s">
        <v>809</v>
      </c>
      <c r="C551" s="6" t="s">
        <v>241</v>
      </c>
      <c r="D551" s="6"/>
      <c r="E551" s="6" t="s">
        <v>73</v>
      </c>
      <c r="F551" s="6" t="s">
        <v>73</v>
      </c>
      <c r="G551" s="6"/>
      <c r="H551" s="6"/>
      <c r="K551" s="6">
        <v>800681</v>
      </c>
      <c r="L551" s="39"/>
      <c r="M551" s="6"/>
      <c r="N551" s="6" t="s">
        <v>808</v>
      </c>
      <c r="O551" s="6">
        <v>1483969318</v>
      </c>
      <c r="P551" s="48" t="s">
        <v>807</v>
      </c>
      <c r="Q551" s="6">
        <v>33085</v>
      </c>
      <c r="R551" s="6">
        <v>27510</v>
      </c>
      <c r="S551" s="5" t="str">
        <f>VLOOKUP(T551,'[1]Kode Posisi'!$A$3:$B$45,2,)</f>
        <v>Outsourcing Petugas Gudang</v>
      </c>
      <c r="T551" t="s">
        <v>2</v>
      </c>
      <c r="V551" t="s">
        <v>806</v>
      </c>
      <c r="W551" s="5" t="s">
        <v>303</v>
      </c>
      <c r="X551" s="5" t="s">
        <v>622</v>
      </c>
      <c r="Y551" t="s">
        <v>52</v>
      </c>
      <c r="Z551" s="46">
        <v>5450244408</v>
      </c>
      <c r="AA551" t="s">
        <v>805</v>
      </c>
      <c r="AB551" s="47">
        <v>5730000</v>
      </c>
      <c r="AC551" s="41">
        <v>5730000</v>
      </c>
      <c r="AD551" s="52" t="s">
        <v>177</v>
      </c>
      <c r="AI551" s="16">
        <v>967092.48554913292</v>
      </c>
      <c r="AK551" s="16"/>
      <c r="AL551" s="11">
        <f t="shared" si="236"/>
        <v>6697092.4855491333</v>
      </c>
      <c r="AM551" s="16">
        <f t="shared" si="237"/>
        <v>472152</v>
      </c>
      <c r="AN551" s="16">
        <f t="shared" si="238"/>
        <v>229200</v>
      </c>
      <c r="AO551" s="16">
        <f t="shared" si="254"/>
        <v>242952</v>
      </c>
      <c r="AP551" s="16">
        <f t="shared" si="239"/>
        <v>0</v>
      </c>
      <c r="AQ551" s="16">
        <f t="shared" si="240"/>
        <v>7169244.4855491333</v>
      </c>
      <c r="AR551" s="16">
        <f t="shared" si="231"/>
        <v>430154.66913294798</v>
      </c>
      <c r="AS551" s="16">
        <f t="shared" si="241"/>
        <v>47317.013604624277</v>
      </c>
      <c r="AT551" s="16">
        <f t="shared" si="242"/>
        <v>-8603.0933826589589</v>
      </c>
      <c r="AU551" s="16">
        <f t="shared" si="243"/>
        <v>7590796.0612994218</v>
      </c>
      <c r="AV551" s="16">
        <f t="shared" si="244"/>
        <v>7599399.1546820812</v>
      </c>
      <c r="AW551" s="16">
        <f t="shared" si="245"/>
        <v>171900</v>
      </c>
      <c r="AX551" s="16" t="s">
        <v>286</v>
      </c>
      <c r="AZ551" s="17">
        <f t="shared" si="253"/>
        <v>0</v>
      </c>
      <c r="BA551" s="16">
        <f t="shared" si="246"/>
        <v>6525192.4855491333</v>
      </c>
      <c r="BB551" s="16">
        <f t="shared" si="247"/>
        <v>6525192.4855491333</v>
      </c>
      <c r="BC551" s="15">
        <v>0.02</v>
      </c>
      <c r="BD551">
        <v>0.01</v>
      </c>
      <c r="BE551" s="37">
        <f t="shared" si="248"/>
        <v>0</v>
      </c>
      <c r="BF551" s="38">
        <f t="shared" si="249"/>
        <v>0</v>
      </c>
      <c r="BG551" s="37">
        <f t="shared" si="230"/>
        <v>269850</v>
      </c>
      <c r="BH551" s="37">
        <f t="shared" si="250"/>
        <v>286500</v>
      </c>
      <c r="BI551">
        <v>269850</v>
      </c>
      <c r="BK551" s="48"/>
      <c r="BL551" s="8">
        <f t="shared" si="251"/>
        <v>967092.48554913292</v>
      </c>
      <c r="BM551" s="7" t="str">
        <f t="shared" si="232"/>
        <v>Tidak Terdaftar</v>
      </c>
      <c r="BN551" s="11">
        <f t="shared" si="255"/>
        <v>212010.00000000003</v>
      </c>
      <c r="BO551" s="11">
        <f t="shared" si="234"/>
        <v>260142.00000000003</v>
      </c>
      <c r="BP551" s="9">
        <f t="shared" si="252"/>
        <v>0</v>
      </c>
      <c r="BQ551" t="s">
        <v>8</v>
      </c>
    </row>
    <row r="552" spans="1:69" x14ac:dyDescent="0.3">
      <c r="A552" s="2">
        <v>551</v>
      </c>
      <c r="B552" s="5" t="s">
        <v>804</v>
      </c>
      <c r="C552" s="6" t="s">
        <v>241</v>
      </c>
      <c r="D552" s="6"/>
      <c r="E552" s="6" t="s">
        <v>73</v>
      </c>
      <c r="F552" s="6" t="s">
        <v>73</v>
      </c>
      <c r="G552" s="6"/>
      <c r="H552" s="6"/>
      <c r="K552" s="6">
        <v>800682</v>
      </c>
      <c r="L552" s="39"/>
      <c r="M552" s="6"/>
      <c r="N552" s="6" t="s">
        <v>803</v>
      </c>
      <c r="O552" s="6">
        <v>1217468351</v>
      </c>
      <c r="P552" s="48" t="s">
        <v>802</v>
      </c>
      <c r="Q552" s="6">
        <v>33085</v>
      </c>
      <c r="R552" s="6">
        <v>27510</v>
      </c>
      <c r="S552" s="5" t="str">
        <f>VLOOKUP(T552,'[1]Kode Posisi'!$A$3:$B$45,2,)</f>
        <v>Outsourcing Petugas Gudang</v>
      </c>
      <c r="T552" t="s">
        <v>2</v>
      </c>
      <c r="V552" t="s">
        <v>801</v>
      </c>
      <c r="W552" s="5" t="s">
        <v>303</v>
      </c>
      <c r="X552" s="5" t="s">
        <v>622</v>
      </c>
      <c r="Y552" t="s">
        <v>63</v>
      </c>
      <c r="Z552" s="57" t="s">
        <v>800</v>
      </c>
      <c r="AA552" t="s">
        <v>799</v>
      </c>
      <c r="AB552" s="47">
        <v>5730000</v>
      </c>
      <c r="AC552" s="41">
        <v>5730000</v>
      </c>
      <c r="AD552" s="52" t="s">
        <v>177</v>
      </c>
      <c r="AI552" s="16">
        <v>811109.82658959529</v>
      </c>
      <c r="AK552" s="16"/>
      <c r="AL552" s="11">
        <f t="shared" si="236"/>
        <v>6541109.8265895955</v>
      </c>
      <c r="AM552" s="16">
        <f t="shared" si="237"/>
        <v>472152</v>
      </c>
      <c r="AN552" s="16">
        <f t="shared" si="238"/>
        <v>229200</v>
      </c>
      <c r="AO552" s="16">
        <f t="shared" si="254"/>
        <v>242952</v>
      </c>
      <c r="AP552" s="16">
        <f t="shared" si="239"/>
        <v>0</v>
      </c>
      <c r="AQ552" s="16">
        <f t="shared" si="240"/>
        <v>7013261.8265895955</v>
      </c>
      <c r="AR552" s="16">
        <f t="shared" si="231"/>
        <v>420795.70959537569</v>
      </c>
      <c r="AS552" s="16">
        <f t="shared" si="241"/>
        <v>46287.528055491326</v>
      </c>
      <c r="AT552" s="16">
        <f t="shared" si="242"/>
        <v>-8415.9141919075137</v>
      </c>
      <c r="AU552" s="16">
        <f t="shared" si="243"/>
        <v>7425641.6219930639</v>
      </c>
      <c r="AV552" s="16">
        <f t="shared" si="244"/>
        <v>7434057.5361849712</v>
      </c>
      <c r="AW552" s="16">
        <f t="shared" si="245"/>
        <v>171900</v>
      </c>
      <c r="AX552" s="16" t="s">
        <v>91</v>
      </c>
      <c r="AZ552" s="17">
        <f t="shared" si="253"/>
        <v>2900</v>
      </c>
      <c r="BA552" s="16">
        <f t="shared" si="246"/>
        <v>6369209.8265895955</v>
      </c>
      <c r="BB552" s="16">
        <f t="shared" si="247"/>
        <v>6366309.8265895955</v>
      </c>
      <c r="BC552" s="15">
        <v>0.02</v>
      </c>
      <c r="BD552">
        <v>0.01</v>
      </c>
      <c r="BE552" s="37">
        <f t="shared" si="248"/>
        <v>0</v>
      </c>
      <c r="BF552" s="38">
        <f t="shared" si="249"/>
        <v>0</v>
      </c>
      <c r="BG552" s="37">
        <f t="shared" si="230"/>
        <v>269850</v>
      </c>
      <c r="BH552" s="37">
        <f t="shared" si="250"/>
        <v>286500</v>
      </c>
      <c r="BI552">
        <v>269850</v>
      </c>
      <c r="BK552" s="48"/>
      <c r="BL552" s="8">
        <f t="shared" si="251"/>
        <v>811109.82658959529</v>
      </c>
      <c r="BM552" s="7" t="str">
        <f t="shared" si="232"/>
        <v>Tidak Terdaftar</v>
      </c>
      <c r="BN552" s="11">
        <f t="shared" si="255"/>
        <v>212010.00000000003</v>
      </c>
      <c r="BO552" s="11">
        <f t="shared" si="234"/>
        <v>260142.00000000003</v>
      </c>
      <c r="BP552" s="9">
        <f t="shared" si="252"/>
        <v>0</v>
      </c>
      <c r="BQ552" t="s">
        <v>8</v>
      </c>
    </row>
    <row r="553" spans="1:69" x14ac:dyDescent="0.3">
      <c r="A553" s="2">
        <v>552</v>
      </c>
      <c r="B553" s="5" t="s">
        <v>798</v>
      </c>
      <c r="C553" s="6" t="s">
        <v>241</v>
      </c>
      <c r="D553" s="6"/>
      <c r="E553" s="6" t="s">
        <v>73</v>
      </c>
      <c r="F553" s="6" t="s">
        <v>73</v>
      </c>
      <c r="G553" s="6"/>
      <c r="H553" s="6"/>
      <c r="K553" s="6">
        <v>800683</v>
      </c>
      <c r="L553" s="39"/>
      <c r="M553" s="6"/>
      <c r="N553" s="6" t="s">
        <v>797</v>
      </c>
      <c r="O553" s="6">
        <v>801171303</v>
      </c>
      <c r="P553" s="48" t="s">
        <v>796</v>
      </c>
      <c r="Q553" s="6">
        <v>33085</v>
      </c>
      <c r="R553" s="6">
        <v>27510</v>
      </c>
      <c r="S553" s="5" t="str">
        <f>VLOOKUP(T553,'[1]Kode Posisi'!$A$3:$B$45,2,)</f>
        <v>Outsourcing Petugas Gudang</v>
      </c>
      <c r="T553" t="s">
        <v>2</v>
      </c>
      <c r="V553" t="s">
        <v>795</v>
      </c>
      <c r="W553" s="5" t="s">
        <v>303</v>
      </c>
      <c r="X553" s="5" t="s">
        <v>622</v>
      </c>
      <c r="Y553" t="s">
        <v>52</v>
      </c>
      <c r="Z553" s="46">
        <v>5450243801</v>
      </c>
      <c r="AA553" t="s">
        <v>794</v>
      </c>
      <c r="AB553" s="47">
        <v>5730000</v>
      </c>
      <c r="AC553" s="41">
        <v>5730000</v>
      </c>
      <c r="AD553" s="52" t="s">
        <v>177</v>
      </c>
      <c r="AI553" s="16">
        <v>374358.38150289014</v>
      </c>
      <c r="AK553" s="16"/>
      <c r="AL553" s="11">
        <f t="shared" si="236"/>
        <v>6104358.38150289</v>
      </c>
      <c r="AM553" s="16">
        <f t="shared" si="237"/>
        <v>472152</v>
      </c>
      <c r="AN553" s="16">
        <f t="shared" si="238"/>
        <v>229200</v>
      </c>
      <c r="AO553" s="16">
        <f t="shared" si="254"/>
        <v>242952</v>
      </c>
      <c r="AP553" s="16">
        <f t="shared" si="239"/>
        <v>0</v>
      </c>
      <c r="AQ553" s="16">
        <f t="shared" si="240"/>
        <v>6576510.38150289</v>
      </c>
      <c r="AR553" s="16">
        <f t="shared" si="231"/>
        <v>394590.6228901734</v>
      </c>
      <c r="AS553" s="16">
        <f t="shared" si="241"/>
        <v>43404.968517919071</v>
      </c>
      <c r="AT553" s="16">
        <f t="shared" si="242"/>
        <v>-7891.8124578034685</v>
      </c>
      <c r="AU553" s="16">
        <f t="shared" si="243"/>
        <v>6963209.1919352598</v>
      </c>
      <c r="AV553" s="16">
        <f t="shared" si="244"/>
        <v>6971101.0043930635</v>
      </c>
      <c r="AW553" s="16">
        <f t="shared" si="245"/>
        <v>171900</v>
      </c>
      <c r="AX553" s="16" t="s">
        <v>235</v>
      </c>
      <c r="AZ553" s="17">
        <f t="shared" si="253"/>
        <v>0</v>
      </c>
      <c r="BA553" s="16">
        <f t="shared" si="246"/>
        <v>5932458.38150289</v>
      </c>
      <c r="BB553" s="16">
        <f t="shared" si="247"/>
        <v>5932458.38150289</v>
      </c>
      <c r="BC553" s="15">
        <v>0.02</v>
      </c>
      <c r="BD553">
        <v>0.01</v>
      </c>
      <c r="BE553" s="37">
        <f t="shared" si="248"/>
        <v>0</v>
      </c>
      <c r="BF553" s="38">
        <f t="shared" si="249"/>
        <v>0</v>
      </c>
      <c r="BG553" s="37">
        <f t="shared" si="230"/>
        <v>269850</v>
      </c>
      <c r="BH553" s="37">
        <f t="shared" si="250"/>
        <v>286500</v>
      </c>
      <c r="BI553">
        <v>269850</v>
      </c>
      <c r="BK553" s="48"/>
      <c r="BL553" s="8">
        <f t="shared" si="251"/>
        <v>374358.38150289014</v>
      </c>
      <c r="BM553" s="7" t="str">
        <f t="shared" si="232"/>
        <v>Tidak Terdaftar</v>
      </c>
      <c r="BN553" s="11">
        <f t="shared" si="255"/>
        <v>212010.00000000003</v>
      </c>
      <c r="BO553" s="11">
        <f t="shared" si="234"/>
        <v>260142.00000000003</v>
      </c>
      <c r="BP553" s="9">
        <f t="shared" si="252"/>
        <v>0</v>
      </c>
      <c r="BQ553" t="s">
        <v>8</v>
      </c>
    </row>
    <row r="554" spans="1:69" x14ac:dyDescent="0.3">
      <c r="A554" s="2">
        <v>553</v>
      </c>
      <c r="B554" s="5" t="s">
        <v>793</v>
      </c>
      <c r="C554" s="6" t="s">
        <v>241</v>
      </c>
      <c r="D554" s="6"/>
      <c r="E554" s="6" t="s">
        <v>73</v>
      </c>
      <c r="F554" s="6" t="s">
        <v>73</v>
      </c>
      <c r="G554" s="6"/>
      <c r="H554" s="6"/>
      <c r="K554" s="6">
        <v>800684</v>
      </c>
      <c r="L554" s="39"/>
      <c r="M554" s="6"/>
      <c r="N554" s="6" t="s">
        <v>792</v>
      </c>
      <c r="O554" s="6">
        <v>1641506523</v>
      </c>
      <c r="P554" s="48" t="s">
        <v>791</v>
      </c>
      <c r="Q554" s="6">
        <v>33085</v>
      </c>
      <c r="R554" s="6">
        <v>27510</v>
      </c>
      <c r="S554" s="5" t="str">
        <f>VLOOKUP(T554,'[1]Kode Posisi'!$A$3:$B$45,2,)</f>
        <v>Outsourcing Petugas Gudang</v>
      </c>
      <c r="T554" t="s">
        <v>2</v>
      </c>
      <c r="V554" t="s">
        <v>790</v>
      </c>
      <c r="W554" s="5" t="s">
        <v>303</v>
      </c>
      <c r="X554" s="5" t="s">
        <v>622</v>
      </c>
      <c r="Y554" t="s">
        <v>52</v>
      </c>
      <c r="Z554" s="57" t="s">
        <v>789</v>
      </c>
      <c r="AA554" t="s">
        <v>788</v>
      </c>
      <c r="AB554" s="47">
        <v>5730000</v>
      </c>
      <c r="AC554" s="41">
        <v>5730000</v>
      </c>
      <c r="AD554" s="52" t="s">
        <v>177</v>
      </c>
      <c r="AI554" s="16">
        <v>1185468.2080924856</v>
      </c>
      <c r="AK554" s="16"/>
      <c r="AL554" s="11">
        <f t="shared" si="236"/>
        <v>6915468.2080924856</v>
      </c>
      <c r="AM554" s="16">
        <f t="shared" si="237"/>
        <v>472152</v>
      </c>
      <c r="AN554" s="16">
        <f t="shared" si="238"/>
        <v>229200</v>
      </c>
      <c r="AO554" s="16">
        <f t="shared" si="254"/>
        <v>242952</v>
      </c>
      <c r="AP554" s="16">
        <f t="shared" si="239"/>
        <v>0</v>
      </c>
      <c r="AQ554" s="16">
        <f t="shared" si="240"/>
        <v>7387620.2080924856</v>
      </c>
      <c r="AR554" s="16">
        <f t="shared" si="231"/>
        <v>443257.2124855491</v>
      </c>
      <c r="AS554" s="16">
        <f t="shared" si="241"/>
        <v>48758.293373410401</v>
      </c>
      <c r="AT554" s="16">
        <f t="shared" si="242"/>
        <v>-8865.144249710982</v>
      </c>
      <c r="AU554" s="16">
        <f t="shared" si="243"/>
        <v>7822012.2763283234</v>
      </c>
      <c r="AV554" s="16">
        <f t="shared" si="244"/>
        <v>7830877.4205780346</v>
      </c>
      <c r="AW554" s="16">
        <f t="shared" si="245"/>
        <v>171900</v>
      </c>
      <c r="AX554" s="16" t="s">
        <v>235</v>
      </c>
      <c r="AZ554" s="17">
        <f t="shared" si="253"/>
        <v>0</v>
      </c>
      <c r="BA554" s="16">
        <f t="shared" si="246"/>
        <v>6743568.2080924856</v>
      </c>
      <c r="BB554" s="16">
        <f t="shared" si="247"/>
        <v>6743568.2080924856</v>
      </c>
      <c r="BC554" s="15">
        <v>0.02</v>
      </c>
      <c r="BD554">
        <v>0.01</v>
      </c>
      <c r="BE554" s="37">
        <f t="shared" si="248"/>
        <v>0</v>
      </c>
      <c r="BF554" s="38">
        <f t="shared" si="249"/>
        <v>0</v>
      </c>
      <c r="BG554" s="37">
        <f t="shared" si="230"/>
        <v>269850</v>
      </c>
      <c r="BH554" s="37">
        <f t="shared" si="250"/>
        <v>286500</v>
      </c>
      <c r="BI554">
        <v>269850</v>
      </c>
      <c r="BK554" s="48"/>
      <c r="BL554" s="8">
        <f t="shared" si="251"/>
        <v>1185468.2080924856</v>
      </c>
      <c r="BM554" s="7" t="str">
        <f t="shared" si="232"/>
        <v>Tidak Terdaftar</v>
      </c>
      <c r="BN554" s="11">
        <f t="shared" si="255"/>
        <v>212010.00000000003</v>
      </c>
      <c r="BO554" s="11">
        <f t="shared" si="234"/>
        <v>260142.00000000003</v>
      </c>
      <c r="BP554" s="9">
        <f t="shared" si="252"/>
        <v>0</v>
      </c>
      <c r="BQ554" t="s">
        <v>8</v>
      </c>
    </row>
    <row r="555" spans="1:69" x14ac:dyDescent="0.3">
      <c r="A555" s="2">
        <v>554</v>
      </c>
      <c r="B555" s="5" t="s">
        <v>787</v>
      </c>
      <c r="C555" s="6" t="s">
        <v>241</v>
      </c>
      <c r="D555" s="6"/>
      <c r="E555" s="6" t="s">
        <v>73</v>
      </c>
      <c r="F555" s="6" t="s">
        <v>73</v>
      </c>
      <c r="G555" s="6"/>
      <c r="H555" s="6"/>
      <c r="K555" s="6">
        <v>800685</v>
      </c>
      <c r="L555" s="39"/>
      <c r="M555" s="6"/>
      <c r="N555" s="6" t="s">
        <v>786</v>
      </c>
      <c r="O555" s="6">
        <v>377322647</v>
      </c>
      <c r="P555" s="48" t="s">
        <v>785</v>
      </c>
      <c r="Q555" s="6">
        <v>33085</v>
      </c>
      <c r="R555" s="6">
        <v>27510</v>
      </c>
      <c r="S555" s="5" t="str">
        <f>VLOOKUP(T555,'[1]Kode Posisi'!$A$3:$B$45,2,)</f>
        <v>Outsourcing Petugas Gudang</v>
      </c>
      <c r="T555" t="s">
        <v>2</v>
      </c>
      <c r="V555" t="s">
        <v>784</v>
      </c>
      <c r="W555" s="5" t="s">
        <v>303</v>
      </c>
      <c r="X555" s="5" t="s">
        <v>622</v>
      </c>
      <c r="Y555" t="s">
        <v>52</v>
      </c>
      <c r="Z555" s="46">
        <v>8710317616</v>
      </c>
      <c r="AA555" t="s">
        <v>783</v>
      </c>
      <c r="AB555" s="47">
        <v>5730000</v>
      </c>
      <c r="AC555" s="41">
        <v>5730000</v>
      </c>
      <c r="AD555" s="52" t="s">
        <v>177</v>
      </c>
      <c r="AI555" s="16">
        <v>842306.35838150291</v>
      </c>
      <c r="AK555" s="16"/>
      <c r="AL555" s="11">
        <f t="shared" si="236"/>
        <v>6572306.3583815033</v>
      </c>
      <c r="AM555" s="16">
        <f t="shared" si="237"/>
        <v>472152</v>
      </c>
      <c r="AN555" s="16">
        <f t="shared" si="238"/>
        <v>229200</v>
      </c>
      <c r="AO555" s="16">
        <f t="shared" si="254"/>
        <v>242952</v>
      </c>
      <c r="AP555" s="16">
        <f t="shared" si="239"/>
        <v>0</v>
      </c>
      <c r="AQ555" s="16">
        <f t="shared" si="240"/>
        <v>7044458.3583815033</v>
      </c>
      <c r="AR555" s="16">
        <f t="shared" si="231"/>
        <v>422667.5015028902</v>
      </c>
      <c r="AS555" s="16">
        <f t="shared" si="241"/>
        <v>46493.425165317924</v>
      </c>
      <c r="AT555" s="16">
        <f t="shared" si="242"/>
        <v>-8453.3500300578035</v>
      </c>
      <c r="AU555" s="16">
        <f t="shared" si="243"/>
        <v>7458672.5098543353</v>
      </c>
      <c r="AV555" s="16">
        <f t="shared" si="244"/>
        <v>7467125.8598843934</v>
      </c>
      <c r="AW555" s="16">
        <f t="shared" si="245"/>
        <v>171900</v>
      </c>
      <c r="AX555" s="16" t="s">
        <v>235</v>
      </c>
      <c r="AZ555" s="17">
        <f t="shared" si="253"/>
        <v>0</v>
      </c>
      <c r="BA555" s="16">
        <f t="shared" si="246"/>
        <v>6400406.3583815033</v>
      </c>
      <c r="BB555" s="16">
        <f t="shared" si="247"/>
        <v>6400406.3583815033</v>
      </c>
      <c r="BC555" s="15">
        <v>0.02</v>
      </c>
      <c r="BD555">
        <v>0.01</v>
      </c>
      <c r="BE555" s="37">
        <f t="shared" si="248"/>
        <v>0</v>
      </c>
      <c r="BF555" s="38">
        <f t="shared" si="249"/>
        <v>0</v>
      </c>
      <c r="BG555" s="37">
        <f t="shared" si="230"/>
        <v>269850</v>
      </c>
      <c r="BH555" s="37">
        <f t="shared" si="250"/>
        <v>286500</v>
      </c>
      <c r="BI555">
        <v>269850</v>
      </c>
      <c r="BK555" s="48"/>
      <c r="BL555" s="8">
        <f t="shared" si="251"/>
        <v>842306.35838150291</v>
      </c>
      <c r="BM555" s="7" t="str">
        <f t="shared" si="232"/>
        <v>Tidak Terdaftar</v>
      </c>
      <c r="BN555" s="11">
        <f t="shared" si="255"/>
        <v>212010.00000000003</v>
      </c>
      <c r="BO555" s="11">
        <f t="shared" si="234"/>
        <v>260142.00000000003</v>
      </c>
      <c r="BP555" s="9">
        <f t="shared" si="252"/>
        <v>0</v>
      </c>
      <c r="BQ555" t="s">
        <v>8</v>
      </c>
    </row>
    <row r="556" spans="1:69" x14ac:dyDescent="0.3">
      <c r="A556" s="2">
        <v>555</v>
      </c>
      <c r="B556" s="5" t="s">
        <v>782</v>
      </c>
      <c r="C556" s="6" t="s">
        <v>241</v>
      </c>
      <c r="D556" s="6"/>
      <c r="E556" s="6" t="s">
        <v>73</v>
      </c>
      <c r="F556" s="6" t="s">
        <v>73</v>
      </c>
      <c r="G556" s="6"/>
      <c r="H556" s="6"/>
      <c r="K556" s="6">
        <v>800686</v>
      </c>
      <c r="L556" s="39"/>
      <c r="M556" s="6"/>
      <c r="N556" s="6" t="s">
        <v>781</v>
      </c>
      <c r="O556" s="6">
        <v>998920866</v>
      </c>
      <c r="P556" s="48" t="s">
        <v>780</v>
      </c>
      <c r="Q556" s="6">
        <v>33085</v>
      </c>
      <c r="R556" s="6">
        <v>27510</v>
      </c>
      <c r="S556" s="5" t="str">
        <f>VLOOKUP(T556,'[1]Kode Posisi'!$A$3:$B$45,2,)</f>
        <v>Outsourcing Petugas Gudang</v>
      </c>
      <c r="T556" t="s">
        <v>2</v>
      </c>
      <c r="V556" t="s">
        <v>779</v>
      </c>
      <c r="W556" s="5" t="s">
        <v>303</v>
      </c>
      <c r="X556" s="5" t="s">
        <v>622</v>
      </c>
      <c r="Y556" t="s">
        <v>52</v>
      </c>
      <c r="Z556" s="46">
        <v>8710999971</v>
      </c>
      <c r="AA556" t="s">
        <v>778</v>
      </c>
      <c r="AB556" s="47">
        <v>5730000</v>
      </c>
      <c r="AC556" s="41">
        <v>5730000</v>
      </c>
      <c r="AD556" s="52" t="s">
        <v>177</v>
      </c>
      <c r="AI556" s="16">
        <v>748716.76300578029</v>
      </c>
      <c r="AK556" s="16"/>
      <c r="AL556" s="11">
        <f t="shared" si="236"/>
        <v>6478716.7630057801</v>
      </c>
      <c r="AM556" s="16">
        <f t="shared" si="237"/>
        <v>472152</v>
      </c>
      <c r="AN556" s="16">
        <f t="shared" si="238"/>
        <v>229200</v>
      </c>
      <c r="AO556" s="16">
        <f t="shared" si="254"/>
        <v>242952</v>
      </c>
      <c r="AP556" s="16">
        <f t="shared" si="239"/>
        <v>0</v>
      </c>
      <c r="AQ556" s="16">
        <f t="shared" si="240"/>
        <v>6950868.7630057801</v>
      </c>
      <c r="AR556" s="16">
        <f t="shared" si="231"/>
        <v>417052.1257803468</v>
      </c>
      <c r="AS556" s="16">
        <f t="shared" si="241"/>
        <v>45875.733835838146</v>
      </c>
      <c r="AT556" s="16">
        <f t="shared" si="242"/>
        <v>-8341.0425156069359</v>
      </c>
      <c r="AU556" s="16">
        <f t="shared" si="243"/>
        <v>7359579.8462705202</v>
      </c>
      <c r="AV556" s="16">
        <f t="shared" si="244"/>
        <v>7367920.8887861269</v>
      </c>
      <c r="AW556" s="16">
        <f t="shared" si="245"/>
        <v>171900</v>
      </c>
      <c r="AX556" s="16" t="s">
        <v>286</v>
      </c>
      <c r="AZ556" s="17">
        <f t="shared" si="253"/>
        <v>0</v>
      </c>
      <c r="BA556" s="16">
        <f t="shared" si="246"/>
        <v>6306816.7630057801</v>
      </c>
      <c r="BB556" s="16">
        <f t="shared" si="247"/>
        <v>6306816.7630057801</v>
      </c>
      <c r="BC556" s="15">
        <v>0.02</v>
      </c>
      <c r="BD556">
        <v>0.01</v>
      </c>
      <c r="BE556" s="37">
        <f t="shared" si="248"/>
        <v>0</v>
      </c>
      <c r="BF556" s="38">
        <f t="shared" si="249"/>
        <v>0</v>
      </c>
      <c r="BG556" s="37">
        <f t="shared" si="230"/>
        <v>269850</v>
      </c>
      <c r="BH556" s="37">
        <f t="shared" si="250"/>
        <v>286500</v>
      </c>
      <c r="BI556">
        <v>269850</v>
      </c>
      <c r="BK556" s="48"/>
      <c r="BL556" s="8">
        <f t="shared" si="251"/>
        <v>748716.76300578029</v>
      </c>
      <c r="BM556" s="7" t="str">
        <f t="shared" si="232"/>
        <v>Tidak Terdaftar</v>
      </c>
      <c r="BN556" s="11">
        <f t="shared" si="255"/>
        <v>212010.00000000003</v>
      </c>
      <c r="BO556" s="11">
        <f t="shared" si="234"/>
        <v>260142.00000000003</v>
      </c>
      <c r="BP556" s="9">
        <f t="shared" si="252"/>
        <v>0</v>
      </c>
      <c r="BQ556" t="s">
        <v>8</v>
      </c>
    </row>
    <row r="557" spans="1:69" x14ac:dyDescent="0.3">
      <c r="A557" s="2">
        <v>556</v>
      </c>
      <c r="B557" s="5" t="s">
        <v>773</v>
      </c>
      <c r="C557" s="6" t="s">
        <v>241</v>
      </c>
      <c r="D557" s="6"/>
      <c r="E557" s="6" t="s">
        <v>73</v>
      </c>
      <c r="F557" s="6" t="s">
        <v>73</v>
      </c>
      <c r="G557" s="6"/>
      <c r="H557" s="6"/>
      <c r="K557" s="6">
        <v>800687</v>
      </c>
      <c r="L557" s="39"/>
      <c r="M557" s="6"/>
      <c r="N557" s="6" t="s">
        <v>777</v>
      </c>
      <c r="O557" s="6">
        <v>1301812558</v>
      </c>
      <c r="P557" s="48" t="s">
        <v>776</v>
      </c>
      <c r="Q557" s="6">
        <v>33085</v>
      </c>
      <c r="R557" s="6">
        <v>27510</v>
      </c>
      <c r="S557" s="5" t="str">
        <f>VLOOKUP(T557,'[1]Kode Posisi'!$A$3:$B$45,2,)</f>
        <v>Outsourcing Petugas Gudang</v>
      </c>
      <c r="T557" t="s">
        <v>2</v>
      </c>
      <c r="V557" t="s">
        <v>775</v>
      </c>
      <c r="W557" s="5" t="s">
        <v>303</v>
      </c>
      <c r="X557" s="5" t="s">
        <v>622</v>
      </c>
      <c r="Y557" t="s">
        <v>52</v>
      </c>
      <c r="Z557" s="57" t="s">
        <v>774</v>
      </c>
      <c r="AA557" t="s">
        <v>773</v>
      </c>
      <c r="AB557" s="47">
        <v>5730000</v>
      </c>
      <c r="AC557" s="41">
        <v>5730000</v>
      </c>
      <c r="AD557" s="52" t="s">
        <v>177</v>
      </c>
      <c r="AI557" s="16">
        <v>857904.62427745666</v>
      </c>
      <c r="AK557" s="16"/>
      <c r="AL557" s="11">
        <f t="shared" si="236"/>
        <v>6587904.6242774567</v>
      </c>
      <c r="AM557" s="16">
        <f t="shared" si="237"/>
        <v>472152</v>
      </c>
      <c r="AN557" s="16">
        <f t="shared" si="238"/>
        <v>229200</v>
      </c>
      <c r="AO557" s="16">
        <f t="shared" si="254"/>
        <v>242952</v>
      </c>
      <c r="AP557" s="16">
        <f t="shared" si="239"/>
        <v>0</v>
      </c>
      <c r="AQ557" s="16">
        <f t="shared" si="240"/>
        <v>7060056.6242774567</v>
      </c>
      <c r="AR557" s="16">
        <f t="shared" si="231"/>
        <v>423603.39745664736</v>
      </c>
      <c r="AS557" s="16">
        <f t="shared" si="241"/>
        <v>46596.373720231211</v>
      </c>
      <c r="AT557" s="16">
        <f t="shared" si="242"/>
        <v>-8472.0679491329465</v>
      </c>
      <c r="AU557" s="16">
        <f t="shared" si="243"/>
        <v>7475187.9537849706</v>
      </c>
      <c r="AV557" s="16">
        <f t="shared" si="244"/>
        <v>7483660.0217341036</v>
      </c>
      <c r="AW557" s="16">
        <f t="shared" si="245"/>
        <v>171900</v>
      </c>
      <c r="AX557" s="16" t="s">
        <v>319</v>
      </c>
      <c r="AZ557" s="17">
        <f t="shared" si="253"/>
        <v>0</v>
      </c>
      <c r="BA557" s="16">
        <f t="shared" si="246"/>
        <v>6416004.6242774567</v>
      </c>
      <c r="BB557" s="16">
        <f t="shared" si="247"/>
        <v>6416004.6242774567</v>
      </c>
      <c r="BC557" s="15">
        <v>0.02</v>
      </c>
      <c r="BD557">
        <v>0.01</v>
      </c>
      <c r="BE557" s="37">
        <f t="shared" si="248"/>
        <v>0</v>
      </c>
      <c r="BF557" s="38">
        <f t="shared" si="249"/>
        <v>0</v>
      </c>
      <c r="BG557" s="37">
        <f t="shared" si="230"/>
        <v>269850</v>
      </c>
      <c r="BH557" s="37">
        <f t="shared" si="250"/>
        <v>286500</v>
      </c>
      <c r="BI557">
        <v>269850</v>
      </c>
      <c r="BK557" s="48"/>
      <c r="BL557" s="8">
        <f t="shared" si="251"/>
        <v>857904.62427745666</v>
      </c>
      <c r="BM557" s="7" t="str">
        <f t="shared" si="232"/>
        <v>Tidak Terdaftar</v>
      </c>
      <c r="BN557" s="11">
        <f t="shared" si="255"/>
        <v>212010.00000000003</v>
      </c>
      <c r="BO557" s="11">
        <f t="shared" si="234"/>
        <v>260142.00000000003</v>
      </c>
      <c r="BP557" s="9">
        <f t="shared" si="252"/>
        <v>0</v>
      </c>
      <c r="BQ557" t="s">
        <v>8</v>
      </c>
    </row>
    <row r="558" spans="1:69" x14ac:dyDescent="0.3">
      <c r="A558" s="2">
        <v>557</v>
      </c>
      <c r="B558" s="5" t="s">
        <v>772</v>
      </c>
      <c r="C558" s="6" t="s">
        <v>241</v>
      </c>
      <c r="D558" s="6"/>
      <c r="E558" s="6" t="s">
        <v>73</v>
      </c>
      <c r="F558" s="6" t="s">
        <v>73</v>
      </c>
      <c r="G558" s="6"/>
      <c r="H558" s="6"/>
      <c r="K558" s="6">
        <v>800688</v>
      </c>
      <c r="L558" s="39"/>
      <c r="M558" s="6"/>
      <c r="N558" s="6" t="s">
        <v>771</v>
      </c>
      <c r="O558" s="6">
        <v>1617675243</v>
      </c>
      <c r="P558" s="48" t="s">
        <v>770</v>
      </c>
      <c r="Q558" s="6">
        <v>33085</v>
      </c>
      <c r="R558" s="6">
        <v>27510</v>
      </c>
      <c r="S558" s="5" t="str">
        <f>VLOOKUP(T558,'[1]Kode Posisi'!$A$3:$B$45,2,)</f>
        <v>Outsourcing Petugas Gudang</v>
      </c>
      <c r="T558" t="s">
        <v>2</v>
      </c>
      <c r="V558" t="s">
        <v>769</v>
      </c>
      <c r="W558" s="5" t="s">
        <v>303</v>
      </c>
      <c r="X558" s="5" t="s">
        <v>622</v>
      </c>
      <c r="Y558" t="s">
        <v>52</v>
      </c>
      <c r="Z558" s="46">
        <v>5420460017</v>
      </c>
      <c r="AA558" t="s">
        <v>768</v>
      </c>
      <c r="AB558" s="47">
        <v>5730000</v>
      </c>
      <c r="AC558" s="41">
        <v>5730000</v>
      </c>
      <c r="AD558" s="52" t="s">
        <v>177</v>
      </c>
      <c r="AI558" s="16">
        <v>436751.44508670521</v>
      </c>
      <c r="AK558" s="16"/>
      <c r="AL558" s="11">
        <f t="shared" si="236"/>
        <v>6166751.4450867055</v>
      </c>
      <c r="AM558" s="16">
        <f t="shared" si="237"/>
        <v>472152</v>
      </c>
      <c r="AN558" s="16">
        <f t="shared" si="238"/>
        <v>229200</v>
      </c>
      <c r="AO558" s="16">
        <f t="shared" si="254"/>
        <v>242952</v>
      </c>
      <c r="AP558" s="16">
        <f t="shared" si="239"/>
        <v>0</v>
      </c>
      <c r="AQ558" s="16">
        <f t="shared" si="240"/>
        <v>6638903.4450867055</v>
      </c>
      <c r="AR558" s="16">
        <f t="shared" si="231"/>
        <v>398334.20670520229</v>
      </c>
      <c r="AS558" s="16">
        <f t="shared" si="241"/>
        <v>43816.762737572251</v>
      </c>
      <c r="AT558" s="16">
        <f t="shared" si="242"/>
        <v>-7966.6841341040463</v>
      </c>
      <c r="AU558" s="16">
        <f t="shared" si="243"/>
        <v>7029270.9676578036</v>
      </c>
      <c r="AV558" s="16">
        <f t="shared" si="244"/>
        <v>7037237.6517919078</v>
      </c>
      <c r="AW558" s="16">
        <f t="shared" si="245"/>
        <v>171900</v>
      </c>
      <c r="AX558" s="16" t="s">
        <v>235</v>
      </c>
      <c r="AZ558" s="17">
        <f t="shared" si="253"/>
        <v>0</v>
      </c>
      <c r="BA558" s="16">
        <f t="shared" si="246"/>
        <v>5994851.4450867055</v>
      </c>
      <c r="BB558" s="16">
        <f t="shared" si="247"/>
        <v>5994851.4450867055</v>
      </c>
      <c r="BC558" s="15">
        <v>0.02</v>
      </c>
      <c r="BD558">
        <v>0.01</v>
      </c>
      <c r="BE558" s="37">
        <f t="shared" si="248"/>
        <v>0</v>
      </c>
      <c r="BF558" s="38">
        <f t="shared" si="249"/>
        <v>0</v>
      </c>
      <c r="BG558" s="37">
        <f t="shared" ref="BG558:BG621" si="256">5%*AD558</f>
        <v>269850</v>
      </c>
      <c r="BH558" s="37">
        <f t="shared" si="250"/>
        <v>286500</v>
      </c>
      <c r="BI558">
        <v>269850</v>
      </c>
      <c r="BK558" s="48"/>
      <c r="BL558" s="8">
        <f t="shared" si="251"/>
        <v>436751.44508670521</v>
      </c>
      <c r="BM558" s="7" t="str">
        <f t="shared" si="232"/>
        <v>Tidak Terdaftar</v>
      </c>
      <c r="BN558" s="11">
        <f t="shared" si="255"/>
        <v>212010.00000000003</v>
      </c>
      <c r="BO558" s="11">
        <f t="shared" si="234"/>
        <v>260142.00000000003</v>
      </c>
      <c r="BP558" s="9">
        <f t="shared" si="252"/>
        <v>0</v>
      </c>
      <c r="BQ558" t="s">
        <v>8</v>
      </c>
    </row>
    <row r="559" spans="1:69" x14ac:dyDescent="0.3">
      <c r="A559" s="2">
        <v>558</v>
      </c>
      <c r="B559" s="5" t="s">
        <v>767</v>
      </c>
      <c r="C559" s="6" t="s">
        <v>241</v>
      </c>
      <c r="D559" s="6"/>
      <c r="E559" s="6" t="s">
        <v>73</v>
      </c>
      <c r="F559" s="6" t="s">
        <v>73</v>
      </c>
      <c r="G559" s="6"/>
      <c r="H559" s="6"/>
      <c r="K559" s="6">
        <v>800689</v>
      </c>
      <c r="L559" s="39"/>
      <c r="M559" s="6"/>
      <c r="N559" s="6" t="s">
        <v>766</v>
      </c>
      <c r="O559" s="6">
        <v>2440639539</v>
      </c>
      <c r="P559" s="48" t="s">
        <v>765</v>
      </c>
      <c r="Q559" s="6">
        <v>33085</v>
      </c>
      <c r="R559" s="6">
        <v>27510</v>
      </c>
      <c r="S559" s="5" t="str">
        <f>VLOOKUP(T559,'[1]Kode Posisi'!$A$3:$B$45,2,)</f>
        <v>Outsourcing Petugas Gudang</v>
      </c>
      <c r="T559" t="s">
        <v>2</v>
      </c>
      <c r="V559" t="s">
        <v>764</v>
      </c>
      <c r="W559" s="5" t="s">
        <v>303</v>
      </c>
      <c r="X559" s="5" t="s">
        <v>622</v>
      </c>
      <c r="Y559" t="s">
        <v>52</v>
      </c>
      <c r="Z559" s="46">
        <v>8710125261</v>
      </c>
      <c r="AA559" t="s">
        <v>763</v>
      </c>
      <c r="AB559" s="47">
        <v>5730000</v>
      </c>
      <c r="AC559" s="41">
        <v>5730000</v>
      </c>
      <c r="AD559" s="52" t="s">
        <v>177</v>
      </c>
      <c r="AI559" s="16">
        <v>218375.7225433526</v>
      </c>
      <c r="AK559" s="16"/>
      <c r="AL559" s="11">
        <f t="shared" si="236"/>
        <v>5948375.7225433523</v>
      </c>
      <c r="AM559" s="16">
        <f t="shared" si="237"/>
        <v>472152</v>
      </c>
      <c r="AN559" s="16">
        <f t="shared" si="238"/>
        <v>229200</v>
      </c>
      <c r="AO559" s="16">
        <f t="shared" si="254"/>
        <v>242952</v>
      </c>
      <c r="AP559" s="16">
        <f t="shared" si="239"/>
        <v>0</v>
      </c>
      <c r="AQ559" s="16">
        <f t="shared" si="240"/>
        <v>6420527.7225433523</v>
      </c>
      <c r="AR559" s="16">
        <f t="shared" si="231"/>
        <v>385231.66335260111</v>
      </c>
      <c r="AS559" s="16">
        <f t="shared" si="241"/>
        <v>42375.48296878612</v>
      </c>
      <c r="AT559" s="16">
        <f t="shared" si="242"/>
        <v>-7704.6332670520223</v>
      </c>
      <c r="AU559" s="16">
        <f t="shared" si="243"/>
        <v>6798054.752628901</v>
      </c>
      <c r="AV559" s="16">
        <f t="shared" si="244"/>
        <v>6805759.3858959535</v>
      </c>
      <c r="AW559" s="16">
        <f t="shared" si="245"/>
        <v>171900</v>
      </c>
      <c r="AX559" s="16" t="s">
        <v>286</v>
      </c>
      <c r="AZ559" s="17">
        <f t="shared" si="253"/>
        <v>0</v>
      </c>
      <c r="BA559" s="16">
        <f t="shared" si="246"/>
        <v>5776475.7225433523</v>
      </c>
      <c r="BB559" s="16">
        <f t="shared" si="247"/>
        <v>5776475.7225433523</v>
      </c>
      <c r="BC559" s="15">
        <v>0.02</v>
      </c>
      <c r="BD559">
        <v>0.01</v>
      </c>
      <c r="BE559" s="37">
        <f t="shared" si="248"/>
        <v>0</v>
      </c>
      <c r="BF559" s="38">
        <f t="shared" si="249"/>
        <v>0</v>
      </c>
      <c r="BG559" s="37">
        <f t="shared" si="256"/>
        <v>269850</v>
      </c>
      <c r="BH559" s="37">
        <f t="shared" si="250"/>
        <v>286500</v>
      </c>
      <c r="BI559">
        <v>269850</v>
      </c>
      <c r="BK559" s="48"/>
      <c r="BL559" s="8">
        <f t="shared" si="251"/>
        <v>218375.7225433526</v>
      </c>
      <c r="BM559" s="7" t="str">
        <f t="shared" si="232"/>
        <v>Tidak Terdaftar</v>
      </c>
      <c r="BN559" s="11">
        <f t="shared" si="255"/>
        <v>212010.00000000003</v>
      </c>
      <c r="BO559" s="11">
        <f t="shared" si="234"/>
        <v>260142.00000000003</v>
      </c>
      <c r="BP559" s="9">
        <f t="shared" si="252"/>
        <v>0</v>
      </c>
      <c r="BQ559" t="s">
        <v>8</v>
      </c>
    </row>
    <row r="560" spans="1:69" x14ac:dyDescent="0.3">
      <c r="A560" s="2">
        <v>559</v>
      </c>
      <c r="B560" s="5" t="s">
        <v>758</v>
      </c>
      <c r="C560" s="6" t="s">
        <v>241</v>
      </c>
      <c r="D560" s="6"/>
      <c r="E560" s="6" t="s">
        <v>73</v>
      </c>
      <c r="F560" s="6" t="s">
        <v>73</v>
      </c>
      <c r="G560" s="6"/>
      <c r="H560" s="6"/>
      <c r="K560" s="6">
        <v>800690</v>
      </c>
      <c r="L560" s="39"/>
      <c r="M560" s="6"/>
      <c r="N560" s="6" t="s">
        <v>762</v>
      </c>
      <c r="O560" s="6">
        <v>1883721982</v>
      </c>
      <c r="P560" s="48" t="s">
        <v>761</v>
      </c>
      <c r="Q560" s="6">
        <v>33085</v>
      </c>
      <c r="R560" s="6">
        <v>27510</v>
      </c>
      <c r="S560" s="5" t="str">
        <f>VLOOKUP(T560,'[1]Kode Posisi'!$A$3:$B$45,2,)</f>
        <v>Outsourcing Petugas Administrasi</v>
      </c>
      <c r="T560" t="s">
        <v>35</v>
      </c>
      <c r="V560" t="s">
        <v>760</v>
      </c>
      <c r="W560" s="5" t="s">
        <v>303</v>
      </c>
      <c r="X560" s="5" t="s">
        <v>622</v>
      </c>
      <c r="Y560" t="s">
        <v>52</v>
      </c>
      <c r="Z560" s="57" t="s">
        <v>759</v>
      </c>
      <c r="AA560" t="s">
        <v>758</v>
      </c>
      <c r="AB560" s="47">
        <v>5730000</v>
      </c>
      <c r="AC560" s="41">
        <v>5730000</v>
      </c>
      <c r="AD560" s="52" t="s">
        <v>177</v>
      </c>
      <c r="AI560" s="16">
        <v>374358.38150289014</v>
      </c>
      <c r="AK560" s="16"/>
      <c r="AL560" s="11">
        <f t="shared" si="236"/>
        <v>6104358.38150289</v>
      </c>
      <c r="AM560" s="16">
        <f t="shared" si="237"/>
        <v>472152</v>
      </c>
      <c r="AN560" s="16">
        <f t="shared" si="238"/>
        <v>229200</v>
      </c>
      <c r="AO560" s="16">
        <f t="shared" si="254"/>
        <v>242952</v>
      </c>
      <c r="AP560" s="16">
        <f t="shared" si="239"/>
        <v>0</v>
      </c>
      <c r="AQ560" s="16">
        <f t="shared" si="240"/>
        <v>6576510.38150289</v>
      </c>
      <c r="AR560" s="16">
        <f t="shared" si="231"/>
        <v>394590.6228901734</v>
      </c>
      <c r="AS560" s="16">
        <f t="shared" si="241"/>
        <v>43404.968517919071</v>
      </c>
      <c r="AT560" s="16">
        <f t="shared" si="242"/>
        <v>-7891.8124578034685</v>
      </c>
      <c r="AU560" s="16">
        <f t="shared" si="243"/>
        <v>6963209.1919352598</v>
      </c>
      <c r="AV560" s="16">
        <f t="shared" si="244"/>
        <v>6971101.0043930635</v>
      </c>
      <c r="AW560" s="16">
        <f t="shared" si="245"/>
        <v>171900</v>
      </c>
      <c r="AX560" s="16" t="s">
        <v>91</v>
      </c>
      <c r="AZ560" s="17">
        <f t="shared" si="253"/>
        <v>0</v>
      </c>
      <c r="BA560" s="16">
        <f t="shared" si="246"/>
        <v>5932458.38150289</v>
      </c>
      <c r="BB560" s="16">
        <f t="shared" si="247"/>
        <v>5932458.38150289</v>
      </c>
      <c r="BC560" s="15">
        <v>0.02</v>
      </c>
      <c r="BD560">
        <v>0.01</v>
      </c>
      <c r="BE560" s="37">
        <f t="shared" si="248"/>
        <v>0</v>
      </c>
      <c r="BF560" s="38">
        <f t="shared" si="249"/>
        <v>0</v>
      </c>
      <c r="BG560" s="37">
        <f t="shared" si="256"/>
        <v>269850</v>
      </c>
      <c r="BH560" s="37">
        <f t="shared" si="250"/>
        <v>286500</v>
      </c>
      <c r="BI560">
        <v>269850</v>
      </c>
      <c r="BK560" s="48"/>
      <c r="BL560" s="8">
        <f t="shared" si="251"/>
        <v>374358.38150289014</v>
      </c>
      <c r="BM560" s="7" t="str">
        <f t="shared" si="232"/>
        <v>Tidak Terdaftar</v>
      </c>
      <c r="BN560" s="11">
        <f t="shared" si="255"/>
        <v>212010.00000000003</v>
      </c>
      <c r="BO560" s="11">
        <f t="shared" si="234"/>
        <v>260142.00000000003</v>
      </c>
      <c r="BP560" s="9">
        <f t="shared" si="252"/>
        <v>0</v>
      </c>
      <c r="BQ560" t="s">
        <v>8</v>
      </c>
    </row>
    <row r="561" spans="1:69" x14ac:dyDescent="0.3">
      <c r="A561" s="2">
        <v>560</v>
      </c>
      <c r="B561" s="5" t="s">
        <v>757</v>
      </c>
      <c r="C561" s="6" t="s">
        <v>241</v>
      </c>
      <c r="D561" s="6"/>
      <c r="E561" s="6" t="s">
        <v>73</v>
      </c>
      <c r="F561" s="6" t="s">
        <v>73</v>
      </c>
      <c r="G561" s="6"/>
      <c r="H561" s="6"/>
      <c r="K561" s="6">
        <v>800691</v>
      </c>
      <c r="L561" s="39"/>
      <c r="M561" s="6"/>
      <c r="N561" s="6" t="s">
        <v>756</v>
      </c>
      <c r="O561" s="6">
        <v>1968262481</v>
      </c>
      <c r="P561" s="48" t="s">
        <v>755</v>
      </c>
      <c r="Q561" s="6">
        <v>33085</v>
      </c>
      <c r="R561" s="6">
        <v>27510</v>
      </c>
      <c r="S561" s="5" t="str">
        <f>VLOOKUP(T561,'[1]Kode Posisi'!$A$3:$B$45,2,)</f>
        <v>Outsourcing Petugas Gudang</v>
      </c>
      <c r="T561" t="s">
        <v>2</v>
      </c>
      <c r="V561" t="s">
        <v>754</v>
      </c>
      <c r="W561" s="5" t="s">
        <v>303</v>
      </c>
      <c r="X561" s="5" t="s">
        <v>622</v>
      </c>
      <c r="Y561" t="s">
        <v>52</v>
      </c>
      <c r="Z561" s="46">
        <v>4140790902</v>
      </c>
      <c r="AA561" t="s">
        <v>753</v>
      </c>
      <c r="AB561" s="47">
        <v>5730000</v>
      </c>
      <c r="AC561" s="41">
        <v>5730000</v>
      </c>
      <c r="AD561" s="52" t="s">
        <v>177</v>
      </c>
      <c r="AI561" s="16">
        <v>842306.35838150291</v>
      </c>
      <c r="AK561" s="16"/>
      <c r="AL561" s="11">
        <f t="shared" si="236"/>
        <v>6572306.3583815033</v>
      </c>
      <c r="AM561" s="16">
        <f t="shared" si="237"/>
        <v>472152</v>
      </c>
      <c r="AN561" s="16">
        <f t="shared" si="238"/>
        <v>229200</v>
      </c>
      <c r="AO561" s="16">
        <f t="shared" si="254"/>
        <v>242952</v>
      </c>
      <c r="AP561" s="16">
        <f t="shared" si="239"/>
        <v>0</v>
      </c>
      <c r="AQ561" s="16">
        <f t="shared" si="240"/>
        <v>7044458.3583815033</v>
      </c>
      <c r="AR561" s="16">
        <f t="shared" si="231"/>
        <v>422667.5015028902</v>
      </c>
      <c r="AS561" s="16">
        <f t="shared" si="241"/>
        <v>46493.425165317924</v>
      </c>
      <c r="AT561" s="16">
        <f t="shared" si="242"/>
        <v>-8453.3500300578035</v>
      </c>
      <c r="AU561" s="16">
        <f t="shared" si="243"/>
        <v>7458672.5098543353</v>
      </c>
      <c r="AV561" s="16">
        <f t="shared" si="244"/>
        <v>7467125.8598843934</v>
      </c>
      <c r="AW561" s="16">
        <f t="shared" si="245"/>
        <v>171900</v>
      </c>
      <c r="AX561" s="16" t="s">
        <v>235</v>
      </c>
      <c r="AZ561" s="17">
        <f t="shared" si="253"/>
        <v>0</v>
      </c>
      <c r="BA561" s="16">
        <f t="shared" si="246"/>
        <v>6400406.3583815033</v>
      </c>
      <c r="BB561" s="16">
        <f t="shared" si="247"/>
        <v>6400406.3583815033</v>
      </c>
      <c r="BC561" s="15">
        <v>0.02</v>
      </c>
      <c r="BD561">
        <v>0.01</v>
      </c>
      <c r="BE561" s="37">
        <f t="shared" si="248"/>
        <v>0</v>
      </c>
      <c r="BF561" s="38">
        <f t="shared" si="249"/>
        <v>0</v>
      </c>
      <c r="BG561" s="37">
        <f t="shared" si="256"/>
        <v>269850</v>
      </c>
      <c r="BH561" s="37">
        <f t="shared" si="250"/>
        <v>286500</v>
      </c>
      <c r="BI561">
        <v>269850</v>
      </c>
      <c r="BK561" s="48"/>
      <c r="BL561" s="8">
        <f t="shared" si="251"/>
        <v>842306.35838150291</v>
      </c>
      <c r="BM561" s="7" t="str">
        <f t="shared" si="232"/>
        <v>Tidak Terdaftar</v>
      </c>
      <c r="BN561" s="11">
        <f t="shared" si="255"/>
        <v>212010.00000000003</v>
      </c>
      <c r="BO561" s="11">
        <f t="shared" si="234"/>
        <v>260142.00000000003</v>
      </c>
      <c r="BP561" s="9">
        <f t="shared" si="252"/>
        <v>0</v>
      </c>
      <c r="BQ561" t="s">
        <v>8</v>
      </c>
    </row>
    <row r="562" spans="1:69" x14ac:dyDescent="0.3">
      <c r="A562" s="2">
        <v>561</v>
      </c>
      <c r="B562" s="5" t="s">
        <v>752</v>
      </c>
      <c r="C562" s="6" t="s">
        <v>241</v>
      </c>
      <c r="D562" s="6"/>
      <c r="E562" s="6" t="s">
        <v>73</v>
      </c>
      <c r="F562" s="6" t="s">
        <v>73</v>
      </c>
      <c r="G562" s="6"/>
      <c r="H562" s="6"/>
      <c r="K562" s="6">
        <v>800692</v>
      </c>
      <c r="L562" s="39"/>
      <c r="M562" s="6"/>
      <c r="N562" s="6" t="s">
        <v>751</v>
      </c>
      <c r="O562" s="6">
        <v>1213653205</v>
      </c>
      <c r="P562" s="48" t="s">
        <v>750</v>
      </c>
      <c r="Q562" s="6">
        <v>33085</v>
      </c>
      <c r="R562" s="6">
        <v>27510</v>
      </c>
      <c r="S562" s="5" t="str">
        <f>VLOOKUP(T562,'[1]Kode Posisi'!$A$3:$B$45,2,)</f>
        <v>Outsourcing Petugas Gudang</v>
      </c>
      <c r="T562" t="s">
        <v>2</v>
      </c>
      <c r="V562" t="s">
        <v>749</v>
      </c>
      <c r="W562" s="5" t="s">
        <v>303</v>
      </c>
      <c r="X562" s="5" t="s">
        <v>622</v>
      </c>
      <c r="Y562" t="s">
        <v>52</v>
      </c>
      <c r="Z562" s="46">
        <v>6300254991</v>
      </c>
      <c r="AA562" t="s">
        <v>748</v>
      </c>
      <c r="AB562" s="47">
        <v>5730000</v>
      </c>
      <c r="AC562" s="41">
        <v>5730000</v>
      </c>
      <c r="AD562" s="52" t="s">
        <v>177</v>
      </c>
      <c r="AI562" s="16">
        <v>343161.84971098264</v>
      </c>
      <c r="AK562" s="16"/>
      <c r="AL562" s="11">
        <f t="shared" si="236"/>
        <v>6073161.8497109823</v>
      </c>
      <c r="AM562" s="16">
        <f t="shared" si="237"/>
        <v>472152</v>
      </c>
      <c r="AN562" s="16">
        <f t="shared" si="238"/>
        <v>229200</v>
      </c>
      <c r="AO562" s="16">
        <f t="shared" si="254"/>
        <v>242952</v>
      </c>
      <c r="AP562" s="16">
        <f t="shared" si="239"/>
        <v>0</v>
      </c>
      <c r="AQ562" s="16">
        <f t="shared" si="240"/>
        <v>6545313.8497109823</v>
      </c>
      <c r="AR562" s="16">
        <f t="shared" si="231"/>
        <v>392718.8309826589</v>
      </c>
      <c r="AS562" s="16">
        <f t="shared" si="241"/>
        <v>43199.071408092481</v>
      </c>
      <c r="AT562" s="16">
        <f t="shared" si="242"/>
        <v>-7854.3766196531778</v>
      </c>
      <c r="AU562" s="16">
        <f t="shared" si="243"/>
        <v>6930178.3040739885</v>
      </c>
      <c r="AV562" s="16">
        <f t="shared" si="244"/>
        <v>6938032.6806936413</v>
      </c>
      <c r="AW562" s="16">
        <f t="shared" si="245"/>
        <v>171900</v>
      </c>
      <c r="AX562" s="16" t="s">
        <v>91</v>
      </c>
      <c r="AZ562" s="17">
        <f t="shared" si="253"/>
        <v>0</v>
      </c>
      <c r="BA562" s="16">
        <f t="shared" si="246"/>
        <v>5901261.8497109823</v>
      </c>
      <c r="BB562" s="16">
        <f t="shared" si="247"/>
        <v>5901261.8497109823</v>
      </c>
      <c r="BC562" s="15">
        <v>0.02</v>
      </c>
      <c r="BD562">
        <v>0.01</v>
      </c>
      <c r="BE562" s="37">
        <f t="shared" si="248"/>
        <v>0</v>
      </c>
      <c r="BF562" s="38">
        <f t="shared" si="249"/>
        <v>0</v>
      </c>
      <c r="BG562" s="37">
        <f t="shared" si="256"/>
        <v>269850</v>
      </c>
      <c r="BH562" s="37">
        <f t="shared" si="250"/>
        <v>286500</v>
      </c>
      <c r="BI562">
        <v>269850</v>
      </c>
      <c r="BK562" s="48"/>
      <c r="BL562" s="8">
        <f t="shared" si="251"/>
        <v>343161.84971098264</v>
      </c>
      <c r="BM562" s="7" t="str">
        <f t="shared" si="232"/>
        <v>Tidak Terdaftar</v>
      </c>
      <c r="BN562" s="11">
        <f t="shared" si="255"/>
        <v>212010.00000000003</v>
      </c>
      <c r="BO562" s="11">
        <f t="shared" si="234"/>
        <v>260142.00000000003</v>
      </c>
      <c r="BP562" s="9">
        <f t="shared" si="252"/>
        <v>0</v>
      </c>
      <c r="BQ562" t="s">
        <v>8</v>
      </c>
    </row>
    <row r="563" spans="1:69" x14ac:dyDescent="0.3">
      <c r="A563" s="2">
        <v>562</v>
      </c>
      <c r="B563" s="5" t="s">
        <v>743</v>
      </c>
      <c r="C563" s="6" t="s">
        <v>241</v>
      </c>
      <c r="D563" s="6"/>
      <c r="E563" s="6" t="s">
        <v>73</v>
      </c>
      <c r="F563" s="6" t="s">
        <v>73</v>
      </c>
      <c r="G563" s="6"/>
      <c r="H563" s="6"/>
      <c r="K563" s="6">
        <v>800693</v>
      </c>
      <c r="L563" s="39"/>
      <c r="M563" s="6"/>
      <c r="N563" s="6" t="s">
        <v>747</v>
      </c>
      <c r="O563" s="6">
        <v>378825131</v>
      </c>
      <c r="P563" s="48" t="s">
        <v>746</v>
      </c>
      <c r="Q563" s="6">
        <v>33085</v>
      </c>
      <c r="R563" s="6">
        <v>27510</v>
      </c>
      <c r="S563" s="5" t="str">
        <f>VLOOKUP(T563,'[1]Kode Posisi'!$A$3:$B$45,2,)</f>
        <v>Outsourcing Petugas Gudang</v>
      </c>
      <c r="T563" t="s">
        <v>6</v>
      </c>
      <c r="V563" t="s">
        <v>745</v>
      </c>
      <c r="W563" s="5" t="s">
        <v>303</v>
      </c>
      <c r="X563" s="5" t="s">
        <v>622</v>
      </c>
      <c r="Y563" t="s">
        <v>63</v>
      </c>
      <c r="Z563" s="57" t="s">
        <v>744</v>
      </c>
      <c r="AA563" t="s">
        <v>743</v>
      </c>
      <c r="AB563" s="47">
        <v>5730000</v>
      </c>
      <c r="AC563" s="41">
        <v>5730000</v>
      </c>
      <c r="AD563" s="52" t="s">
        <v>177</v>
      </c>
      <c r="AI563" s="16">
        <v>93589.595375722536</v>
      </c>
      <c r="AK563" s="16"/>
      <c r="AL563" s="11">
        <f t="shared" si="236"/>
        <v>5823589.5953757223</v>
      </c>
      <c r="AM563" s="16">
        <f t="shared" si="237"/>
        <v>472152</v>
      </c>
      <c r="AN563" s="16">
        <f t="shared" si="238"/>
        <v>229200</v>
      </c>
      <c r="AO563" s="16">
        <f t="shared" si="254"/>
        <v>242952</v>
      </c>
      <c r="AP563" s="16">
        <f t="shared" si="239"/>
        <v>0</v>
      </c>
      <c r="AQ563" s="16">
        <f t="shared" si="240"/>
        <v>6295741.5953757223</v>
      </c>
      <c r="AR563" s="16">
        <f t="shared" ref="AR563:AR608" si="257">SUM(AQ563*0.06)</f>
        <v>377744.49572254333</v>
      </c>
      <c r="AS563" s="16">
        <f t="shared" si="241"/>
        <v>41551.894529479767</v>
      </c>
      <c r="AT563" s="16">
        <f t="shared" si="242"/>
        <v>-7554.8899144508669</v>
      </c>
      <c r="AU563" s="16">
        <f t="shared" si="243"/>
        <v>6665931.2011838146</v>
      </c>
      <c r="AV563" s="16">
        <f t="shared" si="244"/>
        <v>6673486.0910982657</v>
      </c>
      <c r="AW563" s="16">
        <f t="shared" si="245"/>
        <v>171900</v>
      </c>
      <c r="AX563" s="16" t="s">
        <v>286</v>
      </c>
      <c r="AZ563" s="17">
        <f t="shared" si="253"/>
        <v>2900</v>
      </c>
      <c r="BA563" s="16">
        <f t="shared" si="246"/>
        <v>5651689.5953757223</v>
      </c>
      <c r="BB563" s="16">
        <f t="shared" si="247"/>
        <v>5648789.5953757223</v>
      </c>
      <c r="BC563" s="15">
        <v>0.02</v>
      </c>
      <c r="BD563">
        <v>0.01</v>
      </c>
      <c r="BE563" s="37">
        <f t="shared" si="248"/>
        <v>0</v>
      </c>
      <c r="BF563" s="38">
        <f t="shared" si="249"/>
        <v>0</v>
      </c>
      <c r="BG563" s="37">
        <f t="shared" si="256"/>
        <v>269850</v>
      </c>
      <c r="BH563" s="37">
        <f t="shared" si="250"/>
        <v>286500</v>
      </c>
      <c r="BI563">
        <v>269850</v>
      </c>
      <c r="BK563" s="48"/>
      <c r="BL563" s="8">
        <f t="shared" si="251"/>
        <v>93589.595375722536</v>
      </c>
      <c r="BM563" s="7" t="str">
        <f t="shared" ref="BM563:BM626" si="258">IF(AND(BC563=0.03,BD563=0.01),"Terdaftar BPJS Kes &amp; Naker","Tidak Terdaftar")</f>
        <v>Tidak Terdaftar</v>
      </c>
      <c r="BN563" s="11">
        <f t="shared" si="255"/>
        <v>212010.00000000003</v>
      </c>
      <c r="BO563" s="11">
        <f t="shared" ref="BO563:BO626" si="259">AC563*4.54%</f>
        <v>260142.00000000003</v>
      </c>
      <c r="BP563" s="9">
        <f t="shared" si="252"/>
        <v>0</v>
      </c>
      <c r="BQ563" t="s">
        <v>8</v>
      </c>
    </row>
    <row r="564" spans="1:69" x14ac:dyDescent="0.3">
      <c r="A564" s="2">
        <v>563</v>
      </c>
      <c r="B564" s="5" t="s">
        <v>742</v>
      </c>
      <c r="C564" s="6" t="s">
        <v>241</v>
      </c>
      <c r="D564" s="6"/>
      <c r="E564" s="6" t="s">
        <v>73</v>
      </c>
      <c r="F564" s="6" t="s">
        <v>73</v>
      </c>
      <c r="G564" s="6"/>
      <c r="H564" s="6"/>
      <c r="K564" s="6">
        <v>800694</v>
      </c>
      <c r="L564" s="39"/>
      <c r="M564" s="6"/>
      <c r="N564" s="6" t="s">
        <v>741</v>
      </c>
      <c r="O564" s="6">
        <v>492452572</v>
      </c>
      <c r="P564" s="48" t="s">
        <v>740</v>
      </c>
      <c r="Q564" s="6">
        <v>33085</v>
      </c>
      <c r="R564" s="6">
        <v>27510</v>
      </c>
      <c r="S564" s="5" t="str">
        <f>VLOOKUP(T564,'[1]Kode Posisi'!$A$3:$B$45,2,)</f>
        <v>Outsourcing Petugas Gudang</v>
      </c>
      <c r="T564" t="s">
        <v>2</v>
      </c>
      <c r="V564" t="s">
        <v>739</v>
      </c>
      <c r="W564" s="5" t="s">
        <v>303</v>
      </c>
      <c r="X564" s="5" t="s">
        <v>622</v>
      </c>
      <c r="Y564" t="s">
        <v>52</v>
      </c>
      <c r="Z564" s="46">
        <v>5211113601</v>
      </c>
      <c r="AA564" t="s">
        <v>738</v>
      </c>
      <c r="AB564" s="47">
        <v>5730000</v>
      </c>
      <c r="AC564" s="41">
        <v>5730000</v>
      </c>
      <c r="AD564" s="52" t="s">
        <v>177</v>
      </c>
      <c r="AI564" s="16">
        <v>561537.57225433527</v>
      </c>
      <c r="AK564" s="16"/>
      <c r="AL564" s="11">
        <f t="shared" si="236"/>
        <v>6291537.5722543355</v>
      </c>
      <c r="AM564" s="16">
        <f t="shared" si="237"/>
        <v>472152</v>
      </c>
      <c r="AN564" s="16">
        <f t="shared" si="238"/>
        <v>229200</v>
      </c>
      <c r="AO564" s="16">
        <f t="shared" si="254"/>
        <v>242952</v>
      </c>
      <c r="AP564" s="16">
        <f t="shared" si="239"/>
        <v>0</v>
      </c>
      <c r="AQ564" s="16">
        <f t="shared" si="240"/>
        <v>6763689.5722543355</v>
      </c>
      <c r="AR564" s="16">
        <f t="shared" si="257"/>
        <v>405821.37433526013</v>
      </c>
      <c r="AS564" s="16">
        <f t="shared" si="241"/>
        <v>44640.351176878612</v>
      </c>
      <c r="AT564" s="16">
        <f t="shared" si="242"/>
        <v>-8116.4274867052027</v>
      </c>
      <c r="AU564" s="16">
        <f t="shared" si="243"/>
        <v>7161394.51910289</v>
      </c>
      <c r="AV564" s="16">
        <f t="shared" si="244"/>
        <v>7169510.9465895956</v>
      </c>
      <c r="AW564" s="16">
        <f t="shared" si="245"/>
        <v>171900</v>
      </c>
      <c r="AX564" s="16" t="s">
        <v>235</v>
      </c>
      <c r="AZ564" s="17">
        <f t="shared" si="253"/>
        <v>0</v>
      </c>
      <c r="BA564" s="16">
        <f t="shared" si="246"/>
        <v>6119637.5722543355</v>
      </c>
      <c r="BB564" s="16">
        <f t="shared" si="247"/>
        <v>6119637.5722543355</v>
      </c>
      <c r="BC564" s="15">
        <v>0.02</v>
      </c>
      <c r="BD564">
        <v>0.01</v>
      </c>
      <c r="BE564" s="37">
        <f t="shared" si="248"/>
        <v>0</v>
      </c>
      <c r="BF564" s="38">
        <f t="shared" si="249"/>
        <v>0</v>
      </c>
      <c r="BG564" s="37">
        <f t="shared" si="256"/>
        <v>269850</v>
      </c>
      <c r="BH564" s="37">
        <f t="shared" si="250"/>
        <v>286500</v>
      </c>
      <c r="BI564">
        <v>269850</v>
      </c>
      <c r="BK564" s="48"/>
      <c r="BL564" s="8">
        <f t="shared" si="251"/>
        <v>561537.57225433527</v>
      </c>
      <c r="BM564" s="7" t="str">
        <f t="shared" si="258"/>
        <v>Tidak Terdaftar</v>
      </c>
      <c r="BN564" s="11">
        <f t="shared" si="255"/>
        <v>212010.00000000003</v>
      </c>
      <c r="BO564" s="11">
        <f t="shared" si="259"/>
        <v>260142.00000000003</v>
      </c>
      <c r="BP564" s="9">
        <f t="shared" si="252"/>
        <v>0</v>
      </c>
      <c r="BQ564" t="s">
        <v>8</v>
      </c>
    </row>
    <row r="565" spans="1:69" x14ac:dyDescent="0.3">
      <c r="A565" s="2">
        <v>564</v>
      </c>
      <c r="B565" s="5" t="s">
        <v>737</v>
      </c>
      <c r="C565" s="6" t="s">
        <v>241</v>
      </c>
      <c r="D565" s="6"/>
      <c r="E565" s="6" t="s">
        <v>73</v>
      </c>
      <c r="F565" s="6" t="s">
        <v>73</v>
      </c>
      <c r="G565" s="6"/>
      <c r="H565" s="6"/>
      <c r="K565" s="6">
        <v>800695</v>
      </c>
      <c r="L565" s="39"/>
      <c r="M565" s="6"/>
      <c r="N565" s="6" t="s">
        <v>736</v>
      </c>
      <c r="O565" s="6">
        <v>2098852705</v>
      </c>
      <c r="P565" s="48" t="s">
        <v>735</v>
      </c>
      <c r="Q565" s="6">
        <v>33085</v>
      </c>
      <c r="R565" s="6">
        <v>27510</v>
      </c>
      <c r="S565" s="5" t="str">
        <f>VLOOKUP(T565,'[1]Kode Posisi'!$A$3:$B$45,2,)</f>
        <v>Outsourcing Petugas Gudang</v>
      </c>
      <c r="T565" t="s">
        <v>2</v>
      </c>
      <c r="V565" t="s">
        <v>734</v>
      </c>
      <c r="W565" s="5" t="s">
        <v>303</v>
      </c>
      <c r="X565" s="5" t="s">
        <v>622</v>
      </c>
      <c r="Y565" t="s">
        <v>52</v>
      </c>
      <c r="Z565" s="46">
        <v>8710157074</v>
      </c>
      <c r="AA565" t="s">
        <v>733</v>
      </c>
      <c r="AB565" s="47">
        <v>5730000</v>
      </c>
      <c r="AC565" s="41">
        <v>5730000</v>
      </c>
      <c r="AD565" s="52" t="s">
        <v>177</v>
      </c>
      <c r="AI565" s="16">
        <v>249572.25433526011</v>
      </c>
      <c r="AK565" s="16"/>
      <c r="AL565" s="11">
        <f t="shared" si="236"/>
        <v>5979572.25433526</v>
      </c>
      <c r="AM565" s="16">
        <f t="shared" si="237"/>
        <v>472152</v>
      </c>
      <c r="AN565" s="16">
        <f t="shared" si="238"/>
        <v>229200</v>
      </c>
      <c r="AO565" s="16">
        <f t="shared" si="254"/>
        <v>242952</v>
      </c>
      <c r="AP565" s="16">
        <f t="shared" si="239"/>
        <v>0</v>
      </c>
      <c r="AQ565" s="16">
        <f t="shared" si="240"/>
        <v>6451724.25433526</v>
      </c>
      <c r="AR565" s="16">
        <f t="shared" si="257"/>
        <v>387103.45526011556</v>
      </c>
      <c r="AS565" s="16">
        <f t="shared" si="241"/>
        <v>42581.38007861271</v>
      </c>
      <c r="AT565" s="16">
        <f t="shared" si="242"/>
        <v>-7742.0691052023112</v>
      </c>
      <c r="AU565" s="16">
        <f t="shared" si="243"/>
        <v>6831085.6404901734</v>
      </c>
      <c r="AV565" s="16">
        <f t="shared" si="244"/>
        <v>6838827.7095953757</v>
      </c>
      <c r="AW565" s="16">
        <f t="shared" si="245"/>
        <v>171900</v>
      </c>
      <c r="AX565" s="16" t="s">
        <v>286</v>
      </c>
      <c r="AZ565" s="17">
        <f t="shared" si="253"/>
        <v>0</v>
      </c>
      <c r="BA565" s="16">
        <f t="shared" si="246"/>
        <v>5807672.25433526</v>
      </c>
      <c r="BB565" s="16">
        <f t="shared" si="247"/>
        <v>5807672.25433526</v>
      </c>
      <c r="BC565" s="15">
        <v>0.02</v>
      </c>
      <c r="BD565">
        <v>0.01</v>
      </c>
      <c r="BE565" s="37">
        <f t="shared" si="248"/>
        <v>0</v>
      </c>
      <c r="BF565" s="38">
        <f t="shared" si="249"/>
        <v>0</v>
      </c>
      <c r="BG565" s="37">
        <f t="shared" si="256"/>
        <v>269850</v>
      </c>
      <c r="BH565" s="37">
        <f t="shared" si="250"/>
        <v>286500</v>
      </c>
      <c r="BI565">
        <v>269850</v>
      </c>
      <c r="BK565" s="48"/>
      <c r="BL565" s="8">
        <f t="shared" si="251"/>
        <v>249572.25433526011</v>
      </c>
      <c r="BM565" s="7" t="str">
        <f t="shared" si="258"/>
        <v>Tidak Terdaftar</v>
      </c>
      <c r="BN565" s="11">
        <f t="shared" si="255"/>
        <v>212010.00000000003</v>
      </c>
      <c r="BO565" s="11">
        <f t="shared" si="259"/>
        <v>260142.00000000003</v>
      </c>
      <c r="BP565" s="9">
        <f t="shared" si="252"/>
        <v>0</v>
      </c>
      <c r="BQ565" t="s">
        <v>8</v>
      </c>
    </row>
    <row r="566" spans="1:69" x14ac:dyDescent="0.3">
      <c r="A566" s="2">
        <v>565</v>
      </c>
      <c r="B566" s="5" t="s">
        <v>732</v>
      </c>
      <c r="C566" s="6" t="s">
        <v>241</v>
      </c>
      <c r="D566" s="6"/>
      <c r="E566" s="6" t="s">
        <v>73</v>
      </c>
      <c r="F566" s="6" t="s">
        <v>73</v>
      </c>
      <c r="G566" s="6"/>
      <c r="H566" s="6"/>
      <c r="K566" s="6">
        <v>800696</v>
      </c>
      <c r="L566" s="39"/>
      <c r="M566" s="6"/>
      <c r="N566" s="6" t="s">
        <v>731</v>
      </c>
      <c r="O566" s="6">
        <v>1422193151</v>
      </c>
      <c r="P566" s="48" t="s">
        <v>730</v>
      </c>
      <c r="Q566" s="6">
        <v>33085</v>
      </c>
      <c r="R566" s="6">
        <v>27510</v>
      </c>
      <c r="S566" s="5" t="str">
        <f>VLOOKUP(T566,'[1]Kode Posisi'!$A$3:$B$45,2,)</f>
        <v>Outsourcing Petugas Gudang</v>
      </c>
      <c r="T566" t="s">
        <v>2</v>
      </c>
      <c r="V566" t="s">
        <v>729</v>
      </c>
      <c r="W566" s="5" t="s">
        <v>303</v>
      </c>
      <c r="X566" s="5" t="s">
        <v>622</v>
      </c>
      <c r="Y566" t="s">
        <v>52</v>
      </c>
      <c r="Z566" s="57" t="s">
        <v>728</v>
      </c>
      <c r="AA566" t="s">
        <v>727</v>
      </c>
      <c r="AB566" s="47">
        <v>5730000</v>
      </c>
      <c r="AC566" s="41">
        <v>5730000</v>
      </c>
      <c r="AD566" s="52" t="s">
        <v>177</v>
      </c>
      <c r="AI566" s="16">
        <v>218375.7225433526</v>
      </c>
      <c r="AK566" s="16"/>
      <c r="AL566" s="11">
        <f t="shared" si="236"/>
        <v>5948375.7225433523</v>
      </c>
      <c r="AM566" s="16">
        <f t="shared" si="237"/>
        <v>472152</v>
      </c>
      <c r="AN566" s="16">
        <f t="shared" si="238"/>
        <v>229200</v>
      </c>
      <c r="AO566" s="16">
        <f t="shared" si="254"/>
        <v>242952</v>
      </c>
      <c r="AP566" s="16">
        <f t="shared" si="239"/>
        <v>0</v>
      </c>
      <c r="AQ566" s="16">
        <f t="shared" si="240"/>
        <v>6420527.7225433523</v>
      </c>
      <c r="AR566" s="16">
        <f t="shared" si="257"/>
        <v>385231.66335260111</v>
      </c>
      <c r="AS566" s="16">
        <f t="shared" si="241"/>
        <v>42375.48296878612</v>
      </c>
      <c r="AT566" s="16">
        <f t="shared" si="242"/>
        <v>-7704.6332670520223</v>
      </c>
      <c r="AU566" s="16">
        <f t="shared" si="243"/>
        <v>6798054.752628901</v>
      </c>
      <c r="AV566" s="16">
        <f t="shared" si="244"/>
        <v>6805759.3858959535</v>
      </c>
      <c r="AW566" s="16">
        <f t="shared" si="245"/>
        <v>171900</v>
      </c>
      <c r="AX566" s="16" t="s">
        <v>91</v>
      </c>
      <c r="AZ566" s="17">
        <f t="shared" si="253"/>
        <v>0</v>
      </c>
      <c r="BA566" s="16">
        <f t="shared" si="246"/>
        <v>5776475.7225433523</v>
      </c>
      <c r="BB566" s="16">
        <f t="shared" si="247"/>
        <v>5776475.7225433523</v>
      </c>
      <c r="BC566" s="15">
        <v>0.02</v>
      </c>
      <c r="BD566">
        <v>0.01</v>
      </c>
      <c r="BE566" s="37">
        <f t="shared" si="248"/>
        <v>0</v>
      </c>
      <c r="BF566" s="38">
        <f t="shared" si="249"/>
        <v>0</v>
      </c>
      <c r="BG566" s="37">
        <f t="shared" si="256"/>
        <v>269850</v>
      </c>
      <c r="BH566" s="37">
        <f t="shared" si="250"/>
        <v>286500</v>
      </c>
      <c r="BI566">
        <v>269850</v>
      </c>
      <c r="BK566" s="48"/>
      <c r="BL566" s="8">
        <f t="shared" si="251"/>
        <v>218375.7225433526</v>
      </c>
      <c r="BM566" s="7" t="str">
        <f t="shared" si="258"/>
        <v>Tidak Terdaftar</v>
      </c>
      <c r="BN566" s="11">
        <f t="shared" si="255"/>
        <v>212010.00000000003</v>
      </c>
      <c r="BO566" s="11">
        <f t="shared" si="259"/>
        <v>260142.00000000003</v>
      </c>
      <c r="BP566" s="9">
        <f t="shared" si="252"/>
        <v>0</v>
      </c>
      <c r="BQ566" t="s">
        <v>8</v>
      </c>
    </row>
    <row r="567" spans="1:69" x14ac:dyDescent="0.3">
      <c r="A567" s="2">
        <v>566</v>
      </c>
      <c r="B567" s="5" t="s">
        <v>726</v>
      </c>
      <c r="C567" s="6" t="s">
        <v>241</v>
      </c>
      <c r="D567" s="6"/>
      <c r="E567" s="6" t="s">
        <v>73</v>
      </c>
      <c r="F567" s="6" t="s">
        <v>73</v>
      </c>
      <c r="G567" s="6"/>
      <c r="H567" s="6"/>
      <c r="K567" s="6">
        <v>800697</v>
      </c>
      <c r="L567" s="39"/>
      <c r="M567" s="6"/>
      <c r="N567" s="6" t="s">
        <v>725</v>
      </c>
      <c r="O567" s="6">
        <v>1012054151</v>
      </c>
      <c r="P567" s="48" t="s">
        <v>724</v>
      </c>
      <c r="Q567" s="6">
        <v>33085</v>
      </c>
      <c r="R567" s="6">
        <v>27510</v>
      </c>
      <c r="S567" s="5" t="str">
        <f>VLOOKUP(T567,'[1]Kode Posisi'!$A$3:$B$45,2,)</f>
        <v>Outsourcing Petugas Gudang</v>
      </c>
      <c r="T567" t="s">
        <v>2</v>
      </c>
      <c r="V567" t="s">
        <v>723</v>
      </c>
      <c r="W567" s="5" t="s">
        <v>303</v>
      </c>
      <c r="X567" s="5" t="s">
        <v>622</v>
      </c>
      <c r="Y567" t="s">
        <v>63</v>
      </c>
      <c r="Z567" s="57" t="s">
        <v>722</v>
      </c>
      <c r="AA567" t="s">
        <v>721</v>
      </c>
      <c r="AB567" s="47">
        <v>5730000</v>
      </c>
      <c r="AC567" s="41">
        <v>5730000</v>
      </c>
      <c r="AD567" s="52" t="s">
        <v>177</v>
      </c>
      <c r="AI567" s="16">
        <v>187179.19075144507</v>
      </c>
      <c r="AK567" s="16"/>
      <c r="AL567" s="11">
        <f t="shared" si="236"/>
        <v>5917179.1907514455</v>
      </c>
      <c r="AM567" s="16">
        <f t="shared" si="237"/>
        <v>472152</v>
      </c>
      <c r="AN567" s="16">
        <f t="shared" si="238"/>
        <v>229200</v>
      </c>
      <c r="AO567" s="16">
        <f t="shared" si="254"/>
        <v>242952</v>
      </c>
      <c r="AP567" s="16">
        <f t="shared" si="239"/>
        <v>0</v>
      </c>
      <c r="AQ567" s="16">
        <f t="shared" si="240"/>
        <v>6389331.1907514455</v>
      </c>
      <c r="AR567" s="16">
        <f t="shared" si="257"/>
        <v>383359.87144508673</v>
      </c>
      <c r="AS567" s="16">
        <f t="shared" si="241"/>
        <v>42169.585858959537</v>
      </c>
      <c r="AT567" s="16">
        <f t="shared" si="242"/>
        <v>-7667.1974289017344</v>
      </c>
      <c r="AU567" s="16">
        <f t="shared" si="243"/>
        <v>6765023.8647676306</v>
      </c>
      <c r="AV567" s="16">
        <f t="shared" si="244"/>
        <v>6772691.0621965323</v>
      </c>
      <c r="AW567" s="16">
        <f t="shared" si="245"/>
        <v>171900</v>
      </c>
      <c r="AX567" s="16" t="s">
        <v>286</v>
      </c>
      <c r="AZ567" s="17">
        <f t="shared" si="253"/>
        <v>2900</v>
      </c>
      <c r="BA567" s="16">
        <f t="shared" si="246"/>
        <v>5745279.1907514455</v>
      </c>
      <c r="BB567" s="16">
        <f t="shared" si="247"/>
        <v>5742379.1907514455</v>
      </c>
      <c r="BC567" s="15">
        <v>0.02</v>
      </c>
      <c r="BD567">
        <v>0.01</v>
      </c>
      <c r="BE567" s="37">
        <f t="shared" si="248"/>
        <v>0</v>
      </c>
      <c r="BF567" s="38">
        <f t="shared" si="249"/>
        <v>0</v>
      </c>
      <c r="BG567" s="37">
        <f t="shared" si="256"/>
        <v>269850</v>
      </c>
      <c r="BH567" s="37">
        <f t="shared" si="250"/>
        <v>286500</v>
      </c>
      <c r="BI567">
        <v>269850</v>
      </c>
      <c r="BK567" s="48"/>
      <c r="BL567" s="8">
        <f t="shared" si="251"/>
        <v>187179.19075144507</v>
      </c>
      <c r="BM567" s="7" t="str">
        <f t="shared" si="258"/>
        <v>Tidak Terdaftar</v>
      </c>
      <c r="BN567" s="11">
        <f t="shared" si="255"/>
        <v>212010.00000000003</v>
      </c>
      <c r="BO567" s="11">
        <f t="shared" si="259"/>
        <v>260142.00000000003</v>
      </c>
      <c r="BP567" s="9">
        <f t="shared" si="252"/>
        <v>0</v>
      </c>
      <c r="BQ567" t="s">
        <v>8</v>
      </c>
    </row>
    <row r="568" spans="1:69" x14ac:dyDescent="0.3">
      <c r="A568" s="2">
        <v>567</v>
      </c>
      <c r="B568" s="5" t="s">
        <v>716</v>
      </c>
      <c r="C568" s="6" t="s">
        <v>241</v>
      </c>
      <c r="D568" s="6"/>
      <c r="E568" s="6" t="s">
        <v>73</v>
      </c>
      <c r="F568" s="6" t="s">
        <v>73</v>
      </c>
      <c r="G568" s="6"/>
      <c r="H568" s="6"/>
      <c r="K568" s="6">
        <v>800698</v>
      </c>
      <c r="L568" s="39"/>
      <c r="M568" s="6"/>
      <c r="N568" s="6" t="s">
        <v>720</v>
      </c>
      <c r="O568" s="6">
        <v>369872774</v>
      </c>
      <c r="P568" s="48" t="s">
        <v>719</v>
      </c>
      <c r="Q568" s="6">
        <v>33085</v>
      </c>
      <c r="R568" s="6">
        <v>27510</v>
      </c>
      <c r="S568" s="5" t="str">
        <f>VLOOKUP(T568,'[1]Kode Posisi'!$A$3:$B$45,2,)</f>
        <v>Outsourcing Cleaning Service</v>
      </c>
      <c r="T568" t="s">
        <v>47</v>
      </c>
      <c r="V568" t="s">
        <v>718</v>
      </c>
      <c r="W568" s="5" t="s">
        <v>303</v>
      </c>
      <c r="X568" s="5" t="s">
        <v>622</v>
      </c>
      <c r="Y568" t="s">
        <v>473</v>
      </c>
      <c r="Z568" s="57" t="s">
        <v>717</v>
      </c>
      <c r="AA568" t="s">
        <v>716</v>
      </c>
      <c r="AB568" s="47">
        <v>5730000</v>
      </c>
      <c r="AC568" s="41">
        <v>5730000</v>
      </c>
      <c r="AD568" s="52" t="s">
        <v>177</v>
      </c>
      <c r="AI568" s="16">
        <v>0</v>
      </c>
      <c r="AK568" s="16"/>
      <c r="AL568" s="11">
        <f t="shared" si="236"/>
        <v>5730000</v>
      </c>
      <c r="AM568" s="16">
        <f t="shared" si="237"/>
        <v>472152</v>
      </c>
      <c r="AN568" s="16">
        <f t="shared" si="238"/>
        <v>229200</v>
      </c>
      <c r="AO568" s="16">
        <f t="shared" si="254"/>
        <v>242952</v>
      </c>
      <c r="AP568" s="16">
        <f t="shared" si="239"/>
        <v>0</v>
      </c>
      <c r="AQ568" s="16">
        <f t="shared" si="240"/>
        <v>6202152</v>
      </c>
      <c r="AR568" s="16">
        <f t="shared" si="257"/>
        <v>372129.12</v>
      </c>
      <c r="AS568" s="16">
        <f t="shared" si="241"/>
        <v>40934.203199999996</v>
      </c>
      <c r="AT568" s="16">
        <f t="shared" si="242"/>
        <v>-7442.5824000000002</v>
      </c>
      <c r="AU568" s="16">
        <f t="shared" si="243"/>
        <v>6566838.5376000004</v>
      </c>
      <c r="AV568" s="16">
        <f t="shared" si="244"/>
        <v>6574281.1200000001</v>
      </c>
      <c r="AW568" s="16">
        <f t="shared" si="245"/>
        <v>171900</v>
      </c>
      <c r="AX568" s="16" t="s">
        <v>319</v>
      </c>
      <c r="AZ568" s="17">
        <f t="shared" si="253"/>
        <v>2900</v>
      </c>
      <c r="BA568" s="16">
        <f t="shared" si="246"/>
        <v>5558100</v>
      </c>
      <c r="BB568" s="16">
        <f t="shared" si="247"/>
        <v>5555200</v>
      </c>
      <c r="BC568" s="15">
        <v>0.02</v>
      </c>
      <c r="BD568">
        <v>0.01</v>
      </c>
      <c r="BE568" s="37">
        <f t="shared" si="248"/>
        <v>0</v>
      </c>
      <c r="BF568" s="38">
        <f t="shared" si="249"/>
        <v>0</v>
      </c>
      <c r="BG568" s="37">
        <f t="shared" si="256"/>
        <v>269850</v>
      </c>
      <c r="BH568" s="37">
        <f t="shared" si="250"/>
        <v>286500</v>
      </c>
      <c r="BI568">
        <v>269850</v>
      </c>
      <c r="BK568" s="48"/>
      <c r="BL568" s="8">
        <f t="shared" si="251"/>
        <v>0</v>
      </c>
      <c r="BM568" s="7" t="str">
        <f t="shared" si="258"/>
        <v>Tidak Terdaftar</v>
      </c>
      <c r="BN568" s="11">
        <f t="shared" si="255"/>
        <v>212010.00000000003</v>
      </c>
      <c r="BO568" s="11">
        <f t="shared" si="259"/>
        <v>260142.00000000003</v>
      </c>
      <c r="BP568" s="9">
        <f t="shared" si="252"/>
        <v>0</v>
      </c>
      <c r="BQ568" t="s">
        <v>8</v>
      </c>
    </row>
    <row r="569" spans="1:69" x14ac:dyDescent="0.3">
      <c r="A569" s="2">
        <v>568</v>
      </c>
      <c r="B569" s="5" t="s">
        <v>715</v>
      </c>
      <c r="C569" s="6" t="s">
        <v>241</v>
      </c>
      <c r="D569" s="6"/>
      <c r="E569" s="6" t="s">
        <v>73</v>
      </c>
      <c r="F569" s="6" t="s">
        <v>73</v>
      </c>
      <c r="G569" s="6"/>
      <c r="H569" s="6"/>
      <c r="K569" s="6">
        <v>800699</v>
      </c>
      <c r="L569" s="39"/>
      <c r="M569" s="6"/>
      <c r="N569" s="6" t="s">
        <v>714</v>
      </c>
      <c r="O569" s="6">
        <v>1307308015</v>
      </c>
      <c r="P569" s="48" t="s">
        <v>713</v>
      </c>
      <c r="Q569" s="6">
        <v>33085</v>
      </c>
      <c r="R569" s="6">
        <v>27510</v>
      </c>
      <c r="S569" s="5" t="str">
        <f>VLOOKUP(T569,'[1]Kode Posisi'!$A$3:$B$45,2,)</f>
        <v>Outsourcing Cleaning Service</v>
      </c>
      <c r="T569" t="s">
        <v>47</v>
      </c>
      <c r="V569" t="s">
        <v>712</v>
      </c>
      <c r="W569" s="5" t="s">
        <v>303</v>
      </c>
      <c r="X569" s="5" t="s">
        <v>622</v>
      </c>
      <c r="Y569" t="s">
        <v>473</v>
      </c>
      <c r="Z569" s="57" t="s">
        <v>711</v>
      </c>
      <c r="AA569" t="s">
        <v>710</v>
      </c>
      <c r="AB569" s="47">
        <v>5730000</v>
      </c>
      <c r="AC569" s="41">
        <v>5730000</v>
      </c>
      <c r="AD569" s="52" t="s">
        <v>177</v>
      </c>
      <c r="AI569" s="16">
        <v>0</v>
      </c>
      <c r="AK569" s="16"/>
      <c r="AL569" s="11">
        <f t="shared" si="236"/>
        <v>5730000</v>
      </c>
      <c r="AM569" s="16">
        <f t="shared" si="237"/>
        <v>472152</v>
      </c>
      <c r="AN569" s="16">
        <f t="shared" si="238"/>
        <v>229200</v>
      </c>
      <c r="AO569" s="16">
        <f t="shared" si="254"/>
        <v>242952</v>
      </c>
      <c r="AP569" s="16">
        <f t="shared" si="239"/>
        <v>0</v>
      </c>
      <c r="AQ569" s="16">
        <f t="shared" si="240"/>
        <v>6202152</v>
      </c>
      <c r="AR569" s="16">
        <f t="shared" si="257"/>
        <v>372129.12</v>
      </c>
      <c r="AS569" s="16">
        <f t="shared" si="241"/>
        <v>40934.203199999996</v>
      </c>
      <c r="AT569" s="16">
        <f t="shared" si="242"/>
        <v>-7442.5824000000002</v>
      </c>
      <c r="AU569" s="16">
        <f t="shared" si="243"/>
        <v>6566838.5376000004</v>
      </c>
      <c r="AV569" s="16">
        <f t="shared" si="244"/>
        <v>6574281.1200000001</v>
      </c>
      <c r="AW569" s="16">
        <f t="shared" si="245"/>
        <v>171900</v>
      </c>
      <c r="AX569" s="16" t="s">
        <v>286</v>
      </c>
      <c r="AZ569" s="17">
        <f t="shared" si="253"/>
        <v>2900</v>
      </c>
      <c r="BA569" s="16">
        <f t="shared" si="246"/>
        <v>5558100</v>
      </c>
      <c r="BB569" s="16">
        <f t="shared" si="247"/>
        <v>5555200</v>
      </c>
      <c r="BC569" s="15">
        <v>0.02</v>
      </c>
      <c r="BD569">
        <v>0.01</v>
      </c>
      <c r="BE569" s="37">
        <f t="shared" si="248"/>
        <v>0</v>
      </c>
      <c r="BF569" s="38">
        <f t="shared" si="249"/>
        <v>0</v>
      </c>
      <c r="BG569" s="37">
        <f t="shared" si="256"/>
        <v>269850</v>
      </c>
      <c r="BH569" s="37">
        <f t="shared" si="250"/>
        <v>286500</v>
      </c>
      <c r="BI569">
        <v>269850</v>
      </c>
      <c r="BK569" s="48"/>
      <c r="BL569" s="8">
        <f t="shared" si="251"/>
        <v>0</v>
      </c>
      <c r="BM569" s="7" t="str">
        <f t="shared" si="258"/>
        <v>Tidak Terdaftar</v>
      </c>
      <c r="BN569" s="11">
        <f t="shared" si="255"/>
        <v>212010.00000000003</v>
      </c>
      <c r="BO569" s="11">
        <f t="shared" si="259"/>
        <v>260142.00000000003</v>
      </c>
      <c r="BP569" s="9">
        <f t="shared" si="252"/>
        <v>0</v>
      </c>
      <c r="BQ569" t="s">
        <v>8</v>
      </c>
    </row>
    <row r="570" spans="1:69" x14ac:dyDescent="0.3">
      <c r="A570" s="2">
        <v>569</v>
      </c>
      <c r="B570" s="5" t="s">
        <v>709</v>
      </c>
      <c r="C570" s="6" t="s">
        <v>241</v>
      </c>
      <c r="D570" s="6"/>
      <c r="E570" s="6" t="s">
        <v>73</v>
      </c>
      <c r="F570" s="6" t="s">
        <v>73</v>
      </c>
      <c r="G570" s="6"/>
      <c r="H570" s="6"/>
      <c r="K570" s="6">
        <v>800700</v>
      </c>
      <c r="L570" s="39"/>
      <c r="M570" s="6"/>
      <c r="N570" s="6" t="s">
        <v>708</v>
      </c>
      <c r="O570" s="6">
        <v>1128747104</v>
      </c>
      <c r="P570" s="48" t="s">
        <v>707</v>
      </c>
      <c r="Q570" s="6">
        <v>33085</v>
      </c>
      <c r="R570" s="6">
        <v>27510</v>
      </c>
      <c r="S570" s="5" t="str">
        <f>VLOOKUP(T570,'[1]Kode Posisi'!$A$3:$B$45,2,)</f>
        <v>Outsourcing Petugas Gudang</v>
      </c>
      <c r="T570" t="s">
        <v>2</v>
      </c>
      <c r="V570" t="s">
        <v>706</v>
      </c>
      <c r="W570" s="5" t="s">
        <v>303</v>
      </c>
      <c r="X570" s="5" t="s">
        <v>622</v>
      </c>
      <c r="Y570" t="s">
        <v>198</v>
      </c>
      <c r="Z570" s="46" t="s">
        <v>705</v>
      </c>
      <c r="AA570" t="s">
        <v>704</v>
      </c>
      <c r="AB570" s="47">
        <v>5730000</v>
      </c>
      <c r="AC570" s="41">
        <v>5730000</v>
      </c>
      <c r="AD570" s="52" t="s">
        <v>177</v>
      </c>
      <c r="AI570" s="16">
        <v>0</v>
      </c>
      <c r="AK570" s="16"/>
      <c r="AL570" s="11">
        <f t="shared" si="236"/>
        <v>5730000</v>
      </c>
      <c r="AM570" s="16">
        <f t="shared" si="237"/>
        <v>472152</v>
      </c>
      <c r="AN570" s="16">
        <f t="shared" si="238"/>
        <v>229200</v>
      </c>
      <c r="AO570" s="16">
        <f t="shared" ref="AO570:AO601" si="260">IF(BC570=0.02,AC570*0.0424,0)</f>
        <v>242952</v>
      </c>
      <c r="AP570" s="16">
        <f t="shared" si="239"/>
        <v>0</v>
      </c>
      <c r="AQ570" s="16">
        <f t="shared" si="240"/>
        <v>6202152</v>
      </c>
      <c r="AR570" s="16">
        <f t="shared" si="257"/>
        <v>372129.12</v>
      </c>
      <c r="AS570" s="16">
        <f t="shared" si="241"/>
        <v>40934.203199999996</v>
      </c>
      <c r="AT570" s="16">
        <f t="shared" si="242"/>
        <v>-7442.5824000000002</v>
      </c>
      <c r="AU570" s="16">
        <f t="shared" si="243"/>
        <v>6566838.5376000004</v>
      </c>
      <c r="AV570" s="16">
        <f t="shared" si="244"/>
        <v>6574281.1200000001</v>
      </c>
      <c r="AW570" s="16">
        <f t="shared" si="245"/>
        <v>171900</v>
      </c>
      <c r="AX570" s="16" t="s">
        <v>286</v>
      </c>
      <c r="AZ570" s="17">
        <f t="shared" si="253"/>
        <v>2900</v>
      </c>
      <c r="BA570" s="16">
        <f t="shared" si="246"/>
        <v>5558100</v>
      </c>
      <c r="BB570" s="16">
        <f t="shared" si="247"/>
        <v>5555200</v>
      </c>
      <c r="BC570" s="15">
        <v>0.02</v>
      </c>
      <c r="BD570">
        <v>0.01</v>
      </c>
      <c r="BE570" s="37">
        <f t="shared" si="248"/>
        <v>0</v>
      </c>
      <c r="BF570" s="38">
        <f t="shared" si="249"/>
        <v>0</v>
      </c>
      <c r="BG570" s="37">
        <f t="shared" si="256"/>
        <v>269850</v>
      </c>
      <c r="BH570" s="37">
        <f t="shared" si="250"/>
        <v>286500</v>
      </c>
      <c r="BI570">
        <v>269850</v>
      </c>
      <c r="BJ570" s="2">
        <v>269850</v>
      </c>
      <c r="BK570" s="48"/>
      <c r="BL570" s="8">
        <f t="shared" si="251"/>
        <v>0</v>
      </c>
      <c r="BM570" s="7" t="str">
        <f t="shared" si="258"/>
        <v>Tidak Terdaftar</v>
      </c>
      <c r="BN570" s="11">
        <f t="shared" ref="BN570:BN601" si="261">AC570*3.7%</f>
        <v>212010.00000000003</v>
      </c>
      <c r="BO570" s="11">
        <f t="shared" si="259"/>
        <v>260142.00000000003</v>
      </c>
      <c r="BP570" s="9">
        <f t="shared" si="252"/>
        <v>0</v>
      </c>
      <c r="BQ570" t="s">
        <v>8</v>
      </c>
    </row>
    <row r="571" spans="1:69" x14ac:dyDescent="0.3">
      <c r="A571" s="2">
        <v>570</v>
      </c>
      <c r="B571" s="5" t="s">
        <v>703</v>
      </c>
      <c r="C571" s="6" t="s">
        <v>241</v>
      </c>
      <c r="D571" s="6"/>
      <c r="E571" s="6" t="s">
        <v>73</v>
      </c>
      <c r="F571" s="6" t="s">
        <v>73</v>
      </c>
      <c r="G571" s="6"/>
      <c r="H571" s="6"/>
      <c r="K571" s="6">
        <v>800701</v>
      </c>
      <c r="L571" s="39"/>
      <c r="M571" s="6"/>
      <c r="N571" s="6" t="s">
        <v>702</v>
      </c>
      <c r="O571" s="6">
        <v>1741931021</v>
      </c>
      <c r="P571" s="48" t="s">
        <v>701</v>
      </c>
      <c r="Q571" s="6">
        <v>33085</v>
      </c>
      <c r="R571" s="6">
        <v>27510</v>
      </c>
      <c r="S571" s="5" t="str">
        <f>VLOOKUP(T571,'[1]Kode Posisi'!$A$3:$B$45,2,)</f>
        <v>Outsourcing Cleaning Service</v>
      </c>
      <c r="T571" t="s">
        <v>1</v>
      </c>
      <c r="V571" t="s">
        <v>700</v>
      </c>
      <c r="W571" s="5" t="s">
        <v>303</v>
      </c>
      <c r="X571" s="5" t="s">
        <v>622</v>
      </c>
      <c r="Y571" t="s">
        <v>63</v>
      </c>
      <c r="Z571" s="57" t="s">
        <v>699</v>
      </c>
      <c r="AA571" t="s">
        <v>698</v>
      </c>
      <c r="AB571" s="47">
        <v>5730000</v>
      </c>
      <c r="AC571" s="41">
        <v>5730000</v>
      </c>
      <c r="AD571" s="52" t="s">
        <v>177</v>
      </c>
      <c r="AI571" s="16">
        <v>0</v>
      </c>
      <c r="AK571" s="16"/>
      <c r="AL571" s="11">
        <f t="shared" si="236"/>
        <v>5730000</v>
      </c>
      <c r="AM571" s="16">
        <f t="shared" si="237"/>
        <v>472152</v>
      </c>
      <c r="AN571" s="16">
        <f t="shared" si="238"/>
        <v>229200</v>
      </c>
      <c r="AO571" s="16">
        <f t="shared" si="260"/>
        <v>242952</v>
      </c>
      <c r="AP571" s="16">
        <f t="shared" si="239"/>
        <v>0</v>
      </c>
      <c r="AQ571" s="16">
        <f t="shared" si="240"/>
        <v>6202152</v>
      </c>
      <c r="AR571" s="16">
        <f t="shared" si="257"/>
        <v>372129.12</v>
      </c>
      <c r="AS571" s="16">
        <f t="shared" si="241"/>
        <v>40934.203199999996</v>
      </c>
      <c r="AT571" s="16">
        <f t="shared" si="242"/>
        <v>-7442.5824000000002</v>
      </c>
      <c r="AU571" s="16">
        <f t="shared" si="243"/>
        <v>6566838.5376000004</v>
      </c>
      <c r="AV571" s="16">
        <f t="shared" si="244"/>
        <v>6574281.1200000001</v>
      </c>
      <c r="AW571" s="16">
        <f t="shared" si="245"/>
        <v>171900</v>
      </c>
      <c r="AX571" s="16" t="s">
        <v>286</v>
      </c>
      <c r="AZ571" s="17">
        <f t="shared" si="253"/>
        <v>2900</v>
      </c>
      <c r="BA571" s="16">
        <f t="shared" si="246"/>
        <v>5558100</v>
      </c>
      <c r="BB571" s="16">
        <f t="shared" si="247"/>
        <v>5555200</v>
      </c>
      <c r="BC571" s="15">
        <v>0.02</v>
      </c>
      <c r="BD571">
        <v>0.01</v>
      </c>
      <c r="BE571" s="37">
        <f t="shared" si="248"/>
        <v>0</v>
      </c>
      <c r="BF571" s="38">
        <f t="shared" si="249"/>
        <v>0</v>
      </c>
      <c r="BG571" s="37">
        <f t="shared" si="256"/>
        <v>269850</v>
      </c>
      <c r="BH571" s="37">
        <f t="shared" si="250"/>
        <v>286500</v>
      </c>
      <c r="BI571">
        <v>269850</v>
      </c>
      <c r="BK571" s="48"/>
      <c r="BL571" s="8">
        <f t="shared" si="251"/>
        <v>0</v>
      </c>
      <c r="BM571" s="7" t="str">
        <f t="shared" si="258"/>
        <v>Tidak Terdaftar</v>
      </c>
      <c r="BN571" s="11">
        <f t="shared" si="261"/>
        <v>212010.00000000003</v>
      </c>
      <c r="BO571" s="11">
        <f t="shared" si="259"/>
        <v>260142.00000000003</v>
      </c>
      <c r="BP571" s="9">
        <f t="shared" si="252"/>
        <v>0</v>
      </c>
      <c r="BQ571" t="s">
        <v>8</v>
      </c>
    </row>
    <row r="572" spans="1:69" x14ac:dyDescent="0.3">
      <c r="A572" s="2">
        <v>571</v>
      </c>
      <c r="B572" s="5" t="s">
        <v>697</v>
      </c>
      <c r="C572" s="6" t="s">
        <v>241</v>
      </c>
      <c r="D572" s="6"/>
      <c r="E572" s="6" t="s">
        <v>73</v>
      </c>
      <c r="F572" s="6" t="s">
        <v>73</v>
      </c>
      <c r="G572" s="6"/>
      <c r="H572" s="6"/>
      <c r="K572" s="6">
        <v>800702</v>
      </c>
      <c r="L572" s="39"/>
      <c r="M572" s="6"/>
      <c r="N572" s="6" t="s">
        <v>696</v>
      </c>
      <c r="O572" s="6">
        <v>1135765945</v>
      </c>
      <c r="P572" s="48" t="s">
        <v>695</v>
      </c>
      <c r="Q572" s="6">
        <v>33085</v>
      </c>
      <c r="R572" s="6">
        <v>27510</v>
      </c>
      <c r="S572" s="5" t="str">
        <f>VLOOKUP(T572,'[1]Kode Posisi'!$A$3:$B$45,2,)</f>
        <v>Outsourcing Cleaning Service</v>
      </c>
      <c r="T572" t="s">
        <v>1</v>
      </c>
      <c r="V572" t="s">
        <v>694</v>
      </c>
      <c r="W572" s="5" t="s">
        <v>303</v>
      </c>
      <c r="X572" s="5" t="s">
        <v>622</v>
      </c>
      <c r="Y572" t="s">
        <v>52</v>
      </c>
      <c r="Z572" s="46">
        <v>2170209187</v>
      </c>
      <c r="AA572" t="s">
        <v>693</v>
      </c>
      <c r="AB572" s="47">
        <v>5730000</v>
      </c>
      <c r="AC572" s="41">
        <v>5730000</v>
      </c>
      <c r="AD572" s="52" t="s">
        <v>177</v>
      </c>
      <c r="AI572" s="16">
        <v>0</v>
      </c>
      <c r="AK572" s="16"/>
      <c r="AL572" s="11">
        <f t="shared" si="236"/>
        <v>5730000</v>
      </c>
      <c r="AM572" s="16">
        <f t="shared" si="237"/>
        <v>472152</v>
      </c>
      <c r="AN572" s="16">
        <f t="shared" si="238"/>
        <v>229200</v>
      </c>
      <c r="AO572" s="16">
        <f t="shared" si="260"/>
        <v>242952</v>
      </c>
      <c r="AP572" s="16">
        <f t="shared" si="239"/>
        <v>0</v>
      </c>
      <c r="AQ572" s="16">
        <f t="shared" si="240"/>
        <v>6202152</v>
      </c>
      <c r="AR572" s="16">
        <f t="shared" si="257"/>
        <v>372129.12</v>
      </c>
      <c r="AS572" s="16">
        <f t="shared" si="241"/>
        <v>40934.203199999996</v>
      </c>
      <c r="AT572" s="16">
        <f t="shared" si="242"/>
        <v>-7442.5824000000002</v>
      </c>
      <c r="AU572" s="16">
        <f t="shared" si="243"/>
        <v>6566838.5376000004</v>
      </c>
      <c r="AV572" s="16">
        <f t="shared" si="244"/>
        <v>6574281.1200000001</v>
      </c>
      <c r="AW572" s="16">
        <f t="shared" si="245"/>
        <v>171900</v>
      </c>
      <c r="AX572" s="16" t="s">
        <v>243</v>
      </c>
      <c r="AZ572" s="17">
        <f t="shared" si="253"/>
        <v>0</v>
      </c>
      <c r="BA572" s="16">
        <f t="shared" si="246"/>
        <v>5558100</v>
      </c>
      <c r="BB572" s="16">
        <f t="shared" si="247"/>
        <v>5558100</v>
      </c>
      <c r="BC572" s="15">
        <v>0.02</v>
      </c>
      <c r="BD572">
        <v>0.01</v>
      </c>
      <c r="BE572" s="37">
        <f t="shared" si="248"/>
        <v>0</v>
      </c>
      <c r="BF572" s="38">
        <f t="shared" si="249"/>
        <v>0</v>
      </c>
      <c r="BG572" s="37">
        <f t="shared" si="256"/>
        <v>269850</v>
      </c>
      <c r="BH572" s="37">
        <f t="shared" si="250"/>
        <v>286500</v>
      </c>
      <c r="BI572">
        <v>269850</v>
      </c>
      <c r="BK572" s="48"/>
      <c r="BL572" s="8">
        <f t="shared" si="251"/>
        <v>0</v>
      </c>
      <c r="BM572" s="7" t="str">
        <f t="shared" si="258"/>
        <v>Tidak Terdaftar</v>
      </c>
      <c r="BN572" s="11">
        <f t="shared" si="261"/>
        <v>212010.00000000003</v>
      </c>
      <c r="BO572" s="11">
        <f t="shared" si="259"/>
        <v>260142.00000000003</v>
      </c>
      <c r="BP572" s="9">
        <f t="shared" si="252"/>
        <v>0</v>
      </c>
      <c r="BQ572" t="s">
        <v>8</v>
      </c>
    </row>
    <row r="573" spans="1:69" x14ac:dyDescent="0.3">
      <c r="A573" s="2">
        <v>572</v>
      </c>
      <c r="B573" s="5" t="s">
        <v>688</v>
      </c>
      <c r="C573" s="6" t="s">
        <v>241</v>
      </c>
      <c r="D573" s="6"/>
      <c r="E573" s="6" t="s">
        <v>73</v>
      </c>
      <c r="F573" s="6" t="s">
        <v>73</v>
      </c>
      <c r="G573" s="6"/>
      <c r="H573" s="6"/>
      <c r="K573" s="6">
        <v>800703</v>
      </c>
      <c r="L573" s="39"/>
      <c r="M573" s="6" t="s">
        <v>692</v>
      </c>
      <c r="N573" s="6" t="s">
        <v>692</v>
      </c>
      <c r="O573" s="6">
        <v>2923166081</v>
      </c>
      <c r="P573" s="48" t="s">
        <v>691</v>
      </c>
      <c r="Q573" s="6">
        <v>33085</v>
      </c>
      <c r="R573" s="6">
        <v>27510</v>
      </c>
      <c r="S573" s="5" t="str">
        <f>VLOOKUP(T573,'[1]Kode Posisi'!$A$3:$B$45,2,)</f>
        <v>Outsourcing Keamanan</v>
      </c>
      <c r="T573" s="36" t="s">
        <v>37</v>
      </c>
      <c r="V573" t="s">
        <v>690</v>
      </c>
      <c r="W573" s="5" t="s">
        <v>303</v>
      </c>
      <c r="X573" s="5" t="s">
        <v>622</v>
      </c>
      <c r="Y573" t="s">
        <v>473</v>
      </c>
      <c r="Z573" s="57" t="s">
        <v>689</v>
      </c>
      <c r="AA573" t="s">
        <v>688</v>
      </c>
      <c r="AB573" s="47">
        <v>5730000</v>
      </c>
      <c r="AC573" s="41">
        <v>5730000</v>
      </c>
      <c r="AD573" s="52" t="s">
        <v>177</v>
      </c>
      <c r="AI573" s="16">
        <v>0</v>
      </c>
      <c r="AK573" s="16"/>
      <c r="AL573" s="11">
        <f t="shared" si="236"/>
        <v>5730000</v>
      </c>
      <c r="AM573" s="16">
        <f t="shared" si="237"/>
        <v>472152</v>
      </c>
      <c r="AN573" s="16">
        <f t="shared" si="238"/>
        <v>229200</v>
      </c>
      <c r="AO573" s="16">
        <f t="shared" si="260"/>
        <v>242952</v>
      </c>
      <c r="AP573" s="16">
        <f t="shared" si="239"/>
        <v>0</v>
      </c>
      <c r="AQ573" s="16">
        <f t="shared" si="240"/>
        <v>6202152</v>
      </c>
      <c r="AR573" s="16">
        <f t="shared" si="257"/>
        <v>372129.12</v>
      </c>
      <c r="AS573" s="16">
        <f t="shared" si="241"/>
        <v>40934.203199999996</v>
      </c>
      <c r="AT573" s="16">
        <f t="shared" si="242"/>
        <v>-7442.5824000000002</v>
      </c>
      <c r="AU573" s="16">
        <f t="shared" si="243"/>
        <v>6566838.5376000004</v>
      </c>
      <c r="AV573" s="16">
        <f t="shared" si="244"/>
        <v>6574281.1200000001</v>
      </c>
      <c r="AW573" s="16">
        <f t="shared" si="245"/>
        <v>171900</v>
      </c>
      <c r="AX573" s="16" t="s">
        <v>235</v>
      </c>
      <c r="AZ573" s="17">
        <f t="shared" si="253"/>
        <v>2900</v>
      </c>
      <c r="BA573" s="16">
        <f t="shared" si="246"/>
        <v>5558100</v>
      </c>
      <c r="BB573" s="16">
        <f t="shared" si="247"/>
        <v>5555200</v>
      </c>
      <c r="BC573" s="15">
        <v>0.02</v>
      </c>
      <c r="BD573">
        <v>0.01</v>
      </c>
      <c r="BE573" s="37">
        <f t="shared" si="248"/>
        <v>0</v>
      </c>
      <c r="BF573" s="38">
        <f t="shared" si="249"/>
        <v>0</v>
      </c>
      <c r="BG573" s="37">
        <f t="shared" si="256"/>
        <v>269850</v>
      </c>
      <c r="BH573" s="37">
        <f t="shared" si="250"/>
        <v>286500</v>
      </c>
      <c r="BI573">
        <v>269850</v>
      </c>
      <c r="BJ573" s="2">
        <v>269850</v>
      </c>
      <c r="BK573" s="48"/>
      <c r="BL573" s="8">
        <f t="shared" si="251"/>
        <v>0</v>
      </c>
      <c r="BM573" s="7" t="str">
        <f t="shared" si="258"/>
        <v>Tidak Terdaftar</v>
      </c>
      <c r="BN573" s="11">
        <f t="shared" si="261"/>
        <v>212010.00000000003</v>
      </c>
      <c r="BO573" s="11">
        <f t="shared" si="259"/>
        <v>260142.00000000003</v>
      </c>
      <c r="BP573" s="9">
        <f t="shared" si="252"/>
        <v>0</v>
      </c>
      <c r="BQ573" t="s">
        <v>8</v>
      </c>
    </row>
    <row r="574" spans="1:69" x14ac:dyDescent="0.3">
      <c r="A574" s="2">
        <v>573</v>
      </c>
      <c r="B574" s="5" t="s">
        <v>687</v>
      </c>
      <c r="C574" s="6" t="s">
        <v>241</v>
      </c>
      <c r="D574" s="6"/>
      <c r="E574" s="6" t="s">
        <v>73</v>
      </c>
      <c r="F574" s="6" t="s">
        <v>73</v>
      </c>
      <c r="G574" s="6"/>
      <c r="H574" s="6"/>
      <c r="K574" s="6">
        <v>800704</v>
      </c>
      <c r="L574" s="39"/>
      <c r="M574" s="6"/>
      <c r="N574" s="6" t="s">
        <v>686</v>
      </c>
      <c r="O574" s="6">
        <v>1432652477</v>
      </c>
      <c r="P574" s="48" t="s">
        <v>685</v>
      </c>
      <c r="Q574" s="6">
        <v>33085</v>
      </c>
      <c r="R574" s="6">
        <v>27510</v>
      </c>
      <c r="S574" s="5" t="str">
        <f>VLOOKUP(T574,'[1]Kode Posisi'!$A$3:$B$45,2,)</f>
        <v>Outsourcing Keamanan</v>
      </c>
      <c r="T574" s="36" t="s">
        <v>37</v>
      </c>
      <c r="V574" t="s">
        <v>684</v>
      </c>
      <c r="W574" s="5" t="s">
        <v>303</v>
      </c>
      <c r="X574" s="5" t="s">
        <v>622</v>
      </c>
      <c r="Y574" t="s">
        <v>473</v>
      </c>
      <c r="Z574" s="57" t="s">
        <v>683</v>
      </c>
      <c r="AA574" t="s">
        <v>682</v>
      </c>
      <c r="AB574" s="47">
        <v>5730000</v>
      </c>
      <c r="AC574" s="41">
        <v>5730000</v>
      </c>
      <c r="AD574" s="52" t="s">
        <v>177</v>
      </c>
      <c r="AI574" s="16">
        <v>0</v>
      </c>
      <c r="AK574" s="16"/>
      <c r="AL574" s="11">
        <f t="shared" si="236"/>
        <v>5730000</v>
      </c>
      <c r="AM574" s="16">
        <f t="shared" si="237"/>
        <v>472152</v>
      </c>
      <c r="AN574" s="16">
        <f t="shared" si="238"/>
        <v>229200</v>
      </c>
      <c r="AO574" s="16">
        <f t="shared" si="260"/>
        <v>242952</v>
      </c>
      <c r="AP574" s="16">
        <f t="shared" si="239"/>
        <v>0</v>
      </c>
      <c r="AQ574" s="16">
        <f t="shared" si="240"/>
        <v>6202152</v>
      </c>
      <c r="AR574" s="16">
        <f t="shared" si="257"/>
        <v>372129.12</v>
      </c>
      <c r="AS574" s="16">
        <f t="shared" si="241"/>
        <v>40934.203199999996</v>
      </c>
      <c r="AT574" s="16">
        <f t="shared" si="242"/>
        <v>-7442.5824000000002</v>
      </c>
      <c r="AU574" s="16">
        <f t="shared" si="243"/>
        <v>6566838.5376000004</v>
      </c>
      <c r="AV574" s="16">
        <f t="shared" si="244"/>
        <v>6574281.1200000001</v>
      </c>
      <c r="AW574" s="16">
        <f t="shared" si="245"/>
        <v>171900</v>
      </c>
      <c r="AX574" s="16" t="s">
        <v>286</v>
      </c>
      <c r="AZ574" s="17">
        <f t="shared" si="253"/>
        <v>2900</v>
      </c>
      <c r="BA574" s="16">
        <f t="shared" si="246"/>
        <v>5558100</v>
      </c>
      <c r="BB574" s="16">
        <f t="shared" si="247"/>
        <v>5555200</v>
      </c>
      <c r="BC574" s="15">
        <v>0.02</v>
      </c>
      <c r="BD574">
        <v>0.01</v>
      </c>
      <c r="BE574" s="37">
        <f t="shared" si="248"/>
        <v>0</v>
      </c>
      <c r="BF574" s="38">
        <f t="shared" si="249"/>
        <v>0</v>
      </c>
      <c r="BG574" s="37">
        <f t="shared" si="256"/>
        <v>269850</v>
      </c>
      <c r="BH574" s="37">
        <f t="shared" si="250"/>
        <v>286500</v>
      </c>
      <c r="BI574">
        <v>269850</v>
      </c>
      <c r="BK574" s="48"/>
      <c r="BL574" s="8">
        <f t="shared" si="251"/>
        <v>0</v>
      </c>
      <c r="BM574" s="7" t="str">
        <f t="shared" si="258"/>
        <v>Tidak Terdaftar</v>
      </c>
      <c r="BN574" s="11">
        <f t="shared" si="261"/>
        <v>212010.00000000003</v>
      </c>
      <c r="BO574" s="11">
        <f t="shared" si="259"/>
        <v>260142.00000000003</v>
      </c>
      <c r="BP574" s="9">
        <f t="shared" si="252"/>
        <v>0</v>
      </c>
      <c r="BQ574" t="s">
        <v>8</v>
      </c>
    </row>
    <row r="575" spans="1:69" x14ac:dyDescent="0.3">
      <c r="A575" s="2">
        <v>574</v>
      </c>
      <c r="B575" s="5" t="s">
        <v>681</v>
      </c>
      <c r="C575" s="6" t="s">
        <v>241</v>
      </c>
      <c r="D575" s="6"/>
      <c r="E575" s="6" t="s">
        <v>73</v>
      </c>
      <c r="F575" s="6" t="s">
        <v>73</v>
      </c>
      <c r="G575" s="6"/>
      <c r="H575" s="6"/>
      <c r="K575" s="6">
        <v>800705</v>
      </c>
      <c r="L575" s="39"/>
      <c r="M575" s="6"/>
      <c r="N575" s="6" t="s">
        <v>680</v>
      </c>
      <c r="O575" s="6">
        <v>1292780294</v>
      </c>
      <c r="P575" s="48" t="s">
        <v>679</v>
      </c>
      <c r="Q575" s="6">
        <v>33085</v>
      </c>
      <c r="R575" s="6">
        <v>27510</v>
      </c>
      <c r="S575" s="5" t="str">
        <f>VLOOKUP(T575,'[1]Kode Posisi'!$A$3:$B$45,2,)</f>
        <v>Outsourcing Keamanan</v>
      </c>
      <c r="T575" s="36" t="s">
        <v>37</v>
      </c>
      <c r="V575" t="s">
        <v>678</v>
      </c>
      <c r="W575" s="5" t="s">
        <v>303</v>
      </c>
      <c r="X575" s="5" t="s">
        <v>622</v>
      </c>
      <c r="Y575" t="s">
        <v>473</v>
      </c>
      <c r="Z575" s="57" t="s">
        <v>677</v>
      </c>
      <c r="AA575" t="s">
        <v>676</v>
      </c>
      <c r="AB575" s="47">
        <v>5730000</v>
      </c>
      <c r="AC575" s="41">
        <v>5730000</v>
      </c>
      <c r="AD575" s="52" t="s">
        <v>177</v>
      </c>
      <c r="AI575" s="16">
        <v>0</v>
      </c>
      <c r="AK575" s="16"/>
      <c r="AL575" s="11">
        <f t="shared" si="236"/>
        <v>5730000</v>
      </c>
      <c r="AM575" s="16">
        <f t="shared" si="237"/>
        <v>472152</v>
      </c>
      <c r="AN575" s="16">
        <f t="shared" si="238"/>
        <v>229200</v>
      </c>
      <c r="AO575" s="16">
        <f t="shared" si="260"/>
        <v>242952</v>
      </c>
      <c r="AP575" s="16">
        <f t="shared" si="239"/>
        <v>0</v>
      </c>
      <c r="AQ575" s="16">
        <f t="shared" si="240"/>
        <v>6202152</v>
      </c>
      <c r="AR575" s="16">
        <f t="shared" si="257"/>
        <v>372129.12</v>
      </c>
      <c r="AS575" s="16">
        <f t="shared" si="241"/>
        <v>40934.203199999996</v>
      </c>
      <c r="AT575" s="16">
        <f t="shared" si="242"/>
        <v>-7442.5824000000002</v>
      </c>
      <c r="AU575" s="16">
        <f t="shared" si="243"/>
        <v>6566838.5376000004</v>
      </c>
      <c r="AV575" s="16">
        <f t="shared" si="244"/>
        <v>6574281.1200000001</v>
      </c>
      <c r="AW575" s="16">
        <f t="shared" si="245"/>
        <v>171900</v>
      </c>
      <c r="AX575" s="16" t="s">
        <v>286</v>
      </c>
      <c r="AZ575" s="17">
        <f t="shared" si="253"/>
        <v>2900</v>
      </c>
      <c r="BA575" s="16">
        <f t="shared" si="246"/>
        <v>5558100</v>
      </c>
      <c r="BB575" s="16">
        <f t="shared" si="247"/>
        <v>5555200</v>
      </c>
      <c r="BC575" s="15">
        <v>0.02</v>
      </c>
      <c r="BD575">
        <v>0.01</v>
      </c>
      <c r="BE575" s="37">
        <f t="shared" si="248"/>
        <v>0</v>
      </c>
      <c r="BF575" s="38">
        <f t="shared" si="249"/>
        <v>0</v>
      </c>
      <c r="BG575" s="37">
        <f t="shared" si="256"/>
        <v>269850</v>
      </c>
      <c r="BH575" s="37">
        <f t="shared" si="250"/>
        <v>286500</v>
      </c>
      <c r="BI575">
        <v>269850</v>
      </c>
      <c r="BK575" s="48"/>
      <c r="BL575" s="8">
        <f t="shared" si="251"/>
        <v>0</v>
      </c>
      <c r="BM575" s="7" t="str">
        <f t="shared" si="258"/>
        <v>Tidak Terdaftar</v>
      </c>
      <c r="BN575" s="11">
        <f t="shared" si="261"/>
        <v>212010.00000000003</v>
      </c>
      <c r="BO575" s="11">
        <f t="shared" si="259"/>
        <v>260142.00000000003</v>
      </c>
      <c r="BP575" s="9">
        <f t="shared" si="252"/>
        <v>0</v>
      </c>
      <c r="BQ575" t="s">
        <v>8</v>
      </c>
    </row>
    <row r="576" spans="1:69" x14ac:dyDescent="0.3">
      <c r="A576" s="2">
        <v>575</v>
      </c>
      <c r="B576" s="5" t="s">
        <v>675</v>
      </c>
      <c r="C576" s="6" t="s">
        <v>241</v>
      </c>
      <c r="D576" s="6"/>
      <c r="E576" s="6" t="s">
        <v>73</v>
      </c>
      <c r="F576" s="6" t="s">
        <v>73</v>
      </c>
      <c r="G576" s="6"/>
      <c r="H576" s="6"/>
      <c r="K576" s="6">
        <v>800706</v>
      </c>
      <c r="L576" s="39"/>
      <c r="M576" s="6"/>
      <c r="N576" s="6" t="s">
        <v>674</v>
      </c>
      <c r="O576" s="6">
        <v>1155446954</v>
      </c>
      <c r="P576" s="48" t="s">
        <v>673</v>
      </c>
      <c r="Q576" s="6">
        <v>33085</v>
      </c>
      <c r="R576" s="6">
        <v>27510</v>
      </c>
      <c r="S576" s="5" t="str">
        <f>VLOOKUP(T576,'[1]Kode Posisi'!$A$3:$B$45,2,)</f>
        <v>Outsourcing Petugas Administrasi</v>
      </c>
      <c r="T576" t="s">
        <v>35</v>
      </c>
      <c r="V576" t="s">
        <v>672</v>
      </c>
      <c r="W576" s="5" t="s">
        <v>303</v>
      </c>
      <c r="X576" s="5" t="s">
        <v>622</v>
      </c>
      <c r="Y576" t="s">
        <v>52</v>
      </c>
      <c r="Z576" s="46">
        <v>6281043347</v>
      </c>
      <c r="AA576" t="s">
        <v>671</v>
      </c>
      <c r="AB576" s="47">
        <v>5730000</v>
      </c>
      <c r="AC576" s="41">
        <v>5730000</v>
      </c>
      <c r="AD576" s="52" t="s">
        <v>177</v>
      </c>
      <c r="AI576" s="16">
        <v>0</v>
      </c>
      <c r="AK576" s="16"/>
      <c r="AL576" s="11">
        <f t="shared" si="236"/>
        <v>5730000</v>
      </c>
      <c r="AM576" s="16">
        <f t="shared" si="237"/>
        <v>472152</v>
      </c>
      <c r="AN576" s="16">
        <f t="shared" si="238"/>
        <v>229200</v>
      </c>
      <c r="AO576" s="16">
        <f t="shared" si="260"/>
        <v>242952</v>
      </c>
      <c r="AP576" s="16">
        <f t="shared" si="239"/>
        <v>0</v>
      </c>
      <c r="AQ576" s="16">
        <f t="shared" si="240"/>
        <v>6202152</v>
      </c>
      <c r="AR576" s="16">
        <f t="shared" si="257"/>
        <v>372129.12</v>
      </c>
      <c r="AS576" s="16">
        <f t="shared" si="241"/>
        <v>40934.203199999996</v>
      </c>
      <c r="AT576" s="16">
        <f t="shared" si="242"/>
        <v>-7442.5824000000002</v>
      </c>
      <c r="AU576" s="16">
        <f t="shared" si="243"/>
        <v>6566838.5376000004</v>
      </c>
      <c r="AV576" s="16">
        <f t="shared" si="244"/>
        <v>6574281.1200000001</v>
      </c>
      <c r="AW576" s="16">
        <f t="shared" si="245"/>
        <v>171900</v>
      </c>
      <c r="AX576" s="16" t="s">
        <v>319</v>
      </c>
      <c r="AZ576" s="17">
        <f t="shared" si="253"/>
        <v>0</v>
      </c>
      <c r="BA576" s="16">
        <f t="shared" si="246"/>
        <v>5558100</v>
      </c>
      <c r="BB576" s="16">
        <f t="shared" si="247"/>
        <v>5558100</v>
      </c>
      <c r="BC576" s="15">
        <v>0.02</v>
      </c>
      <c r="BD576">
        <v>0.01</v>
      </c>
      <c r="BE576" s="37">
        <f t="shared" si="248"/>
        <v>0</v>
      </c>
      <c r="BF576" s="38">
        <f t="shared" si="249"/>
        <v>0</v>
      </c>
      <c r="BG576" s="37">
        <f t="shared" si="256"/>
        <v>269850</v>
      </c>
      <c r="BH576" s="37">
        <f t="shared" si="250"/>
        <v>286500</v>
      </c>
      <c r="BI576">
        <v>269850</v>
      </c>
      <c r="BK576" s="48"/>
      <c r="BL576" s="8">
        <f t="shared" si="251"/>
        <v>0</v>
      </c>
      <c r="BM576" s="7" t="str">
        <f t="shared" si="258"/>
        <v>Tidak Terdaftar</v>
      </c>
      <c r="BN576" s="11">
        <f t="shared" si="261"/>
        <v>212010.00000000003</v>
      </c>
      <c r="BO576" s="11">
        <f t="shared" si="259"/>
        <v>260142.00000000003</v>
      </c>
      <c r="BP576" s="9">
        <f t="shared" si="252"/>
        <v>0</v>
      </c>
      <c r="BQ576" t="s">
        <v>8</v>
      </c>
    </row>
    <row r="577" spans="1:69" x14ac:dyDescent="0.3">
      <c r="A577" s="2">
        <v>576</v>
      </c>
      <c r="B577" s="5" t="s">
        <v>670</v>
      </c>
      <c r="C577" s="6" t="s">
        <v>241</v>
      </c>
      <c r="D577" s="6"/>
      <c r="E577" s="6" t="s">
        <v>73</v>
      </c>
      <c r="F577" s="6" t="s">
        <v>73</v>
      </c>
      <c r="G577" s="6"/>
      <c r="H577" s="6"/>
      <c r="K577" s="6">
        <v>800707</v>
      </c>
      <c r="L577" s="39"/>
      <c r="M577" s="6"/>
      <c r="N577" s="6" t="s">
        <v>669</v>
      </c>
      <c r="O577" s="6">
        <v>1744511826</v>
      </c>
      <c r="P577" s="48" t="s">
        <v>668</v>
      </c>
      <c r="Q577" s="6">
        <v>33085</v>
      </c>
      <c r="R577" s="6">
        <v>27510</v>
      </c>
      <c r="S577" s="5" t="str">
        <f>VLOOKUP(T577,'[1]Kode Posisi'!$A$3:$B$45,2,)</f>
        <v>Outsourcing Petugas Administrasi</v>
      </c>
      <c r="T577" t="s">
        <v>35</v>
      </c>
      <c r="V577" t="s">
        <v>667</v>
      </c>
      <c r="W577" s="5" t="s">
        <v>303</v>
      </c>
      <c r="X577" s="5" t="s">
        <v>622</v>
      </c>
      <c r="Y577" t="s">
        <v>52</v>
      </c>
      <c r="Z577" s="46">
        <v>8690923000</v>
      </c>
      <c r="AA577" t="s">
        <v>666</v>
      </c>
      <c r="AB577" s="47">
        <v>5730000</v>
      </c>
      <c r="AC577" s="41">
        <v>5730000</v>
      </c>
      <c r="AD577" s="52" t="s">
        <v>177</v>
      </c>
      <c r="AI577" s="16">
        <v>0</v>
      </c>
      <c r="AK577" s="16"/>
      <c r="AL577" s="11">
        <f t="shared" si="236"/>
        <v>5730000</v>
      </c>
      <c r="AM577" s="16">
        <f t="shared" si="237"/>
        <v>472152</v>
      </c>
      <c r="AN577" s="16">
        <f t="shared" si="238"/>
        <v>229200</v>
      </c>
      <c r="AO577" s="16">
        <f t="shared" si="260"/>
        <v>242952</v>
      </c>
      <c r="AP577" s="16">
        <f t="shared" si="239"/>
        <v>0</v>
      </c>
      <c r="AQ577" s="16">
        <f t="shared" si="240"/>
        <v>6202152</v>
      </c>
      <c r="AR577" s="16">
        <f t="shared" si="257"/>
        <v>372129.12</v>
      </c>
      <c r="AS577" s="16">
        <f t="shared" si="241"/>
        <v>40934.203199999996</v>
      </c>
      <c r="AT577" s="16">
        <f t="shared" si="242"/>
        <v>-7442.5824000000002</v>
      </c>
      <c r="AU577" s="16">
        <f t="shared" si="243"/>
        <v>6566838.5376000004</v>
      </c>
      <c r="AV577" s="16">
        <f t="shared" si="244"/>
        <v>6574281.1200000001</v>
      </c>
      <c r="AW577" s="16">
        <f t="shared" si="245"/>
        <v>171900</v>
      </c>
      <c r="AX577" s="16" t="s">
        <v>319</v>
      </c>
      <c r="AZ577" s="17">
        <f t="shared" si="253"/>
        <v>0</v>
      </c>
      <c r="BA577" s="16">
        <f t="shared" si="246"/>
        <v>5558100</v>
      </c>
      <c r="BB577" s="16">
        <f t="shared" si="247"/>
        <v>5558100</v>
      </c>
      <c r="BC577" s="15">
        <v>0.02</v>
      </c>
      <c r="BD577">
        <v>0.01</v>
      </c>
      <c r="BE577" s="37">
        <f t="shared" si="248"/>
        <v>0</v>
      </c>
      <c r="BF577" s="38">
        <f t="shared" si="249"/>
        <v>0</v>
      </c>
      <c r="BG577" s="37">
        <f t="shared" si="256"/>
        <v>269850</v>
      </c>
      <c r="BH577" s="37">
        <f t="shared" si="250"/>
        <v>286500</v>
      </c>
      <c r="BI577">
        <v>269850</v>
      </c>
      <c r="BK577" s="48"/>
      <c r="BL577" s="8">
        <f t="shared" si="251"/>
        <v>0</v>
      </c>
      <c r="BM577" s="7" t="str">
        <f t="shared" si="258"/>
        <v>Tidak Terdaftar</v>
      </c>
      <c r="BN577" s="11">
        <f t="shared" si="261"/>
        <v>212010.00000000003</v>
      </c>
      <c r="BO577" s="11">
        <f t="shared" si="259"/>
        <v>260142.00000000003</v>
      </c>
      <c r="BP577" s="9">
        <f t="shared" si="252"/>
        <v>0</v>
      </c>
      <c r="BQ577" t="s">
        <v>8</v>
      </c>
    </row>
    <row r="578" spans="1:69" x14ac:dyDescent="0.3">
      <c r="A578" s="2">
        <v>577</v>
      </c>
      <c r="B578" s="5" t="s">
        <v>665</v>
      </c>
      <c r="C578" s="6" t="s">
        <v>241</v>
      </c>
      <c r="D578" s="6"/>
      <c r="E578" s="6" t="s">
        <v>73</v>
      </c>
      <c r="F578" s="6" t="s">
        <v>73</v>
      </c>
      <c r="G578" s="6"/>
      <c r="H578" s="6"/>
      <c r="K578" s="6">
        <v>800708</v>
      </c>
      <c r="L578" s="39"/>
      <c r="M578" s="6"/>
      <c r="N578" s="6" t="s">
        <v>664</v>
      </c>
      <c r="O578" s="6">
        <v>2081783777</v>
      </c>
      <c r="P578" s="48" t="s">
        <v>663</v>
      </c>
      <c r="Q578" s="6">
        <v>33085</v>
      </c>
      <c r="R578" s="6">
        <v>27510</v>
      </c>
      <c r="S578" s="5" t="str">
        <f>VLOOKUP(T578,'[1]Kode Posisi'!$A$3:$B$45,2,)</f>
        <v>Outsourcing Petugas Administrasi</v>
      </c>
      <c r="T578" t="s">
        <v>35</v>
      </c>
      <c r="V578" t="s">
        <v>662</v>
      </c>
      <c r="W578" s="5" t="s">
        <v>303</v>
      </c>
      <c r="X578" s="5" t="s">
        <v>622</v>
      </c>
      <c r="Y578" t="s">
        <v>52</v>
      </c>
      <c r="Z578" s="46">
        <v>6330699874</v>
      </c>
      <c r="AA578" t="s">
        <v>661</v>
      </c>
      <c r="AB578" s="47">
        <v>5730000</v>
      </c>
      <c r="AC578" s="41">
        <v>5730000</v>
      </c>
      <c r="AD578" s="52" t="s">
        <v>177</v>
      </c>
      <c r="AI578" s="16">
        <v>155982.65895953757</v>
      </c>
      <c r="AK578" s="16"/>
      <c r="AL578" s="11">
        <f t="shared" ref="AL578:AL641" si="262">SUM(AB578,AF578,AG578:AJ578)-AK578</f>
        <v>5885982.6589595377</v>
      </c>
      <c r="AM578" s="16">
        <f t="shared" ref="AM578:AM641" si="263">SUM(AN578:AO578)</f>
        <v>472152</v>
      </c>
      <c r="AN578" s="16">
        <f t="shared" ref="AN578:AN641" si="264">IF(BD578=0.01,AC578*0.04,0)</f>
        <v>229200</v>
      </c>
      <c r="AO578" s="16">
        <f t="shared" si="260"/>
        <v>242952</v>
      </c>
      <c r="AP578" s="16">
        <f t="shared" ref="AP578:AP641" si="265">IF(BC578=0.03,0.037*(AB578+AF578),0)</f>
        <v>0</v>
      </c>
      <c r="AQ578" s="16">
        <f t="shared" ref="AQ578:AQ641" si="266">SUM(AL578:AM578)</f>
        <v>6358134.6589595377</v>
      </c>
      <c r="AR578" s="16">
        <f t="shared" si="257"/>
        <v>381488.07953757222</v>
      </c>
      <c r="AS578" s="16">
        <f t="shared" ref="AS578:AS641" si="267">SUM(AR578*0.11)</f>
        <v>41963.688749132947</v>
      </c>
      <c r="AT578" s="16">
        <f t="shared" ref="AT578:AT641" si="268">SUM(AR578*-0.02)</f>
        <v>-7629.7615907514446</v>
      </c>
      <c r="AU578" s="16">
        <f t="shared" ref="AU578:AU641" si="269">(AQ578+AR578)+AT578</f>
        <v>6731992.9769063583</v>
      </c>
      <c r="AV578" s="16">
        <f t="shared" ref="AV578:AV641" si="270">SUM(AQ578+AR578)</f>
        <v>6739622.7384971101</v>
      </c>
      <c r="AW578" s="16">
        <f t="shared" ref="AW578:AW641" si="271">SUM(AC578)*SUM(BC578,BD578)</f>
        <v>171900</v>
      </c>
      <c r="AX578" s="16" t="s">
        <v>286</v>
      </c>
      <c r="AZ578" s="17">
        <f t="shared" si="253"/>
        <v>0</v>
      </c>
      <c r="BA578" s="16">
        <f t="shared" ref="BA578:BA641" si="272">SUM(AL578-AW578,AY578)</f>
        <v>5714082.6589595377</v>
      </c>
      <c r="BB578" s="16">
        <f t="shared" ref="BB578:BB641" si="273">SUM(AL578-AW578,AY578)-AZ578</f>
        <v>5714082.6589595377</v>
      </c>
      <c r="BC578" s="15">
        <v>0.02</v>
      </c>
      <c r="BD578">
        <v>0.01</v>
      </c>
      <c r="BE578" s="37">
        <f t="shared" ref="BE578:BE641" si="274">IF(BC578=0.03,AC578*9.24%,0)</f>
        <v>0</v>
      </c>
      <c r="BF578" s="38">
        <f t="shared" ref="BF578:BF641" si="275">IF(BC578=0.03,0.057/0.0924*BE578,0)</f>
        <v>0</v>
      </c>
      <c r="BG578" s="37">
        <f t="shared" si="256"/>
        <v>269850</v>
      </c>
      <c r="BH578" s="37">
        <f t="shared" ref="BH578:BH641" si="276">IF(BD578=0.01,AC578*5%,0)</f>
        <v>286500</v>
      </c>
      <c r="BI578">
        <v>269850</v>
      </c>
      <c r="BK578" s="48"/>
      <c r="BL578" s="8">
        <f t="shared" ref="BL578:BL641" si="277">SUM(AF578:AJ578)-AK578</f>
        <v>155982.65895953757</v>
      </c>
      <c r="BM578" s="7" t="str">
        <f t="shared" si="258"/>
        <v>Tidak Terdaftar</v>
      </c>
      <c r="BN578" s="11">
        <f t="shared" si="261"/>
        <v>212010.00000000003</v>
      </c>
      <c r="BO578" s="11">
        <f t="shared" si="259"/>
        <v>260142.00000000003</v>
      </c>
      <c r="BP578" s="9">
        <f t="shared" ref="BP578:BP641" si="278">AM578-BN578-BO578</f>
        <v>0</v>
      </c>
      <c r="BQ578" t="s">
        <v>8</v>
      </c>
    </row>
    <row r="579" spans="1:69" x14ac:dyDescent="0.3">
      <c r="A579" s="2">
        <v>578</v>
      </c>
      <c r="B579" s="5" t="s">
        <v>660</v>
      </c>
      <c r="C579" s="6" t="s">
        <v>241</v>
      </c>
      <c r="D579" s="6"/>
      <c r="E579" s="6" t="s">
        <v>73</v>
      </c>
      <c r="F579" s="6" t="s">
        <v>73</v>
      </c>
      <c r="G579" s="6"/>
      <c r="H579" s="6"/>
      <c r="K579" s="6">
        <v>800709</v>
      </c>
      <c r="L579" s="39"/>
      <c r="M579" s="6"/>
      <c r="N579" s="6" t="s">
        <v>659</v>
      </c>
      <c r="O579" s="6">
        <v>2097506474</v>
      </c>
      <c r="P579" s="48" t="s">
        <v>658</v>
      </c>
      <c r="Q579" s="6">
        <v>33085</v>
      </c>
      <c r="R579" s="6">
        <v>27510</v>
      </c>
      <c r="S579" s="5" t="str">
        <f>VLOOKUP(T579,'[1]Kode Posisi'!$A$3:$B$45,2,)</f>
        <v>Outsourcing Petugas Administrasi</v>
      </c>
      <c r="T579" t="s">
        <v>35</v>
      </c>
      <c r="V579" t="s">
        <v>657</v>
      </c>
      <c r="W579" s="5" t="s">
        <v>303</v>
      </c>
      <c r="X579" s="5" t="s">
        <v>622</v>
      </c>
      <c r="Y579" t="s">
        <v>52</v>
      </c>
      <c r="Z579" s="46">
        <v>7275306860</v>
      </c>
      <c r="AA579" t="s">
        <v>656</v>
      </c>
      <c r="AB579" s="47">
        <v>5730000</v>
      </c>
      <c r="AC579" s="41">
        <v>5730000</v>
      </c>
      <c r="AD579" s="52" t="s">
        <v>177</v>
      </c>
      <c r="AI579" s="16">
        <v>0</v>
      </c>
      <c r="AK579" s="16"/>
      <c r="AL579" s="11">
        <f t="shared" si="262"/>
        <v>5730000</v>
      </c>
      <c r="AM579" s="16">
        <f t="shared" si="263"/>
        <v>472152</v>
      </c>
      <c r="AN579" s="16">
        <f t="shared" si="264"/>
        <v>229200</v>
      </c>
      <c r="AO579" s="16">
        <f t="shared" si="260"/>
        <v>242952</v>
      </c>
      <c r="AP579" s="16">
        <f t="shared" si="265"/>
        <v>0</v>
      </c>
      <c r="AQ579" s="16">
        <f t="shared" si="266"/>
        <v>6202152</v>
      </c>
      <c r="AR579" s="16">
        <f t="shared" si="257"/>
        <v>372129.12</v>
      </c>
      <c r="AS579" s="16">
        <f t="shared" si="267"/>
        <v>40934.203199999996</v>
      </c>
      <c r="AT579" s="16">
        <f t="shared" si="268"/>
        <v>-7442.5824000000002</v>
      </c>
      <c r="AU579" s="16">
        <f t="shared" si="269"/>
        <v>6566838.5376000004</v>
      </c>
      <c r="AV579" s="16">
        <f t="shared" si="270"/>
        <v>6574281.1200000001</v>
      </c>
      <c r="AW579" s="16">
        <f t="shared" si="271"/>
        <v>171900</v>
      </c>
      <c r="AX579" s="16" t="s">
        <v>503</v>
      </c>
      <c r="AZ579" s="17">
        <f t="shared" si="253"/>
        <v>0</v>
      </c>
      <c r="BA579" s="16">
        <f t="shared" si="272"/>
        <v>5558100</v>
      </c>
      <c r="BB579" s="16">
        <f t="shared" si="273"/>
        <v>5558100</v>
      </c>
      <c r="BC579" s="15">
        <v>0.02</v>
      </c>
      <c r="BD579">
        <v>0.01</v>
      </c>
      <c r="BE579" s="37">
        <f t="shared" si="274"/>
        <v>0</v>
      </c>
      <c r="BF579" s="38">
        <f t="shared" si="275"/>
        <v>0</v>
      </c>
      <c r="BG579" s="37">
        <f t="shared" si="256"/>
        <v>269850</v>
      </c>
      <c r="BH579" s="37">
        <f t="shared" si="276"/>
        <v>286500</v>
      </c>
      <c r="BI579">
        <v>269850</v>
      </c>
      <c r="BK579" s="48"/>
      <c r="BL579" s="8">
        <f t="shared" si="277"/>
        <v>0</v>
      </c>
      <c r="BM579" s="7" t="str">
        <f t="shared" si="258"/>
        <v>Tidak Terdaftar</v>
      </c>
      <c r="BN579" s="11">
        <f t="shared" si="261"/>
        <v>212010.00000000003</v>
      </c>
      <c r="BO579" s="11">
        <f t="shared" si="259"/>
        <v>260142.00000000003</v>
      </c>
      <c r="BP579" s="9">
        <f t="shared" si="278"/>
        <v>0</v>
      </c>
      <c r="BQ579" t="s">
        <v>8</v>
      </c>
    </row>
    <row r="580" spans="1:69" x14ac:dyDescent="0.3">
      <c r="A580" s="2">
        <v>579</v>
      </c>
      <c r="B580" s="5" t="s">
        <v>655</v>
      </c>
      <c r="C580" s="6" t="s">
        <v>241</v>
      </c>
      <c r="D580" s="6"/>
      <c r="E580" s="6" t="s">
        <v>73</v>
      </c>
      <c r="F580" s="6" t="s">
        <v>73</v>
      </c>
      <c r="G580" s="6"/>
      <c r="H580" s="6"/>
      <c r="K580" s="6">
        <v>800710</v>
      </c>
      <c r="L580" s="39"/>
      <c r="M580" s="6"/>
      <c r="N580" s="6" t="s">
        <v>654</v>
      </c>
      <c r="O580" s="6">
        <v>1218114819</v>
      </c>
      <c r="P580" s="48" t="s">
        <v>653</v>
      </c>
      <c r="Q580" s="6">
        <v>33085</v>
      </c>
      <c r="R580" s="6">
        <v>27510</v>
      </c>
      <c r="S580" s="5" t="str">
        <f>VLOOKUP(T580,'[1]Kode Posisi'!$A$3:$B$45,2,)</f>
        <v>Outsourcing Petugas Gudang</v>
      </c>
      <c r="T580" t="s">
        <v>6</v>
      </c>
      <c r="V580" t="s">
        <v>652</v>
      </c>
      <c r="W580" s="5" t="s">
        <v>303</v>
      </c>
      <c r="X580" s="5" t="s">
        <v>622</v>
      </c>
      <c r="Y580" t="s">
        <v>63</v>
      </c>
      <c r="Z580" s="57" t="s">
        <v>651</v>
      </c>
      <c r="AA580" t="s">
        <v>650</v>
      </c>
      <c r="AB580" s="47">
        <v>5730000</v>
      </c>
      <c r="AC580" s="41">
        <v>5730000</v>
      </c>
      <c r="AD580" s="52" t="s">
        <v>177</v>
      </c>
      <c r="AI580" s="16">
        <v>93589.595375722536</v>
      </c>
      <c r="AK580" s="16"/>
      <c r="AL580" s="11">
        <f t="shared" si="262"/>
        <v>5823589.5953757223</v>
      </c>
      <c r="AM580" s="16">
        <f t="shared" si="263"/>
        <v>472152</v>
      </c>
      <c r="AN580" s="16">
        <f t="shared" si="264"/>
        <v>229200</v>
      </c>
      <c r="AO580" s="16">
        <f t="shared" si="260"/>
        <v>242952</v>
      </c>
      <c r="AP580" s="16">
        <f t="shared" si="265"/>
        <v>0</v>
      </c>
      <c r="AQ580" s="16">
        <f t="shared" si="266"/>
        <v>6295741.5953757223</v>
      </c>
      <c r="AR580" s="16">
        <f t="shared" si="257"/>
        <v>377744.49572254333</v>
      </c>
      <c r="AS580" s="16">
        <f t="shared" si="267"/>
        <v>41551.894529479767</v>
      </c>
      <c r="AT580" s="16">
        <f t="shared" si="268"/>
        <v>-7554.8899144508669</v>
      </c>
      <c r="AU580" s="16">
        <f t="shared" si="269"/>
        <v>6665931.2011838146</v>
      </c>
      <c r="AV580" s="16">
        <f t="shared" si="270"/>
        <v>6673486.0910982657</v>
      </c>
      <c r="AW580" s="16">
        <f t="shared" si="271"/>
        <v>171900</v>
      </c>
      <c r="AX580" s="16" t="s">
        <v>235</v>
      </c>
      <c r="AZ580" s="17">
        <f t="shared" si="253"/>
        <v>2900</v>
      </c>
      <c r="BA580" s="16">
        <f t="shared" si="272"/>
        <v>5651689.5953757223</v>
      </c>
      <c r="BB580" s="16">
        <f t="shared" si="273"/>
        <v>5648789.5953757223</v>
      </c>
      <c r="BC580" s="15">
        <v>0.02</v>
      </c>
      <c r="BD580">
        <v>0.01</v>
      </c>
      <c r="BE580" s="37">
        <f t="shared" si="274"/>
        <v>0</v>
      </c>
      <c r="BF580" s="38">
        <f t="shared" si="275"/>
        <v>0</v>
      </c>
      <c r="BG580" s="37">
        <f t="shared" si="256"/>
        <v>269850</v>
      </c>
      <c r="BH580" s="37">
        <f t="shared" si="276"/>
        <v>286500</v>
      </c>
      <c r="BI580">
        <v>269850</v>
      </c>
      <c r="BK580" s="48"/>
      <c r="BL580" s="8">
        <f t="shared" si="277"/>
        <v>93589.595375722536</v>
      </c>
      <c r="BM580" s="7" t="str">
        <f t="shared" si="258"/>
        <v>Tidak Terdaftar</v>
      </c>
      <c r="BN580" s="11">
        <f t="shared" si="261"/>
        <v>212010.00000000003</v>
      </c>
      <c r="BO580" s="11">
        <f t="shared" si="259"/>
        <v>260142.00000000003</v>
      </c>
      <c r="BP580" s="9">
        <f t="shared" si="278"/>
        <v>0</v>
      </c>
      <c r="BQ580" t="s">
        <v>8</v>
      </c>
    </row>
    <row r="581" spans="1:69" x14ac:dyDescent="0.3">
      <c r="A581" s="2">
        <v>580</v>
      </c>
      <c r="B581" s="5" t="s">
        <v>649</v>
      </c>
      <c r="C581" s="6" t="s">
        <v>241</v>
      </c>
      <c r="D581" s="6"/>
      <c r="E581" s="6" t="s">
        <v>73</v>
      </c>
      <c r="F581" s="6" t="s">
        <v>73</v>
      </c>
      <c r="G581" s="6"/>
      <c r="H581" s="6"/>
      <c r="K581" s="6">
        <v>800711</v>
      </c>
      <c r="L581" s="39"/>
      <c r="M581" s="6"/>
      <c r="N581" s="6" t="s">
        <v>648</v>
      </c>
      <c r="O581" s="6">
        <v>1380328716</v>
      </c>
      <c r="P581" s="48" t="s">
        <v>647</v>
      </c>
      <c r="Q581" s="6">
        <v>33085</v>
      </c>
      <c r="R581" s="6">
        <v>27510</v>
      </c>
      <c r="S581" s="5" t="str">
        <f>VLOOKUP(T581,'[1]Kode Posisi'!$A$3:$B$45,2,)</f>
        <v>Outsourcing Petugas Gudang</v>
      </c>
      <c r="T581" t="s">
        <v>2</v>
      </c>
      <c r="V581" s="18" t="s">
        <v>646</v>
      </c>
      <c r="W581" s="5" t="s">
        <v>303</v>
      </c>
      <c r="X581" s="5" t="s">
        <v>622</v>
      </c>
      <c r="Y581" t="s">
        <v>63</v>
      </c>
      <c r="Z581" s="46">
        <v>60007507100</v>
      </c>
      <c r="AA581" t="s">
        <v>645</v>
      </c>
      <c r="AB581" s="47">
        <v>5730000</v>
      </c>
      <c r="AC581" s="41">
        <v>5730000</v>
      </c>
      <c r="AD581" s="52" t="s">
        <v>177</v>
      </c>
      <c r="AI581" s="16">
        <v>311965.31791907514</v>
      </c>
      <c r="AK581" s="16"/>
      <c r="AL581" s="11">
        <f t="shared" si="262"/>
        <v>6041965.3179190755</v>
      </c>
      <c r="AM581" s="16">
        <f t="shared" si="263"/>
        <v>472152</v>
      </c>
      <c r="AN581" s="16">
        <f t="shared" si="264"/>
        <v>229200</v>
      </c>
      <c r="AO581" s="16">
        <f t="shared" si="260"/>
        <v>242952</v>
      </c>
      <c r="AP581" s="16">
        <f t="shared" si="265"/>
        <v>0</v>
      </c>
      <c r="AQ581" s="16">
        <f t="shared" si="266"/>
        <v>6514117.3179190755</v>
      </c>
      <c r="AR581" s="16">
        <f t="shared" si="257"/>
        <v>390847.03907514451</v>
      </c>
      <c r="AS581" s="16">
        <f t="shared" si="267"/>
        <v>42993.174298265898</v>
      </c>
      <c r="AT581" s="16">
        <f t="shared" si="268"/>
        <v>-7816.9407815028899</v>
      </c>
      <c r="AU581" s="16">
        <f t="shared" si="269"/>
        <v>6897147.4162127171</v>
      </c>
      <c r="AV581" s="16">
        <f t="shared" si="270"/>
        <v>6904964.3569942201</v>
      </c>
      <c r="AW581" s="16">
        <f t="shared" si="271"/>
        <v>171900</v>
      </c>
      <c r="AX581" s="16" t="s">
        <v>286</v>
      </c>
      <c r="AZ581" s="17">
        <f t="shared" si="253"/>
        <v>2900</v>
      </c>
      <c r="BA581" s="16">
        <f t="shared" si="272"/>
        <v>5870065.3179190755</v>
      </c>
      <c r="BB581" s="16">
        <f t="shared" si="273"/>
        <v>5867165.3179190755</v>
      </c>
      <c r="BC581" s="15">
        <v>0.02</v>
      </c>
      <c r="BD581">
        <v>0.01</v>
      </c>
      <c r="BE581" s="37">
        <f t="shared" si="274"/>
        <v>0</v>
      </c>
      <c r="BF581" s="38">
        <f t="shared" si="275"/>
        <v>0</v>
      </c>
      <c r="BG581" s="37">
        <f t="shared" si="256"/>
        <v>269850</v>
      </c>
      <c r="BH581" s="37">
        <f t="shared" si="276"/>
        <v>286500</v>
      </c>
      <c r="BI581">
        <v>269850</v>
      </c>
      <c r="BK581" s="48"/>
      <c r="BL581" s="8">
        <f t="shared" si="277"/>
        <v>311965.31791907514</v>
      </c>
      <c r="BM581" s="7" t="str">
        <f t="shared" si="258"/>
        <v>Tidak Terdaftar</v>
      </c>
      <c r="BN581" s="11">
        <f t="shared" si="261"/>
        <v>212010.00000000003</v>
      </c>
      <c r="BO581" s="11">
        <f t="shared" si="259"/>
        <v>260142.00000000003</v>
      </c>
      <c r="BP581" s="9">
        <f t="shared" si="278"/>
        <v>0</v>
      </c>
      <c r="BQ581" t="s">
        <v>8</v>
      </c>
    </row>
    <row r="582" spans="1:69" x14ac:dyDescent="0.3">
      <c r="A582" s="2">
        <v>581</v>
      </c>
      <c r="B582" s="5" t="s">
        <v>644</v>
      </c>
      <c r="C582" s="6" t="s">
        <v>241</v>
      </c>
      <c r="D582" s="6"/>
      <c r="E582" s="6" t="s">
        <v>73</v>
      </c>
      <c r="F582" s="6" t="s">
        <v>73</v>
      </c>
      <c r="G582" s="6"/>
      <c r="H582" s="6"/>
      <c r="K582" s="6">
        <v>800712</v>
      </c>
      <c r="L582" s="39"/>
      <c r="M582" s="6"/>
      <c r="N582" s="6" t="s">
        <v>643</v>
      </c>
      <c r="O582" s="6">
        <v>1216753582</v>
      </c>
      <c r="P582" s="48" t="s">
        <v>642</v>
      </c>
      <c r="Q582" s="6">
        <v>33085</v>
      </c>
      <c r="R582" s="6">
        <v>27510</v>
      </c>
      <c r="S582" s="5" t="str">
        <f>VLOOKUP(T582,'[1]Kode Posisi'!$A$3:$B$45,2,)</f>
        <v>Outsourcing Petugas Gudang</v>
      </c>
      <c r="T582" t="s">
        <v>2</v>
      </c>
      <c r="V582" t="s">
        <v>641</v>
      </c>
      <c r="W582" s="5" t="s">
        <v>303</v>
      </c>
      <c r="X582" s="5" t="s">
        <v>622</v>
      </c>
      <c r="Y582" t="s">
        <v>52</v>
      </c>
      <c r="Z582" s="57" t="s">
        <v>640</v>
      </c>
      <c r="AA582" t="s">
        <v>639</v>
      </c>
      <c r="AB582" s="47">
        <v>5730000</v>
      </c>
      <c r="AC582" s="41">
        <v>5730000</v>
      </c>
      <c r="AD582" s="52" t="s">
        <v>177</v>
      </c>
      <c r="AI582" s="16">
        <v>374358.38150289014</v>
      </c>
      <c r="AK582" s="16"/>
      <c r="AL582" s="11">
        <f t="shared" si="262"/>
        <v>6104358.38150289</v>
      </c>
      <c r="AM582" s="16">
        <f t="shared" si="263"/>
        <v>472152</v>
      </c>
      <c r="AN582" s="16">
        <f t="shared" si="264"/>
        <v>229200</v>
      </c>
      <c r="AO582" s="16">
        <f t="shared" si="260"/>
        <v>242952</v>
      </c>
      <c r="AP582" s="16">
        <f t="shared" si="265"/>
        <v>0</v>
      </c>
      <c r="AQ582" s="16">
        <f t="shared" si="266"/>
        <v>6576510.38150289</v>
      </c>
      <c r="AR582" s="16">
        <f t="shared" si="257"/>
        <v>394590.6228901734</v>
      </c>
      <c r="AS582" s="16">
        <f t="shared" si="267"/>
        <v>43404.968517919071</v>
      </c>
      <c r="AT582" s="16">
        <f t="shared" si="268"/>
        <v>-7891.8124578034685</v>
      </c>
      <c r="AU582" s="16">
        <f t="shared" si="269"/>
        <v>6963209.1919352598</v>
      </c>
      <c r="AV582" s="16">
        <f t="shared" si="270"/>
        <v>6971101.0043930635</v>
      </c>
      <c r="AW582" s="16">
        <f t="shared" si="271"/>
        <v>171900</v>
      </c>
      <c r="AX582" s="16" t="s">
        <v>91</v>
      </c>
      <c r="AZ582" s="17">
        <f t="shared" si="253"/>
        <v>0</v>
      </c>
      <c r="BA582" s="16">
        <f t="shared" si="272"/>
        <v>5932458.38150289</v>
      </c>
      <c r="BB582" s="16">
        <f t="shared" si="273"/>
        <v>5932458.38150289</v>
      </c>
      <c r="BC582" s="15">
        <v>0.02</v>
      </c>
      <c r="BD582">
        <v>0.01</v>
      </c>
      <c r="BE582" s="37">
        <f t="shared" si="274"/>
        <v>0</v>
      </c>
      <c r="BF582" s="38">
        <f t="shared" si="275"/>
        <v>0</v>
      </c>
      <c r="BG582" s="37">
        <f t="shared" si="256"/>
        <v>269850</v>
      </c>
      <c r="BH582" s="37">
        <f t="shared" si="276"/>
        <v>286500</v>
      </c>
      <c r="BI582">
        <v>269850</v>
      </c>
      <c r="BK582" s="48"/>
      <c r="BL582" s="8">
        <f t="shared" si="277"/>
        <v>374358.38150289014</v>
      </c>
      <c r="BM582" s="7" t="str">
        <f t="shared" si="258"/>
        <v>Tidak Terdaftar</v>
      </c>
      <c r="BN582" s="11">
        <f t="shared" si="261"/>
        <v>212010.00000000003</v>
      </c>
      <c r="BO582" s="11">
        <f t="shared" si="259"/>
        <v>260142.00000000003</v>
      </c>
      <c r="BP582" s="9">
        <f t="shared" si="278"/>
        <v>0</v>
      </c>
      <c r="BQ582" t="s">
        <v>8</v>
      </c>
    </row>
    <row r="583" spans="1:69" x14ac:dyDescent="0.3">
      <c r="A583" s="2">
        <v>582</v>
      </c>
      <c r="B583" s="5" t="s">
        <v>638</v>
      </c>
      <c r="C583" s="6" t="s">
        <v>241</v>
      </c>
      <c r="D583" s="6"/>
      <c r="E583" s="6" t="s">
        <v>73</v>
      </c>
      <c r="F583" s="6" t="s">
        <v>73</v>
      </c>
      <c r="G583" s="6"/>
      <c r="H583" s="6"/>
      <c r="J583" t="s">
        <v>637</v>
      </c>
      <c r="K583" s="6">
        <v>800713</v>
      </c>
      <c r="L583" s="39"/>
      <c r="M583" s="6"/>
      <c r="N583" s="6" t="s">
        <v>636</v>
      </c>
      <c r="O583" s="6">
        <v>379081495</v>
      </c>
      <c r="P583" s="48" t="s">
        <v>635</v>
      </c>
      <c r="Q583" s="6">
        <v>33085</v>
      </c>
      <c r="R583" s="6">
        <v>27510</v>
      </c>
      <c r="S583" s="5" t="str">
        <f>VLOOKUP(T583,'[1]Kode Posisi'!$A$3:$B$45,2,)</f>
        <v>Outsourcing Petugas Gudang</v>
      </c>
      <c r="T583" t="s">
        <v>2</v>
      </c>
      <c r="V583" t="s">
        <v>634</v>
      </c>
      <c r="W583" s="5" t="s">
        <v>303</v>
      </c>
      <c r="X583" s="5" t="s">
        <v>622</v>
      </c>
      <c r="Y583" t="s">
        <v>52</v>
      </c>
      <c r="Z583" s="46">
        <v>8710036153</v>
      </c>
      <c r="AA583" t="s">
        <v>633</v>
      </c>
      <c r="AB583" s="47">
        <v>5730000</v>
      </c>
      <c r="AC583" s="41">
        <v>5730000</v>
      </c>
      <c r="AD583" s="52" t="s">
        <v>177</v>
      </c>
      <c r="AI583" s="16">
        <v>779913.29479768779</v>
      </c>
      <c r="AK583" s="16"/>
      <c r="AL583" s="11">
        <f t="shared" si="262"/>
        <v>6509913.2947976878</v>
      </c>
      <c r="AM583" s="16">
        <f t="shared" si="263"/>
        <v>472152</v>
      </c>
      <c r="AN583" s="16">
        <f t="shared" si="264"/>
        <v>229200</v>
      </c>
      <c r="AO583" s="16">
        <f t="shared" si="260"/>
        <v>242952</v>
      </c>
      <c r="AP583" s="16">
        <f t="shared" si="265"/>
        <v>0</v>
      </c>
      <c r="AQ583" s="16">
        <f t="shared" si="266"/>
        <v>6982065.2947976878</v>
      </c>
      <c r="AR583" s="16">
        <f t="shared" si="257"/>
        <v>418923.91768786125</v>
      </c>
      <c r="AS583" s="16">
        <f t="shared" si="267"/>
        <v>46081.630945664736</v>
      </c>
      <c r="AT583" s="16">
        <f t="shared" si="268"/>
        <v>-8378.4783537572257</v>
      </c>
      <c r="AU583" s="16">
        <f t="shared" si="269"/>
        <v>7392610.7341317916</v>
      </c>
      <c r="AV583" s="16">
        <f t="shared" si="270"/>
        <v>7400989.212485549</v>
      </c>
      <c r="AW583" s="16">
        <f t="shared" si="271"/>
        <v>171900</v>
      </c>
      <c r="AX583" s="16" t="s">
        <v>91</v>
      </c>
      <c r="AZ583" s="17">
        <f t="shared" si="253"/>
        <v>0</v>
      </c>
      <c r="BA583" s="16">
        <f t="shared" si="272"/>
        <v>6338013.2947976878</v>
      </c>
      <c r="BB583" s="16">
        <f t="shared" si="273"/>
        <v>6338013.2947976878</v>
      </c>
      <c r="BC583" s="15">
        <v>0.02</v>
      </c>
      <c r="BD583">
        <v>0.01</v>
      </c>
      <c r="BE583" s="37">
        <f t="shared" si="274"/>
        <v>0</v>
      </c>
      <c r="BF583" s="38">
        <f t="shared" si="275"/>
        <v>0</v>
      </c>
      <c r="BG583" s="37">
        <f t="shared" si="256"/>
        <v>269850</v>
      </c>
      <c r="BH583" s="37">
        <f t="shared" si="276"/>
        <v>286500</v>
      </c>
      <c r="BI583">
        <v>269850</v>
      </c>
      <c r="BK583" s="48"/>
      <c r="BL583" s="8">
        <f t="shared" si="277"/>
        <v>779913.29479768779</v>
      </c>
      <c r="BM583" s="7" t="str">
        <f t="shared" si="258"/>
        <v>Tidak Terdaftar</v>
      </c>
      <c r="BN583" s="11">
        <f t="shared" si="261"/>
        <v>212010.00000000003</v>
      </c>
      <c r="BO583" s="11">
        <f t="shared" si="259"/>
        <v>260142.00000000003</v>
      </c>
      <c r="BP583" s="9">
        <f t="shared" si="278"/>
        <v>0</v>
      </c>
      <c r="BQ583" t="s">
        <v>8</v>
      </c>
    </row>
    <row r="584" spans="1:69" x14ac:dyDescent="0.3">
      <c r="A584" s="2">
        <v>583</v>
      </c>
      <c r="B584" s="5" t="s">
        <v>632</v>
      </c>
      <c r="C584" s="6" t="s">
        <v>309</v>
      </c>
      <c r="D584" s="6" t="s">
        <v>631</v>
      </c>
      <c r="E584" s="6" t="s">
        <v>73</v>
      </c>
      <c r="F584" s="6" t="s">
        <v>73</v>
      </c>
      <c r="G584" s="6"/>
      <c r="H584" s="6"/>
      <c r="K584" s="6">
        <v>800714</v>
      </c>
      <c r="L584" s="39"/>
      <c r="M584" s="6"/>
      <c r="N584" s="6" t="s">
        <v>630</v>
      </c>
      <c r="O584" s="6">
        <v>1444606929</v>
      </c>
      <c r="P584" s="48" t="s">
        <v>629</v>
      </c>
      <c r="Q584" s="6">
        <v>11196</v>
      </c>
      <c r="R584" s="6">
        <v>27591</v>
      </c>
      <c r="S584" s="5" t="str">
        <f>VLOOKUP(T584,'[1]Kode Posisi'!$A$3:$B$45,2,)</f>
        <v>Outsourcing Petugas Gudang</v>
      </c>
      <c r="T584" t="s">
        <v>2</v>
      </c>
      <c r="V584" t="s">
        <v>628</v>
      </c>
      <c r="W584" s="5" t="s">
        <v>303</v>
      </c>
      <c r="X584" s="5" t="s">
        <v>302</v>
      </c>
      <c r="Y584" t="s">
        <v>52</v>
      </c>
      <c r="Z584" s="46">
        <v>8770496463</v>
      </c>
      <c r="AA584" t="s">
        <v>627</v>
      </c>
      <c r="AB584" s="47">
        <v>5730000</v>
      </c>
      <c r="AC584" s="41">
        <v>5730000</v>
      </c>
      <c r="AD584" s="52" t="s">
        <v>177</v>
      </c>
      <c r="AI584" s="16">
        <v>311965.31791907514</v>
      </c>
      <c r="AK584" s="16"/>
      <c r="AL584" s="11">
        <f t="shared" si="262"/>
        <v>6041965.3179190755</v>
      </c>
      <c r="AM584" s="16">
        <f t="shared" si="263"/>
        <v>472152</v>
      </c>
      <c r="AN584" s="16">
        <f t="shared" si="264"/>
        <v>229200</v>
      </c>
      <c r="AO584" s="16">
        <f t="shared" si="260"/>
        <v>242952</v>
      </c>
      <c r="AP584" s="16">
        <f t="shared" si="265"/>
        <v>0</v>
      </c>
      <c r="AQ584" s="16">
        <f t="shared" si="266"/>
        <v>6514117.3179190755</v>
      </c>
      <c r="AR584" s="16">
        <f t="shared" si="257"/>
        <v>390847.03907514451</v>
      </c>
      <c r="AS584" s="16">
        <f t="shared" si="267"/>
        <v>42993.174298265898</v>
      </c>
      <c r="AT584" s="16">
        <f t="shared" si="268"/>
        <v>-7816.9407815028899</v>
      </c>
      <c r="AU584" s="16">
        <f t="shared" si="269"/>
        <v>6897147.4162127171</v>
      </c>
      <c r="AV584" s="16">
        <f t="shared" si="270"/>
        <v>6904964.3569942201</v>
      </c>
      <c r="AW584" s="16">
        <f t="shared" si="271"/>
        <v>171900</v>
      </c>
      <c r="AX584" s="16" t="s">
        <v>286</v>
      </c>
      <c r="AZ584" s="17">
        <f t="shared" ref="AZ584:AZ647" si="279">IF(Y584="BCA",0,2900)</f>
        <v>0</v>
      </c>
      <c r="BA584" s="16">
        <f t="shared" si="272"/>
        <v>5870065.3179190755</v>
      </c>
      <c r="BB584" s="16">
        <f t="shared" si="273"/>
        <v>5870065.3179190755</v>
      </c>
      <c r="BC584" s="15">
        <v>0.02</v>
      </c>
      <c r="BD584">
        <v>0.01</v>
      </c>
      <c r="BE584" s="37">
        <f t="shared" si="274"/>
        <v>0</v>
      </c>
      <c r="BF584" s="38">
        <f t="shared" si="275"/>
        <v>0</v>
      </c>
      <c r="BG584" s="37">
        <f t="shared" si="256"/>
        <v>269850</v>
      </c>
      <c r="BH584" s="37">
        <f t="shared" si="276"/>
        <v>286500</v>
      </c>
      <c r="BI584">
        <v>269850</v>
      </c>
      <c r="BK584" s="48"/>
      <c r="BL584" s="8">
        <f t="shared" si="277"/>
        <v>311965.31791907514</v>
      </c>
      <c r="BM584" s="7" t="str">
        <f t="shared" si="258"/>
        <v>Tidak Terdaftar</v>
      </c>
      <c r="BN584" s="11">
        <f t="shared" si="261"/>
        <v>212010.00000000003</v>
      </c>
      <c r="BO584" s="11">
        <f t="shared" si="259"/>
        <v>260142.00000000003</v>
      </c>
      <c r="BP584" s="9">
        <f t="shared" si="278"/>
        <v>0</v>
      </c>
      <c r="BQ584" t="s">
        <v>8</v>
      </c>
    </row>
    <row r="585" spans="1:69" x14ac:dyDescent="0.3">
      <c r="A585" s="2">
        <v>584</v>
      </c>
      <c r="B585" s="5" t="s">
        <v>626</v>
      </c>
      <c r="C585" s="6" t="s">
        <v>241</v>
      </c>
      <c r="D585" s="6"/>
      <c r="E585" s="6" t="s">
        <v>73</v>
      </c>
      <c r="F585" s="6" t="s">
        <v>73</v>
      </c>
      <c r="G585" s="6"/>
      <c r="H585" s="6"/>
      <c r="K585" s="6">
        <v>800715</v>
      </c>
      <c r="L585" s="39"/>
      <c r="M585" s="6"/>
      <c r="N585" s="6" t="s">
        <v>625</v>
      </c>
      <c r="O585" s="6">
        <v>1739197124</v>
      </c>
      <c r="P585" s="48" t="s">
        <v>624</v>
      </c>
      <c r="Q585" s="6">
        <v>33085</v>
      </c>
      <c r="R585" s="6">
        <v>27510</v>
      </c>
      <c r="S585" s="5" t="str">
        <f>VLOOKUP(T585,'[1]Kode Posisi'!$A$3:$B$45,2,)</f>
        <v>Outsourcing Petugas Gudang</v>
      </c>
      <c r="T585" t="s">
        <v>2</v>
      </c>
      <c r="V585" s="18" t="s">
        <v>623</v>
      </c>
      <c r="W585" s="5" t="s">
        <v>303</v>
      </c>
      <c r="X585" s="5" t="s">
        <v>622</v>
      </c>
      <c r="Y585" t="s">
        <v>52</v>
      </c>
      <c r="Z585" s="46">
        <v>8710219118</v>
      </c>
      <c r="AA585" t="s">
        <v>621</v>
      </c>
      <c r="AB585" s="47">
        <v>5730000</v>
      </c>
      <c r="AC585" s="41">
        <v>5730000</v>
      </c>
      <c r="AD585" s="52" t="s">
        <v>177</v>
      </c>
      <c r="AI585" s="16">
        <v>904699.42196531792</v>
      </c>
      <c r="AK585" s="16"/>
      <c r="AL585" s="11">
        <f t="shared" si="262"/>
        <v>6634699.4219653178</v>
      </c>
      <c r="AM585" s="16">
        <f t="shared" si="263"/>
        <v>472152</v>
      </c>
      <c r="AN585" s="16">
        <f t="shared" si="264"/>
        <v>229200</v>
      </c>
      <c r="AO585" s="16">
        <f t="shared" si="260"/>
        <v>242952</v>
      </c>
      <c r="AP585" s="16">
        <f t="shared" si="265"/>
        <v>0</v>
      </c>
      <c r="AQ585" s="16">
        <f t="shared" si="266"/>
        <v>7106851.4219653178</v>
      </c>
      <c r="AR585" s="16">
        <f t="shared" si="257"/>
        <v>426411.08531791903</v>
      </c>
      <c r="AS585" s="16">
        <f t="shared" si="267"/>
        <v>46905.219384971097</v>
      </c>
      <c r="AT585" s="16">
        <f t="shared" si="268"/>
        <v>-8528.2217063583812</v>
      </c>
      <c r="AU585" s="16">
        <f t="shared" si="269"/>
        <v>7524734.2855768781</v>
      </c>
      <c r="AV585" s="16">
        <f t="shared" si="270"/>
        <v>7533262.5072832368</v>
      </c>
      <c r="AW585" s="16">
        <f t="shared" si="271"/>
        <v>171900</v>
      </c>
      <c r="AX585" s="16" t="s">
        <v>319</v>
      </c>
      <c r="AZ585" s="17">
        <f t="shared" si="279"/>
        <v>0</v>
      </c>
      <c r="BA585" s="16">
        <f t="shared" si="272"/>
        <v>6462799.4219653178</v>
      </c>
      <c r="BB585" s="16">
        <f t="shared" si="273"/>
        <v>6462799.4219653178</v>
      </c>
      <c r="BC585" s="15">
        <v>0.02</v>
      </c>
      <c r="BD585">
        <v>0.01</v>
      </c>
      <c r="BE585" s="37">
        <f t="shared" si="274"/>
        <v>0</v>
      </c>
      <c r="BF585" s="38">
        <f t="shared" si="275"/>
        <v>0</v>
      </c>
      <c r="BG585" s="37">
        <f t="shared" si="256"/>
        <v>269850</v>
      </c>
      <c r="BH585" s="37">
        <f t="shared" si="276"/>
        <v>286500</v>
      </c>
      <c r="BI585">
        <v>269850</v>
      </c>
      <c r="BK585" s="48"/>
      <c r="BL585" s="8">
        <f t="shared" si="277"/>
        <v>904699.42196531792</v>
      </c>
      <c r="BM585" s="7" t="str">
        <f t="shared" si="258"/>
        <v>Tidak Terdaftar</v>
      </c>
      <c r="BN585" s="11">
        <f t="shared" si="261"/>
        <v>212010.00000000003</v>
      </c>
      <c r="BO585" s="11">
        <f t="shared" si="259"/>
        <v>260142.00000000003</v>
      </c>
      <c r="BP585" s="9">
        <f t="shared" si="278"/>
        <v>0</v>
      </c>
      <c r="BQ585" t="s">
        <v>8</v>
      </c>
    </row>
    <row r="586" spans="1:69" x14ac:dyDescent="0.3">
      <c r="A586" s="2">
        <v>585</v>
      </c>
      <c r="B586" s="5" t="s">
        <v>620</v>
      </c>
      <c r="C586" s="6" t="s">
        <v>241</v>
      </c>
      <c r="D586" s="6"/>
      <c r="E586" s="6" t="s">
        <v>73</v>
      </c>
      <c r="F586" s="6" t="s">
        <v>73</v>
      </c>
      <c r="G586" s="6"/>
      <c r="H586" s="6"/>
      <c r="J586" t="s">
        <v>515</v>
      </c>
      <c r="K586" s="6">
        <v>800716</v>
      </c>
      <c r="L586" s="39"/>
      <c r="M586" s="6"/>
      <c r="N586" s="6" t="s">
        <v>619</v>
      </c>
      <c r="O586" s="6">
        <v>1150839358</v>
      </c>
      <c r="P586" s="48" t="s">
        <v>618</v>
      </c>
      <c r="Q586" s="6">
        <v>33085</v>
      </c>
      <c r="R586" s="6">
        <v>27510</v>
      </c>
      <c r="S586" s="5" t="str">
        <f>VLOOKUP(T586,'[1]Kode Posisi'!$A$3:$B$45,2,)</f>
        <v>Outsourcing Petugas Administrasi</v>
      </c>
      <c r="T586" t="s">
        <v>35</v>
      </c>
      <c r="V586" t="s">
        <v>617</v>
      </c>
      <c r="W586" s="5" t="s">
        <v>410</v>
      </c>
      <c r="X586" s="5" t="s">
        <v>409</v>
      </c>
      <c r="Y586" t="s">
        <v>63</v>
      </c>
      <c r="Z586" s="57" t="s">
        <v>616</v>
      </c>
      <c r="AA586" t="s">
        <v>615</v>
      </c>
      <c r="AB586" s="3">
        <v>3733000</v>
      </c>
      <c r="AD586" s="52" t="s">
        <v>509</v>
      </c>
      <c r="AE586" s="48">
        <f>AC586-AD586</f>
        <v>-3733000</v>
      </c>
      <c r="AI586" s="16">
        <v>0</v>
      </c>
      <c r="AK586" s="16"/>
      <c r="AL586" s="11">
        <f t="shared" si="262"/>
        <v>3733000</v>
      </c>
      <c r="AM586" s="16">
        <f t="shared" si="263"/>
        <v>0</v>
      </c>
      <c r="AN586" s="16">
        <f t="shared" si="264"/>
        <v>0</v>
      </c>
      <c r="AO586" s="16">
        <f t="shared" si="260"/>
        <v>0</v>
      </c>
      <c r="AP586" s="16">
        <f t="shared" si="265"/>
        <v>0</v>
      </c>
      <c r="AQ586" s="16">
        <f t="shared" si="266"/>
        <v>3733000</v>
      </c>
      <c r="AR586" s="16">
        <f t="shared" si="257"/>
        <v>223980</v>
      </c>
      <c r="AS586" s="16">
        <f t="shared" si="267"/>
        <v>24637.8</v>
      </c>
      <c r="AT586" s="16">
        <f t="shared" si="268"/>
        <v>-4479.6000000000004</v>
      </c>
      <c r="AU586" s="16">
        <f t="shared" si="269"/>
        <v>3952500.4</v>
      </c>
      <c r="AV586" s="16">
        <f t="shared" si="270"/>
        <v>3956980</v>
      </c>
      <c r="AW586" s="16">
        <f t="shared" si="271"/>
        <v>0</v>
      </c>
      <c r="AX586" s="16" t="s">
        <v>243</v>
      </c>
      <c r="AZ586" s="17">
        <f t="shared" si="279"/>
        <v>2900</v>
      </c>
      <c r="BA586" s="16">
        <f t="shared" si="272"/>
        <v>3733000</v>
      </c>
      <c r="BB586" s="16">
        <f t="shared" si="273"/>
        <v>3730100</v>
      </c>
      <c r="BC586" s="15">
        <v>0.02</v>
      </c>
      <c r="BD586">
        <v>0.01</v>
      </c>
      <c r="BE586" s="37">
        <f t="shared" si="274"/>
        <v>0</v>
      </c>
      <c r="BF586" s="38">
        <f t="shared" si="275"/>
        <v>0</v>
      </c>
      <c r="BG586" s="37">
        <f t="shared" si="256"/>
        <v>186650</v>
      </c>
      <c r="BH586" s="37">
        <f t="shared" si="276"/>
        <v>0</v>
      </c>
      <c r="BI586">
        <v>186650</v>
      </c>
      <c r="BJ586" s="48">
        <f t="shared" ref="BJ586:BJ608" si="280">AD586*2%</f>
        <v>74660</v>
      </c>
      <c r="BK586" s="48"/>
      <c r="BL586" s="8">
        <f t="shared" si="277"/>
        <v>0</v>
      </c>
      <c r="BM586" s="7" t="str">
        <f t="shared" si="258"/>
        <v>Tidak Terdaftar</v>
      </c>
      <c r="BN586" s="11">
        <f t="shared" si="261"/>
        <v>0</v>
      </c>
      <c r="BO586" s="11">
        <f t="shared" si="259"/>
        <v>0</v>
      </c>
      <c r="BP586" s="9">
        <f t="shared" si="278"/>
        <v>0</v>
      </c>
      <c r="BQ586" t="s">
        <v>8</v>
      </c>
    </row>
    <row r="587" spans="1:69" x14ac:dyDescent="0.3">
      <c r="A587" s="2">
        <v>586</v>
      </c>
      <c r="B587" s="5" t="s">
        <v>614</v>
      </c>
      <c r="C587" s="6" t="s">
        <v>241</v>
      </c>
      <c r="D587" s="6"/>
      <c r="E587" s="6" t="s">
        <v>73</v>
      </c>
      <c r="F587" s="6" t="s">
        <v>73</v>
      </c>
      <c r="G587" s="6"/>
      <c r="H587" s="6"/>
      <c r="J587" t="s">
        <v>515</v>
      </c>
      <c r="K587" s="6">
        <v>800717</v>
      </c>
      <c r="L587" s="39"/>
      <c r="M587" s="6"/>
      <c r="N587" s="6" t="s">
        <v>613</v>
      </c>
      <c r="O587" s="6">
        <v>2181589582</v>
      </c>
      <c r="P587" s="48" t="s">
        <v>612</v>
      </c>
      <c r="Q587" s="6">
        <v>33085</v>
      </c>
      <c r="R587" s="6">
        <v>27510</v>
      </c>
      <c r="S587" s="5" t="str">
        <f>VLOOKUP(T587,'[1]Kode Posisi'!$A$3:$B$45,2,)</f>
        <v>Outsourcing Petugas Gudang</v>
      </c>
      <c r="T587" t="s">
        <v>2</v>
      </c>
      <c r="V587" t="s">
        <v>611</v>
      </c>
      <c r="W587" s="5" t="s">
        <v>410</v>
      </c>
      <c r="X587" s="5" t="s">
        <v>409</v>
      </c>
      <c r="Y587" t="s">
        <v>52</v>
      </c>
      <c r="Z587" s="46">
        <v>7771860277</v>
      </c>
      <c r="AA587" t="s">
        <v>610</v>
      </c>
      <c r="AB587" s="3">
        <v>3733000</v>
      </c>
      <c r="AC587" s="3" t="s">
        <v>510</v>
      </c>
      <c r="AD587" s="52" t="s">
        <v>509</v>
      </c>
      <c r="AE587" s="48" t="s">
        <v>510</v>
      </c>
      <c r="AI587" s="16">
        <v>0</v>
      </c>
      <c r="AK587" s="16"/>
      <c r="AL587" s="11">
        <f t="shared" si="262"/>
        <v>3733000</v>
      </c>
      <c r="AM587" s="16">
        <f t="shared" si="263"/>
        <v>325480</v>
      </c>
      <c r="AN587" s="16">
        <f t="shared" si="264"/>
        <v>158000</v>
      </c>
      <c r="AO587" s="16">
        <f t="shared" si="260"/>
        <v>167480</v>
      </c>
      <c r="AP587" s="16">
        <f t="shared" si="265"/>
        <v>0</v>
      </c>
      <c r="AQ587" s="16">
        <f t="shared" si="266"/>
        <v>4058480</v>
      </c>
      <c r="AR587" s="16">
        <f t="shared" si="257"/>
        <v>243508.8</v>
      </c>
      <c r="AS587" s="16">
        <f t="shared" si="267"/>
        <v>26785.967999999997</v>
      </c>
      <c r="AT587" s="16">
        <f t="shared" si="268"/>
        <v>-4870.1759999999995</v>
      </c>
      <c r="AU587" s="16">
        <f t="shared" si="269"/>
        <v>4297118.6239999998</v>
      </c>
      <c r="AV587" s="16">
        <f t="shared" si="270"/>
        <v>4301988.8</v>
      </c>
      <c r="AW587" s="16">
        <f t="shared" si="271"/>
        <v>0</v>
      </c>
      <c r="AX587" s="16" t="s">
        <v>235</v>
      </c>
      <c r="AZ587" s="17">
        <f t="shared" si="279"/>
        <v>0</v>
      </c>
      <c r="BA587" s="16">
        <f t="shared" si="272"/>
        <v>3733000</v>
      </c>
      <c r="BB587" s="16">
        <f t="shared" si="273"/>
        <v>3733000</v>
      </c>
      <c r="BC587" s="15">
        <v>0.02</v>
      </c>
      <c r="BD587">
        <v>0.01</v>
      </c>
      <c r="BE587" s="37">
        <f t="shared" si="274"/>
        <v>0</v>
      </c>
      <c r="BF587" s="38">
        <f t="shared" si="275"/>
        <v>0</v>
      </c>
      <c r="BG587" s="37">
        <f t="shared" si="256"/>
        <v>186650</v>
      </c>
      <c r="BH587" s="37">
        <f t="shared" si="276"/>
        <v>197500</v>
      </c>
      <c r="BI587">
        <v>186650</v>
      </c>
      <c r="BJ587" s="48">
        <f t="shared" si="280"/>
        <v>74660</v>
      </c>
      <c r="BK587" s="48"/>
      <c r="BL587" s="8">
        <f t="shared" si="277"/>
        <v>0</v>
      </c>
      <c r="BM587" s="7" t="str">
        <f t="shared" si="258"/>
        <v>Tidak Terdaftar</v>
      </c>
      <c r="BN587" s="11">
        <f t="shared" si="261"/>
        <v>146150.00000000003</v>
      </c>
      <c r="BO587" s="11">
        <f t="shared" si="259"/>
        <v>179330</v>
      </c>
      <c r="BP587" s="9">
        <f t="shared" si="278"/>
        <v>0</v>
      </c>
      <c r="BQ587" t="s">
        <v>8</v>
      </c>
    </row>
    <row r="588" spans="1:69" x14ac:dyDescent="0.3">
      <c r="A588" s="2">
        <v>587</v>
      </c>
      <c r="B588" s="5" t="s">
        <v>607</v>
      </c>
      <c r="C588" s="6" t="s">
        <v>241</v>
      </c>
      <c r="D588" s="6"/>
      <c r="E588" s="6" t="s">
        <v>73</v>
      </c>
      <c r="F588" s="6" t="s">
        <v>73</v>
      </c>
      <c r="G588" s="6"/>
      <c r="H588" s="6"/>
      <c r="J588" t="s">
        <v>515</v>
      </c>
      <c r="K588" s="6">
        <v>800718</v>
      </c>
      <c r="L588" s="39"/>
      <c r="M588" s="6"/>
      <c r="N588" s="6">
        <v>4</v>
      </c>
      <c r="O588" s="6">
        <v>3300825789</v>
      </c>
      <c r="P588" s="48" t="s">
        <v>609</v>
      </c>
      <c r="Q588" s="6">
        <v>33085</v>
      </c>
      <c r="R588" s="6">
        <v>27510</v>
      </c>
      <c r="S588" s="5" t="str">
        <f>VLOOKUP(T588,'[1]Kode Posisi'!$A$3:$B$45,2,)</f>
        <v>Outsourcing Petugas Gudang</v>
      </c>
      <c r="T588" t="s">
        <v>2</v>
      </c>
      <c r="V588" t="s">
        <v>608</v>
      </c>
      <c r="W588" s="5" t="s">
        <v>410</v>
      </c>
      <c r="X588" s="5" t="s">
        <v>409</v>
      </c>
      <c r="Y588" t="s">
        <v>52</v>
      </c>
      <c r="Z588" s="46">
        <v>2830926421</v>
      </c>
      <c r="AA588" t="s">
        <v>607</v>
      </c>
      <c r="AB588" s="3">
        <v>3733000</v>
      </c>
      <c r="AC588" s="3" t="s">
        <v>510</v>
      </c>
      <c r="AD588" s="52" t="s">
        <v>509</v>
      </c>
      <c r="AE588" s="48">
        <f t="shared" ref="AE588:AE608" si="281">AC588-AD588</f>
        <v>217000</v>
      </c>
      <c r="AI588" s="16">
        <v>0</v>
      </c>
      <c r="AK588" s="16"/>
      <c r="AL588" s="11">
        <f t="shared" si="262"/>
        <v>3733000</v>
      </c>
      <c r="AM588" s="16">
        <f t="shared" si="263"/>
        <v>325480</v>
      </c>
      <c r="AN588" s="16">
        <f t="shared" si="264"/>
        <v>158000</v>
      </c>
      <c r="AO588" s="16">
        <f t="shared" si="260"/>
        <v>167480</v>
      </c>
      <c r="AP588" s="16">
        <f t="shared" si="265"/>
        <v>0</v>
      </c>
      <c r="AQ588" s="16">
        <f t="shared" si="266"/>
        <v>4058480</v>
      </c>
      <c r="AR588" s="16">
        <f t="shared" si="257"/>
        <v>243508.8</v>
      </c>
      <c r="AS588" s="16">
        <f t="shared" si="267"/>
        <v>26785.967999999997</v>
      </c>
      <c r="AT588" s="16">
        <f t="shared" si="268"/>
        <v>-4870.1759999999995</v>
      </c>
      <c r="AU588" s="16">
        <f t="shared" si="269"/>
        <v>4297118.6239999998</v>
      </c>
      <c r="AV588" s="16">
        <f t="shared" si="270"/>
        <v>4301988.8</v>
      </c>
      <c r="AW588" s="16">
        <f t="shared" si="271"/>
        <v>0</v>
      </c>
      <c r="AX588" s="16" t="s">
        <v>319</v>
      </c>
      <c r="AZ588" s="17">
        <f t="shared" si="279"/>
        <v>0</v>
      </c>
      <c r="BA588" s="16">
        <f t="shared" si="272"/>
        <v>3733000</v>
      </c>
      <c r="BB588" s="16">
        <f t="shared" si="273"/>
        <v>3733000</v>
      </c>
      <c r="BC588" s="15">
        <v>0.02</v>
      </c>
      <c r="BD588">
        <v>0.01</v>
      </c>
      <c r="BE588" s="37">
        <f t="shared" si="274"/>
        <v>0</v>
      </c>
      <c r="BF588" s="38">
        <f t="shared" si="275"/>
        <v>0</v>
      </c>
      <c r="BG588" s="37">
        <f t="shared" si="256"/>
        <v>186650</v>
      </c>
      <c r="BH588" s="37">
        <f t="shared" si="276"/>
        <v>197500</v>
      </c>
      <c r="BI588">
        <v>186650</v>
      </c>
      <c r="BJ588" s="48">
        <f t="shared" si="280"/>
        <v>74660</v>
      </c>
      <c r="BK588" s="48"/>
      <c r="BL588" s="8">
        <f t="shared" si="277"/>
        <v>0</v>
      </c>
      <c r="BM588" s="7" t="str">
        <f t="shared" si="258"/>
        <v>Tidak Terdaftar</v>
      </c>
      <c r="BN588" s="11">
        <f t="shared" si="261"/>
        <v>146150.00000000003</v>
      </c>
      <c r="BO588" s="11">
        <f t="shared" si="259"/>
        <v>179330</v>
      </c>
      <c r="BP588" s="9">
        <f t="shared" si="278"/>
        <v>0</v>
      </c>
      <c r="BQ588" t="s">
        <v>8</v>
      </c>
    </row>
    <row r="589" spans="1:69" x14ac:dyDescent="0.3">
      <c r="A589" s="2">
        <v>588</v>
      </c>
      <c r="B589" s="5" t="s">
        <v>603</v>
      </c>
      <c r="C589" s="6" t="s">
        <v>241</v>
      </c>
      <c r="D589" s="6"/>
      <c r="E589" s="6" t="s">
        <v>73</v>
      </c>
      <c r="F589" s="6" t="s">
        <v>73</v>
      </c>
      <c r="G589" s="6"/>
      <c r="H589" s="6"/>
      <c r="J589" t="s">
        <v>515</v>
      </c>
      <c r="K589" s="6">
        <v>800719</v>
      </c>
      <c r="L589" s="39"/>
      <c r="M589" s="6"/>
      <c r="N589" s="6" t="s">
        <v>606</v>
      </c>
      <c r="O589" s="6">
        <v>1008274083</v>
      </c>
      <c r="P589" s="48" t="s">
        <v>605</v>
      </c>
      <c r="Q589" s="6">
        <v>33085</v>
      </c>
      <c r="R589" s="6">
        <v>27510</v>
      </c>
      <c r="S589" s="5" t="str">
        <f>VLOOKUP(T589,'[1]Kode Posisi'!$A$3:$B$45,2,)</f>
        <v>Outsourcing Petugas Gudang</v>
      </c>
      <c r="T589" t="s">
        <v>6</v>
      </c>
      <c r="V589" t="s">
        <v>604</v>
      </c>
      <c r="W589" s="5" t="s">
        <v>410</v>
      </c>
      <c r="X589" s="5" t="s">
        <v>409</v>
      </c>
      <c r="Y589" t="s">
        <v>52</v>
      </c>
      <c r="Z589" s="46">
        <v>2830934891</v>
      </c>
      <c r="AA589" t="s">
        <v>603</v>
      </c>
      <c r="AB589" s="3">
        <v>3733000</v>
      </c>
      <c r="AC589" s="3" t="s">
        <v>510</v>
      </c>
      <c r="AD589" s="52" t="s">
        <v>509</v>
      </c>
      <c r="AE589" s="48">
        <f t="shared" si="281"/>
        <v>217000</v>
      </c>
      <c r="AI589" s="16">
        <v>0</v>
      </c>
      <c r="AK589" s="16"/>
      <c r="AL589" s="11">
        <f t="shared" si="262"/>
        <v>3733000</v>
      </c>
      <c r="AM589" s="16">
        <f t="shared" si="263"/>
        <v>325480</v>
      </c>
      <c r="AN589" s="16">
        <f t="shared" si="264"/>
        <v>158000</v>
      </c>
      <c r="AO589" s="16">
        <f t="shared" si="260"/>
        <v>167480</v>
      </c>
      <c r="AP589" s="16">
        <f t="shared" si="265"/>
        <v>0</v>
      </c>
      <c r="AQ589" s="16">
        <f t="shared" si="266"/>
        <v>4058480</v>
      </c>
      <c r="AR589" s="16">
        <f t="shared" si="257"/>
        <v>243508.8</v>
      </c>
      <c r="AS589" s="16">
        <f t="shared" si="267"/>
        <v>26785.967999999997</v>
      </c>
      <c r="AT589" s="16">
        <f t="shared" si="268"/>
        <v>-4870.1759999999995</v>
      </c>
      <c r="AU589" s="16">
        <f t="shared" si="269"/>
        <v>4297118.6239999998</v>
      </c>
      <c r="AV589" s="16">
        <f t="shared" si="270"/>
        <v>4301988.8</v>
      </c>
      <c r="AW589" s="16">
        <f t="shared" si="271"/>
        <v>0</v>
      </c>
      <c r="AX589" s="16" t="s">
        <v>286</v>
      </c>
      <c r="AZ589" s="17">
        <f t="shared" si="279"/>
        <v>0</v>
      </c>
      <c r="BA589" s="16">
        <f t="shared" si="272"/>
        <v>3733000</v>
      </c>
      <c r="BB589" s="16">
        <f t="shared" si="273"/>
        <v>3733000</v>
      </c>
      <c r="BC589" s="15">
        <v>0.02</v>
      </c>
      <c r="BD589">
        <v>0.01</v>
      </c>
      <c r="BE589" s="37">
        <f t="shared" si="274"/>
        <v>0</v>
      </c>
      <c r="BF589" s="38">
        <f t="shared" si="275"/>
        <v>0</v>
      </c>
      <c r="BG589" s="37">
        <f t="shared" si="256"/>
        <v>186650</v>
      </c>
      <c r="BH589" s="37">
        <f t="shared" si="276"/>
        <v>197500</v>
      </c>
      <c r="BI589">
        <v>186650</v>
      </c>
      <c r="BJ589" s="48">
        <f t="shared" si="280"/>
        <v>74660</v>
      </c>
      <c r="BK589" s="48"/>
      <c r="BL589" s="8">
        <f t="shared" si="277"/>
        <v>0</v>
      </c>
      <c r="BM589" s="7" t="str">
        <f t="shared" si="258"/>
        <v>Tidak Terdaftar</v>
      </c>
      <c r="BN589" s="11">
        <f t="shared" si="261"/>
        <v>146150.00000000003</v>
      </c>
      <c r="BO589" s="11">
        <f t="shared" si="259"/>
        <v>179330</v>
      </c>
      <c r="BP589" s="9">
        <f t="shared" si="278"/>
        <v>0</v>
      </c>
      <c r="BQ589" t="s">
        <v>8</v>
      </c>
    </row>
    <row r="590" spans="1:69" x14ac:dyDescent="0.3">
      <c r="A590" s="2">
        <v>589</v>
      </c>
      <c r="B590" s="5" t="s">
        <v>602</v>
      </c>
      <c r="C590" s="6" t="s">
        <v>241</v>
      </c>
      <c r="D590" s="6"/>
      <c r="E590" s="6" t="s">
        <v>73</v>
      </c>
      <c r="F590" s="6" t="s">
        <v>73</v>
      </c>
      <c r="G590" s="6"/>
      <c r="H590" s="6"/>
      <c r="J590" t="s">
        <v>515</v>
      </c>
      <c r="K590" s="6">
        <v>800720</v>
      </c>
      <c r="L590" s="39"/>
      <c r="M590" s="6"/>
      <c r="N590" s="6">
        <v>5</v>
      </c>
      <c r="O590" s="6">
        <v>462552917</v>
      </c>
      <c r="P590" s="48" t="s">
        <v>601</v>
      </c>
      <c r="Q590" s="6">
        <v>33085</v>
      </c>
      <c r="R590" s="6">
        <v>27510</v>
      </c>
      <c r="S590" s="5" t="str">
        <f>VLOOKUP(T590,'[1]Kode Posisi'!$A$3:$B$45,2,)</f>
        <v>Outsourcing Petugas Gudang</v>
      </c>
      <c r="T590" t="s">
        <v>2</v>
      </c>
      <c r="V590" t="s">
        <v>600</v>
      </c>
      <c r="W590" s="5" t="s">
        <v>410</v>
      </c>
      <c r="X590" s="5" t="s">
        <v>409</v>
      </c>
      <c r="Y590" t="s">
        <v>52</v>
      </c>
      <c r="Z590" s="46">
        <v>2831445175</v>
      </c>
      <c r="AA590" t="s">
        <v>599</v>
      </c>
      <c r="AB590" s="3">
        <v>3733000</v>
      </c>
      <c r="AC590" s="3" t="s">
        <v>510</v>
      </c>
      <c r="AD590" s="52" t="s">
        <v>509</v>
      </c>
      <c r="AE590" s="48">
        <f t="shared" si="281"/>
        <v>217000</v>
      </c>
      <c r="AI590" s="16">
        <v>0</v>
      </c>
      <c r="AK590" s="16"/>
      <c r="AL590" s="11">
        <f t="shared" si="262"/>
        <v>3733000</v>
      </c>
      <c r="AM590" s="16">
        <f t="shared" si="263"/>
        <v>325480</v>
      </c>
      <c r="AN590" s="16">
        <f t="shared" si="264"/>
        <v>158000</v>
      </c>
      <c r="AO590" s="16">
        <f t="shared" si="260"/>
        <v>167480</v>
      </c>
      <c r="AP590" s="16">
        <f t="shared" si="265"/>
        <v>0</v>
      </c>
      <c r="AQ590" s="16">
        <f t="shared" si="266"/>
        <v>4058480</v>
      </c>
      <c r="AR590" s="16">
        <f t="shared" si="257"/>
        <v>243508.8</v>
      </c>
      <c r="AS590" s="16">
        <f t="shared" si="267"/>
        <v>26785.967999999997</v>
      </c>
      <c r="AT590" s="16">
        <f t="shared" si="268"/>
        <v>-4870.1759999999995</v>
      </c>
      <c r="AU590" s="16">
        <f t="shared" si="269"/>
        <v>4297118.6239999998</v>
      </c>
      <c r="AV590" s="16">
        <f t="shared" si="270"/>
        <v>4301988.8</v>
      </c>
      <c r="AW590" s="16">
        <f t="shared" si="271"/>
        <v>0</v>
      </c>
      <c r="AX590" s="16" t="s">
        <v>319</v>
      </c>
      <c r="AZ590" s="17">
        <f t="shared" si="279"/>
        <v>0</v>
      </c>
      <c r="BA590" s="16">
        <f t="shared" si="272"/>
        <v>3733000</v>
      </c>
      <c r="BB590" s="16">
        <f t="shared" si="273"/>
        <v>3733000</v>
      </c>
      <c r="BC590" s="15">
        <v>0.02</v>
      </c>
      <c r="BD590">
        <v>0.01</v>
      </c>
      <c r="BE590" s="37">
        <f t="shared" si="274"/>
        <v>0</v>
      </c>
      <c r="BF590" s="38">
        <f t="shared" si="275"/>
        <v>0</v>
      </c>
      <c r="BG590" s="37">
        <f t="shared" si="256"/>
        <v>186650</v>
      </c>
      <c r="BH590" s="37">
        <f t="shared" si="276"/>
        <v>197500</v>
      </c>
      <c r="BI590">
        <v>186650</v>
      </c>
      <c r="BJ590" s="48">
        <f t="shared" si="280"/>
        <v>74660</v>
      </c>
      <c r="BK590" s="48"/>
      <c r="BL590" s="8">
        <f t="shared" si="277"/>
        <v>0</v>
      </c>
      <c r="BM590" s="7" t="str">
        <f t="shared" si="258"/>
        <v>Tidak Terdaftar</v>
      </c>
      <c r="BN590" s="11">
        <f t="shared" si="261"/>
        <v>146150.00000000003</v>
      </c>
      <c r="BO590" s="11">
        <f t="shared" si="259"/>
        <v>179330</v>
      </c>
      <c r="BP590" s="9">
        <f t="shared" si="278"/>
        <v>0</v>
      </c>
      <c r="BQ590" t="s">
        <v>8</v>
      </c>
    </row>
    <row r="591" spans="1:69" x14ac:dyDescent="0.3">
      <c r="A591" s="2">
        <v>590</v>
      </c>
      <c r="B591" s="5" t="s">
        <v>598</v>
      </c>
      <c r="C591" s="6" t="s">
        <v>241</v>
      </c>
      <c r="D591" s="6"/>
      <c r="E591" s="6" t="s">
        <v>73</v>
      </c>
      <c r="F591" s="6" t="s">
        <v>73</v>
      </c>
      <c r="G591" s="6"/>
      <c r="H591" s="6"/>
      <c r="J591" t="s">
        <v>515</v>
      </c>
      <c r="K591" s="6">
        <v>800721</v>
      </c>
      <c r="L591" s="39"/>
      <c r="M591" s="6"/>
      <c r="N591" s="6" t="s">
        <v>597</v>
      </c>
      <c r="O591" s="6">
        <v>1317734313</v>
      </c>
      <c r="P591" s="48" t="s">
        <v>596</v>
      </c>
      <c r="Q591" s="6">
        <v>33085</v>
      </c>
      <c r="R591" s="6">
        <v>27510</v>
      </c>
      <c r="S591" s="5" t="str">
        <f>VLOOKUP(T591,'[1]Kode Posisi'!$A$3:$B$45,2,)</f>
        <v>Outsourcing Petugas Gudang</v>
      </c>
      <c r="T591" t="s">
        <v>2</v>
      </c>
      <c r="V591" t="s">
        <v>595</v>
      </c>
      <c r="W591" s="5" t="s">
        <v>410</v>
      </c>
      <c r="X591" s="5" t="s">
        <v>409</v>
      </c>
      <c r="Y591" t="s">
        <v>52</v>
      </c>
      <c r="Z591" s="46">
        <v>2831673445</v>
      </c>
      <c r="AA591" t="s">
        <v>594</v>
      </c>
      <c r="AB591" s="3">
        <v>3733000</v>
      </c>
      <c r="AC591" s="3" t="s">
        <v>510</v>
      </c>
      <c r="AD591" s="52" t="s">
        <v>509</v>
      </c>
      <c r="AE591" s="48">
        <f t="shared" si="281"/>
        <v>217000</v>
      </c>
      <c r="AI591" s="16">
        <v>0</v>
      </c>
      <c r="AK591" s="16"/>
      <c r="AL591" s="11">
        <f t="shared" si="262"/>
        <v>3733000</v>
      </c>
      <c r="AM591" s="16">
        <f t="shared" si="263"/>
        <v>325480</v>
      </c>
      <c r="AN591" s="16">
        <f t="shared" si="264"/>
        <v>158000</v>
      </c>
      <c r="AO591" s="16">
        <f t="shared" si="260"/>
        <v>167480</v>
      </c>
      <c r="AP591" s="16">
        <f t="shared" si="265"/>
        <v>0</v>
      </c>
      <c r="AQ591" s="16">
        <f t="shared" si="266"/>
        <v>4058480</v>
      </c>
      <c r="AR591" s="16">
        <f t="shared" si="257"/>
        <v>243508.8</v>
      </c>
      <c r="AS591" s="16">
        <f t="shared" si="267"/>
        <v>26785.967999999997</v>
      </c>
      <c r="AT591" s="16">
        <f t="shared" si="268"/>
        <v>-4870.1759999999995</v>
      </c>
      <c r="AU591" s="16">
        <f t="shared" si="269"/>
        <v>4297118.6239999998</v>
      </c>
      <c r="AV591" s="16">
        <f t="shared" si="270"/>
        <v>4301988.8</v>
      </c>
      <c r="AW591" s="16">
        <f t="shared" si="271"/>
        <v>0</v>
      </c>
      <c r="AX591" s="16" t="s">
        <v>235</v>
      </c>
      <c r="AZ591" s="17">
        <f t="shared" si="279"/>
        <v>0</v>
      </c>
      <c r="BA591" s="16">
        <f t="shared" si="272"/>
        <v>3733000</v>
      </c>
      <c r="BB591" s="16">
        <f t="shared" si="273"/>
        <v>3733000</v>
      </c>
      <c r="BC591" s="15">
        <v>0.02</v>
      </c>
      <c r="BD591">
        <v>0.01</v>
      </c>
      <c r="BE591" s="37">
        <f t="shared" si="274"/>
        <v>0</v>
      </c>
      <c r="BF591" s="38">
        <f t="shared" si="275"/>
        <v>0</v>
      </c>
      <c r="BG591" s="37">
        <f t="shared" si="256"/>
        <v>186650</v>
      </c>
      <c r="BH591" s="37">
        <f t="shared" si="276"/>
        <v>197500</v>
      </c>
      <c r="BI591">
        <v>186650</v>
      </c>
      <c r="BJ591" s="48">
        <f t="shared" si="280"/>
        <v>74660</v>
      </c>
      <c r="BK591" s="48"/>
      <c r="BL591" s="8">
        <f t="shared" si="277"/>
        <v>0</v>
      </c>
      <c r="BM591" s="7" t="str">
        <f t="shared" si="258"/>
        <v>Tidak Terdaftar</v>
      </c>
      <c r="BN591" s="11">
        <f t="shared" si="261"/>
        <v>146150.00000000003</v>
      </c>
      <c r="BO591" s="11">
        <f t="shared" si="259"/>
        <v>179330</v>
      </c>
      <c r="BP591" s="9">
        <f t="shared" si="278"/>
        <v>0</v>
      </c>
      <c r="BQ591" t="s">
        <v>8</v>
      </c>
    </row>
    <row r="592" spans="1:69" x14ac:dyDescent="0.3">
      <c r="A592" s="2">
        <v>591</v>
      </c>
      <c r="B592" s="5" t="s">
        <v>593</v>
      </c>
      <c r="C592" s="6" t="s">
        <v>241</v>
      </c>
      <c r="D592" s="6"/>
      <c r="E592" s="6" t="s">
        <v>73</v>
      </c>
      <c r="F592" s="6" t="s">
        <v>73</v>
      </c>
      <c r="G592" s="6"/>
      <c r="H592" s="6"/>
      <c r="J592" t="s">
        <v>515</v>
      </c>
      <c r="K592" s="6">
        <v>800722</v>
      </c>
      <c r="L592" s="39"/>
      <c r="M592" s="6"/>
      <c r="N592" s="6" t="s">
        <v>592</v>
      </c>
      <c r="O592" s="6">
        <v>1150839279</v>
      </c>
      <c r="P592" s="48" t="s">
        <v>591</v>
      </c>
      <c r="Q592" s="6">
        <v>33085</v>
      </c>
      <c r="R592" s="6">
        <v>27510</v>
      </c>
      <c r="S592" s="5" t="str">
        <f>VLOOKUP(T592,'[1]Kode Posisi'!$A$3:$B$45,2,)</f>
        <v>Outsourcing Petugas Gudang</v>
      </c>
      <c r="T592" t="s">
        <v>2</v>
      </c>
      <c r="V592" t="s">
        <v>590</v>
      </c>
      <c r="W592" s="5" t="s">
        <v>410</v>
      </c>
      <c r="X592" s="5" t="s">
        <v>409</v>
      </c>
      <c r="Y592" t="s">
        <v>52</v>
      </c>
      <c r="Z592" s="46">
        <v>3760336849</v>
      </c>
      <c r="AA592" t="s">
        <v>589</v>
      </c>
      <c r="AB592" s="3">
        <v>3733000</v>
      </c>
      <c r="AC592" s="3" t="s">
        <v>510</v>
      </c>
      <c r="AD592" s="52" t="s">
        <v>509</v>
      </c>
      <c r="AE592" s="48">
        <f t="shared" si="281"/>
        <v>217000</v>
      </c>
      <c r="AI592" s="16">
        <v>0</v>
      </c>
      <c r="AK592" s="16"/>
      <c r="AL592" s="11">
        <f t="shared" si="262"/>
        <v>3733000</v>
      </c>
      <c r="AM592" s="16">
        <f t="shared" si="263"/>
        <v>325480</v>
      </c>
      <c r="AN592" s="16">
        <f t="shared" si="264"/>
        <v>158000</v>
      </c>
      <c r="AO592" s="16">
        <f t="shared" si="260"/>
        <v>167480</v>
      </c>
      <c r="AP592" s="16">
        <f t="shared" si="265"/>
        <v>0</v>
      </c>
      <c r="AQ592" s="16">
        <f t="shared" si="266"/>
        <v>4058480</v>
      </c>
      <c r="AR592" s="16">
        <f t="shared" si="257"/>
        <v>243508.8</v>
      </c>
      <c r="AS592" s="16">
        <f t="shared" si="267"/>
        <v>26785.967999999997</v>
      </c>
      <c r="AT592" s="16">
        <f t="shared" si="268"/>
        <v>-4870.1759999999995</v>
      </c>
      <c r="AU592" s="16">
        <f t="shared" si="269"/>
        <v>4297118.6239999998</v>
      </c>
      <c r="AV592" s="16">
        <f t="shared" si="270"/>
        <v>4301988.8</v>
      </c>
      <c r="AW592" s="16">
        <f t="shared" si="271"/>
        <v>0</v>
      </c>
      <c r="AX592" s="16" t="s">
        <v>286</v>
      </c>
      <c r="AZ592" s="17">
        <f t="shared" si="279"/>
        <v>0</v>
      </c>
      <c r="BA592" s="16">
        <f t="shared" si="272"/>
        <v>3733000</v>
      </c>
      <c r="BB592" s="16">
        <f t="shared" si="273"/>
        <v>3733000</v>
      </c>
      <c r="BC592" s="15">
        <v>0.02</v>
      </c>
      <c r="BD592">
        <v>0.01</v>
      </c>
      <c r="BE592" s="37">
        <f t="shared" si="274"/>
        <v>0</v>
      </c>
      <c r="BF592" s="38">
        <f t="shared" si="275"/>
        <v>0</v>
      </c>
      <c r="BG592" s="37">
        <f t="shared" si="256"/>
        <v>186650</v>
      </c>
      <c r="BH592" s="37">
        <f t="shared" si="276"/>
        <v>197500</v>
      </c>
      <c r="BI592">
        <v>186650</v>
      </c>
      <c r="BJ592" s="48">
        <f t="shared" si="280"/>
        <v>74660</v>
      </c>
      <c r="BK592" s="48"/>
      <c r="BL592" s="8">
        <f t="shared" si="277"/>
        <v>0</v>
      </c>
      <c r="BM592" s="7" t="str">
        <f t="shared" si="258"/>
        <v>Tidak Terdaftar</v>
      </c>
      <c r="BN592" s="11">
        <f t="shared" si="261"/>
        <v>146150.00000000003</v>
      </c>
      <c r="BO592" s="11">
        <f t="shared" si="259"/>
        <v>179330</v>
      </c>
      <c r="BP592" s="9">
        <f t="shared" si="278"/>
        <v>0</v>
      </c>
      <c r="BQ592" t="s">
        <v>8</v>
      </c>
    </row>
    <row r="593" spans="1:69" x14ac:dyDescent="0.3">
      <c r="A593" s="2">
        <v>592</v>
      </c>
      <c r="B593" s="5" t="s">
        <v>588</v>
      </c>
      <c r="C593" s="6" t="s">
        <v>241</v>
      </c>
      <c r="D593" s="6"/>
      <c r="E593" s="6" t="s">
        <v>73</v>
      </c>
      <c r="F593" s="6" t="s">
        <v>73</v>
      </c>
      <c r="G593" s="6"/>
      <c r="H593" s="6"/>
      <c r="J593" t="s">
        <v>515</v>
      </c>
      <c r="K593" s="6">
        <v>800723</v>
      </c>
      <c r="L593" s="39"/>
      <c r="M593" s="6"/>
      <c r="N593" s="6" t="s">
        <v>587</v>
      </c>
      <c r="O593" s="6">
        <v>3301572014</v>
      </c>
      <c r="P593" s="48" t="s">
        <v>586</v>
      </c>
      <c r="Q593" s="6">
        <v>33085</v>
      </c>
      <c r="R593" s="6">
        <v>27510</v>
      </c>
      <c r="S593" s="5" t="str">
        <f>VLOOKUP(T593,'[1]Kode Posisi'!$A$3:$B$45,2,)</f>
        <v>Outsourcing Petugas Gudang</v>
      </c>
      <c r="T593" t="s">
        <v>2</v>
      </c>
      <c r="V593" t="s">
        <v>585</v>
      </c>
      <c r="W593" s="5" t="s">
        <v>410</v>
      </c>
      <c r="X593" s="5" t="s">
        <v>409</v>
      </c>
      <c r="Y593" t="s">
        <v>52</v>
      </c>
      <c r="Z593" s="46">
        <v>2831571090</v>
      </c>
      <c r="AA593" t="s">
        <v>584</v>
      </c>
      <c r="AB593" s="3">
        <v>3733000</v>
      </c>
      <c r="AC593" s="3" t="s">
        <v>510</v>
      </c>
      <c r="AD593" s="52" t="s">
        <v>509</v>
      </c>
      <c r="AE593" s="48">
        <f t="shared" si="281"/>
        <v>217000</v>
      </c>
      <c r="AI593" s="16">
        <v>0</v>
      </c>
      <c r="AK593" s="16"/>
      <c r="AL593" s="11">
        <f t="shared" si="262"/>
        <v>3733000</v>
      </c>
      <c r="AM593" s="16">
        <f t="shared" si="263"/>
        <v>325480</v>
      </c>
      <c r="AN593" s="16">
        <f t="shared" si="264"/>
        <v>158000</v>
      </c>
      <c r="AO593" s="16">
        <f t="shared" si="260"/>
        <v>167480</v>
      </c>
      <c r="AP593" s="16">
        <f t="shared" si="265"/>
        <v>0</v>
      </c>
      <c r="AQ593" s="16">
        <f t="shared" si="266"/>
        <v>4058480</v>
      </c>
      <c r="AR593" s="16">
        <f t="shared" si="257"/>
        <v>243508.8</v>
      </c>
      <c r="AS593" s="16">
        <f t="shared" si="267"/>
        <v>26785.967999999997</v>
      </c>
      <c r="AT593" s="16">
        <f t="shared" si="268"/>
        <v>-4870.1759999999995</v>
      </c>
      <c r="AU593" s="16">
        <f t="shared" si="269"/>
        <v>4297118.6239999998</v>
      </c>
      <c r="AV593" s="16">
        <f t="shared" si="270"/>
        <v>4301988.8</v>
      </c>
      <c r="AW593" s="16">
        <f t="shared" si="271"/>
        <v>0</v>
      </c>
      <c r="AX593" s="16" t="s">
        <v>235</v>
      </c>
      <c r="AZ593" s="17">
        <f t="shared" si="279"/>
        <v>0</v>
      </c>
      <c r="BA593" s="16">
        <f t="shared" si="272"/>
        <v>3733000</v>
      </c>
      <c r="BB593" s="16">
        <f t="shared" si="273"/>
        <v>3733000</v>
      </c>
      <c r="BC593" s="15">
        <v>0.02</v>
      </c>
      <c r="BD593">
        <v>0.01</v>
      </c>
      <c r="BE593" s="37">
        <f t="shared" si="274"/>
        <v>0</v>
      </c>
      <c r="BF593" s="38">
        <f t="shared" si="275"/>
        <v>0</v>
      </c>
      <c r="BG593" s="37">
        <f t="shared" si="256"/>
        <v>186650</v>
      </c>
      <c r="BH593" s="37">
        <f t="shared" si="276"/>
        <v>197500</v>
      </c>
      <c r="BI593">
        <v>186650</v>
      </c>
      <c r="BJ593" s="48">
        <f t="shared" si="280"/>
        <v>74660</v>
      </c>
      <c r="BK593" s="48"/>
      <c r="BL593" s="8">
        <f t="shared" si="277"/>
        <v>0</v>
      </c>
      <c r="BM593" s="7" t="str">
        <f t="shared" si="258"/>
        <v>Tidak Terdaftar</v>
      </c>
      <c r="BN593" s="11">
        <f t="shared" si="261"/>
        <v>146150.00000000003</v>
      </c>
      <c r="BO593" s="11">
        <f t="shared" si="259"/>
        <v>179330</v>
      </c>
      <c r="BP593" s="9">
        <f t="shared" si="278"/>
        <v>0</v>
      </c>
      <c r="BQ593" t="s">
        <v>8</v>
      </c>
    </row>
    <row r="594" spans="1:69" x14ac:dyDescent="0.3">
      <c r="A594" s="2">
        <v>593</v>
      </c>
      <c r="B594" s="5" t="s">
        <v>583</v>
      </c>
      <c r="C594" s="6" t="s">
        <v>241</v>
      </c>
      <c r="D594" s="6"/>
      <c r="E594" s="6" t="s">
        <v>73</v>
      </c>
      <c r="F594" s="6" t="s">
        <v>73</v>
      </c>
      <c r="G594" s="6"/>
      <c r="H594" s="6"/>
      <c r="J594" t="s">
        <v>515</v>
      </c>
      <c r="K594" s="6">
        <v>800724</v>
      </c>
      <c r="L594" s="39"/>
      <c r="M594" s="6"/>
      <c r="N594" s="6" t="s">
        <v>582</v>
      </c>
      <c r="O594" s="6">
        <v>429410125</v>
      </c>
      <c r="P594" s="48" t="s">
        <v>581</v>
      </c>
      <c r="Q594" s="6">
        <v>33085</v>
      </c>
      <c r="R594" s="6">
        <v>27510</v>
      </c>
      <c r="S594" s="5" t="str">
        <f>VLOOKUP(T594,'[1]Kode Posisi'!$A$3:$B$45,2,)</f>
        <v>Outsourcing Petugas Gudang</v>
      </c>
      <c r="T594" t="s">
        <v>2</v>
      </c>
      <c r="V594" t="s">
        <v>580</v>
      </c>
      <c r="W594" s="5" t="s">
        <v>410</v>
      </c>
      <c r="X594" s="5" t="s">
        <v>409</v>
      </c>
      <c r="Y594" t="s">
        <v>52</v>
      </c>
      <c r="Z594" s="46">
        <v>1481011391</v>
      </c>
      <c r="AA594" t="s">
        <v>579</v>
      </c>
      <c r="AB594" s="3">
        <v>3733000</v>
      </c>
      <c r="AC594" s="3" t="s">
        <v>510</v>
      </c>
      <c r="AD594" s="52" t="s">
        <v>509</v>
      </c>
      <c r="AE594" s="48">
        <f t="shared" si="281"/>
        <v>217000</v>
      </c>
      <c r="AI594" s="16">
        <v>0</v>
      </c>
      <c r="AK594" s="16"/>
      <c r="AL594" s="11">
        <f t="shared" si="262"/>
        <v>3733000</v>
      </c>
      <c r="AM594" s="16">
        <f t="shared" si="263"/>
        <v>325480</v>
      </c>
      <c r="AN594" s="16">
        <f t="shared" si="264"/>
        <v>158000</v>
      </c>
      <c r="AO594" s="16">
        <f t="shared" si="260"/>
        <v>167480</v>
      </c>
      <c r="AP594" s="16">
        <f t="shared" si="265"/>
        <v>0</v>
      </c>
      <c r="AQ594" s="16">
        <f t="shared" si="266"/>
        <v>4058480</v>
      </c>
      <c r="AR594" s="16">
        <f t="shared" si="257"/>
        <v>243508.8</v>
      </c>
      <c r="AS594" s="16">
        <f t="shared" si="267"/>
        <v>26785.967999999997</v>
      </c>
      <c r="AT594" s="16">
        <f t="shared" si="268"/>
        <v>-4870.1759999999995</v>
      </c>
      <c r="AU594" s="16">
        <f t="shared" si="269"/>
        <v>4297118.6239999998</v>
      </c>
      <c r="AV594" s="16">
        <f t="shared" si="270"/>
        <v>4301988.8</v>
      </c>
      <c r="AW594" s="16">
        <f t="shared" si="271"/>
        <v>0</v>
      </c>
      <c r="AX594" s="16" t="s">
        <v>91</v>
      </c>
      <c r="AZ594" s="17">
        <f t="shared" si="279"/>
        <v>0</v>
      </c>
      <c r="BA594" s="16">
        <f t="shared" si="272"/>
        <v>3733000</v>
      </c>
      <c r="BB594" s="16">
        <f t="shared" si="273"/>
        <v>3733000</v>
      </c>
      <c r="BC594" s="15">
        <v>0.02</v>
      </c>
      <c r="BD594">
        <v>0.01</v>
      </c>
      <c r="BE594" s="37">
        <f t="shared" si="274"/>
        <v>0</v>
      </c>
      <c r="BF594" s="38">
        <f t="shared" si="275"/>
        <v>0</v>
      </c>
      <c r="BG594" s="37">
        <f t="shared" si="256"/>
        <v>186650</v>
      </c>
      <c r="BH594" s="37">
        <f t="shared" si="276"/>
        <v>197500</v>
      </c>
      <c r="BI594">
        <v>186650</v>
      </c>
      <c r="BJ594" s="48">
        <f t="shared" si="280"/>
        <v>74660</v>
      </c>
      <c r="BK594" s="48"/>
      <c r="BL594" s="8">
        <f t="shared" si="277"/>
        <v>0</v>
      </c>
      <c r="BM594" s="7" t="str">
        <f t="shared" si="258"/>
        <v>Tidak Terdaftar</v>
      </c>
      <c r="BN594" s="11">
        <f t="shared" si="261"/>
        <v>146150.00000000003</v>
      </c>
      <c r="BO594" s="11">
        <f t="shared" si="259"/>
        <v>179330</v>
      </c>
      <c r="BP594" s="9">
        <f t="shared" si="278"/>
        <v>0</v>
      </c>
      <c r="BQ594" t="s">
        <v>8</v>
      </c>
    </row>
    <row r="595" spans="1:69" x14ac:dyDescent="0.3">
      <c r="A595" s="2">
        <v>594</v>
      </c>
      <c r="B595" s="5" t="s">
        <v>578</v>
      </c>
      <c r="C595" s="6" t="s">
        <v>241</v>
      </c>
      <c r="D595" s="6"/>
      <c r="E595" s="6" t="s">
        <v>73</v>
      </c>
      <c r="F595" s="6" t="s">
        <v>73</v>
      </c>
      <c r="G595" s="6"/>
      <c r="H595" s="6"/>
      <c r="J595" t="s">
        <v>515</v>
      </c>
      <c r="K595" s="6">
        <v>800725</v>
      </c>
      <c r="L595" s="39"/>
      <c r="M595" s="6"/>
      <c r="N595" s="6" t="s">
        <v>577</v>
      </c>
      <c r="O595" s="6">
        <v>2293269388</v>
      </c>
      <c r="P595" s="48" t="s">
        <v>576</v>
      </c>
      <c r="Q595" s="6">
        <v>33085</v>
      </c>
      <c r="R595" s="6">
        <v>27510</v>
      </c>
      <c r="S595" s="5" t="str">
        <f>VLOOKUP(T595,'[1]Kode Posisi'!$A$3:$B$45,2,)</f>
        <v>Outsourcing Petugas Gudang</v>
      </c>
      <c r="T595" t="s">
        <v>2</v>
      </c>
      <c r="V595" t="s">
        <v>575</v>
      </c>
      <c r="W595" s="5" t="s">
        <v>410</v>
      </c>
      <c r="X595" s="5" t="s">
        <v>409</v>
      </c>
      <c r="Y595" t="s">
        <v>63</v>
      </c>
      <c r="Z595" s="57" t="s">
        <v>574</v>
      </c>
      <c r="AA595" t="s">
        <v>573</v>
      </c>
      <c r="AB595" s="3">
        <v>3733000</v>
      </c>
      <c r="AC595" s="3" t="s">
        <v>510</v>
      </c>
      <c r="AD595" s="52" t="s">
        <v>509</v>
      </c>
      <c r="AE595" s="48">
        <f t="shared" si="281"/>
        <v>217000</v>
      </c>
      <c r="AI595" s="16">
        <v>0</v>
      </c>
      <c r="AK595" s="16"/>
      <c r="AL595" s="11">
        <f t="shared" si="262"/>
        <v>3733000</v>
      </c>
      <c r="AM595" s="16">
        <f t="shared" si="263"/>
        <v>325480</v>
      </c>
      <c r="AN595" s="16">
        <f t="shared" si="264"/>
        <v>158000</v>
      </c>
      <c r="AO595" s="16">
        <f t="shared" si="260"/>
        <v>167480</v>
      </c>
      <c r="AP595" s="16">
        <f t="shared" si="265"/>
        <v>0</v>
      </c>
      <c r="AQ595" s="16">
        <f t="shared" si="266"/>
        <v>4058480</v>
      </c>
      <c r="AR595" s="16">
        <f t="shared" si="257"/>
        <v>243508.8</v>
      </c>
      <c r="AS595" s="16">
        <f t="shared" si="267"/>
        <v>26785.967999999997</v>
      </c>
      <c r="AT595" s="16">
        <f t="shared" si="268"/>
        <v>-4870.1759999999995</v>
      </c>
      <c r="AU595" s="16">
        <f t="shared" si="269"/>
        <v>4297118.6239999998</v>
      </c>
      <c r="AV595" s="16">
        <f t="shared" si="270"/>
        <v>4301988.8</v>
      </c>
      <c r="AW595" s="16">
        <f t="shared" si="271"/>
        <v>0</v>
      </c>
      <c r="AX595" s="16" t="s">
        <v>319</v>
      </c>
      <c r="AZ595" s="17">
        <f t="shared" si="279"/>
        <v>2900</v>
      </c>
      <c r="BA595" s="16">
        <f t="shared" si="272"/>
        <v>3733000</v>
      </c>
      <c r="BB595" s="16">
        <f t="shared" si="273"/>
        <v>3730100</v>
      </c>
      <c r="BC595" s="15">
        <v>0.02</v>
      </c>
      <c r="BD595">
        <v>0.01</v>
      </c>
      <c r="BE595" s="37">
        <f t="shared" si="274"/>
        <v>0</v>
      </c>
      <c r="BF595" s="38">
        <f t="shared" si="275"/>
        <v>0</v>
      </c>
      <c r="BG595" s="37">
        <f t="shared" si="256"/>
        <v>186650</v>
      </c>
      <c r="BH595" s="37">
        <f t="shared" si="276"/>
        <v>197500</v>
      </c>
      <c r="BI595">
        <v>186650</v>
      </c>
      <c r="BJ595" s="48">
        <f t="shared" si="280"/>
        <v>74660</v>
      </c>
      <c r="BK595" s="48"/>
      <c r="BL595" s="8">
        <f t="shared" si="277"/>
        <v>0</v>
      </c>
      <c r="BM595" s="7" t="str">
        <f t="shared" si="258"/>
        <v>Tidak Terdaftar</v>
      </c>
      <c r="BN595" s="11">
        <f t="shared" si="261"/>
        <v>146150.00000000003</v>
      </c>
      <c r="BO595" s="11">
        <f t="shared" si="259"/>
        <v>179330</v>
      </c>
      <c r="BP595" s="9">
        <f t="shared" si="278"/>
        <v>0</v>
      </c>
      <c r="BQ595" t="s">
        <v>8</v>
      </c>
    </row>
    <row r="596" spans="1:69" x14ac:dyDescent="0.3">
      <c r="A596" s="2">
        <v>595</v>
      </c>
      <c r="B596" s="5" t="s">
        <v>572</v>
      </c>
      <c r="C596" s="6" t="s">
        <v>241</v>
      </c>
      <c r="D596" s="6"/>
      <c r="E596" s="6" t="s">
        <v>73</v>
      </c>
      <c r="F596" s="6" t="s">
        <v>73</v>
      </c>
      <c r="G596" s="6"/>
      <c r="H596" s="6"/>
      <c r="J596" t="s">
        <v>515</v>
      </c>
      <c r="K596" s="6">
        <v>800726</v>
      </c>
      <c r="L596" s="39"/>
      <c r="M596" s="6"/>
      <c r="N596" s="6" t="s">
        <v>571</v>
      </c>
      <c r="O596" s="6">
        <v>462538462</v>
      </c>
      <c r="P596" s="48" t="s">
        <v>570</v>
      </c>
      <c r="Q596" s="6">
        <v>33085</v>
      </c>
      <c r="R596" s="6">
        <v>27510</v>
      </c>
      <c r="S596" s="5" t="str">
        <f>VLOOKUP(T596,'[1]Kode Posisi'!$A$3:$B$45,2,)</f>
        <v>Outsourcing Petugas Gudang</v>
      </c>
      <c r="T596" t="s">
        <v>2</v>
      </c>
      <c r="V596" t="s">
        <v>569</v>
      </c>
      <c r="W596" s="5" t="s">
        <v>410</v>
      </c>
      <c r="X596" s="5" t="s">
        <v>409</v>
      </c>
      <c r="Y596" t="s">
        <v>52</v>
      </c>
      <c r="Z596" s="46">
        <v>2831681944</v>
      </c>
      <c r="AA596" t="s">
        <v>568</v>
      </c>
      <c r="AB596" s="3">
        <v>3733000</v>
      </c>
      <c r="AC596" s="3" t="s">
        <v>510</v>
      </c>
      <c r="AD596" s="52" t="s">
        <v>509</v>
      </c>
      <c r="AE596" s="48">
        <f t="shared" si="281"/>
        <v>217000</v>
      </c>
      <c r="AI596" s="16">
        <v>0</v>
      </c>
      <c r="AK596" s="16"/>
      <c r="AL596" s="11">
        <f t="shared" si="262"/>
        <v>3733000</v>
      </c>
      <c r="AM596" s="16">
        <f t="shared" si="263"/>
        <v>325480</v>
      </c>
      <c r="AN596" s="16">
        <f t="shared" si="264"/>
        <v>158000</v>
      </c>
      <c r="AO596" s="16">
        <f t="shared" si="260"/>
        <v>167480</v>
      </c>
      <c r="AP596" s="16">
        <f t="shared" si="265"/>
        <v>0</v>
      </c>
      <c r="AQ596" s="16">
        <f t="shared" si="266"/>
        <v>4058480</v>
      </c>
      <c r="AR596" s="16">
        <f t="shared" si="257"/>
        <v>243508.8</v>
      </c>
      <c r="AS596" s="16">
        <f t="shared" si="267"/>
        <v>26785.967999999997</v>
      </c>
      <c r="AT596" s="16">
        <f t="shared" si="268"/>
        <v>-4870.1759999999995</v>
      </c>
      <c r="AU596" s="16">
        <f t="shared" si="269"/>
        <v>4297118.6239999998</v>
      </c>
      <c r="AV596" s="16">
        <f t="shared" si="270"/>
        <v>4301988.8</v>
      </c>
      <c r="AW596" s="16">
        <f t="shared" si="271"/>
        <v>0</v>
      </c>
      <c r="AX596" s="16" t="s">
        <v>319</v>
      </c>
      <c r="AZ596" s="17">
        <f t="shared" si="279"/>
        <v>0</v>
      </c>
      <c r="BA596" s="16">
        <f t="shared" si="272"/>
        <v>3733000</v>
      </c>
      <c r="BB596" s="16">
        <f t="shared" si="273"/>
        <v>3733000</v>
      </c>
      <c r="BC596" s="15">
        <v>0.02</v>
      </c>
      <c r="BD596">
        <v>0.01</v>
      </c>
      <c r="BE596" s="37">
        <f t="shared" si="274"/>
        <v>0</v>
      </c>
      <c r="BF596" s="38">
        <f t="shared" si="275"/>
        <v>0</v>
      </c>
      <c r="BG596" s="37">
        <f t="shared" si="256"/>
        <v>186650</v>
      </c>
      <c r="BH596" s="37">
        <f t="shared" si="276"/>
        <v>197500</v>
      </c>
      <c r="BI596">
        <v>186650</v>
      </c>
      <c r="BJ596" s="48">
        <f t="shared" si="280"/>
        <v>74660</v>
      </c>
      <c r="BK596" s="48"/>
      <c r="BL596" s="8">
        <f t="shared" si="277"/>
        <v>0</v>
      </c>
      <c r="BM596" s="7" t="str">
        <f t="shared" si="258"/>
        <v>Tidak Terdaftar</v>
      </c>
      <c r="BN596" s="11">
        <f t="shared" si="261"/>
        <v>146150.00000000003</v>
      </c>
      <c r="BO596" s="11">
        <f t="shared" si="259"/>
        <v>179330</v>
      </c>
      <c r="BP596" s="9">
        <f t="shared" si="278"/>
        <v>0</v>
      </c>
      <c r="BQ596" t="s">
        <v>8</v>
      </c>
    </row>
    <row r="597" spans="1:69" x14ac:dyDescent="0.3">
      <c r="A597" s="2">
        <v>596</v>
      </c>
      <c r="B597" s="5" t="s">
        <v>567</v>
      </c>
      <c r="C597" s="6" t="s">
        <v>241</v>
      </c>
      <c r="D597" s="6"/>
      <c r="E597" s="6" t="s">
        <v>73</v>
      </c>
      <c r="F597" s="6" t="s">
        <v>73</v>
      </c>
      <c r="G597" s="6"/>
      <c r="H597" s="6"/>
      <c r="J597" t="s">
        <v>515</v>
      </c>
      <c r="K597" s="6">
        <v>800727</v>
      </c>
      <c r="L597" s="39"/>
      <c r="M597" s="6"/>
      <c r="N597" s="6" t="s">
        <v>566</v>
      </c>
      <c r="O597" s="6">
        <v>1659382255</v>
      </c>
      <c r="P597" s="48" t="s">
        <v>565</v>
      </c>
      <c r="Q597" s="6">
        <v>33085</v>
      </c>
      <c r="R597" s="6">
        <v>27510</v>
      </c>
      <c r="S597" s="5" t="str">
        <f>VLOOKUP(T597,'[1]Kode Posisi'!$A$3:$B$45,2,)</f>
        <v>Outsourcing Petugas Gudang</v>
      </c>
      <c r="T597" t="s">
        <v>2</v>
      </c>
      <c r="V597" t="s">
        <v>564</v>
      </c>
      <c r="W597" s="5" t="s">
        <v>410</v>
      </c>
      <c r="X597" s="5" t="s">
        <v>409</v>
      </c>
      <c r="Y597" t="s">
        <v>52</v>
      </c>
      <c r="Z597" s="46">
        <v>7740728355</v>
      </c>
      <c r="AA597" t="s">
        <v>563</v>
      </c>
      <c r="AB597" s="3">
        <v>3733000</v>
      </c>
      <c r="AC597" s="3" t="s">
        <v>510</v>
      </c>
      <c r="AD597" s="52" t="s">
        <v>509</v>
      </c>
      <c r="AE597" s="48">
        <f t="shared" si="281"/>
        <v>217000</v>
      </c>
      <c r="AI597" s="16">
        <v>0</v>
      </c>
      <c r="AK597" s="16"/>
      <c r="AL597" s="11">
        <f t="shared" si="262"/>
        <v>3733000</v>
      </c>
      <c r="AM597" s="16">
        <f t="shared" si="263"/>
        <v>325480</v>
      </c>
      <c r="AN597" s="16">
        <f t="shared" si="264"/>
        <v>158000</v>
      </c>
      <c r="AO597" s="16">
        <f t="shared" si="260"/>
        <v>167480</v>
      </c>
      <c r="AP597" s="16">
        <f t="shared" si="265"/>
        <v>0</v>
      </c>
      <c r="AQ597" s="16">
        <f t="shared" si="266"/>
        <v>4058480</v>
      </c>
      <c r="AR597" s="16">
        <f t="shared" si="257"/>
        <v>243508.8</v>
      </c>
      <c r="AS597" s="16">
        <f t="shared" si="267"/>
        <v>26785.967999999997</v>
      </c>
      <c r="AT597" s="16">
        <f t="shared" si="268"/>
        <v>-4870.1759999999995</v>
      </c>
      <c r="AU597" s="16">
        <f t="shared" si="269"/>
        <v>4297118.6239999998</v>
      </c>
      <c r="AV597" s="16">
        <f t="shared" si="270"/>
        <v>4301988.8</v>
      </c>
      <c r="AW597" s="16">
        <f t="shared" si="271"/>
        <v>0</v>
      </c>
      <c r="AX597" s="16" t="s">
        <v>286</v>
      </c>
      <c r="AZ597" s="17">
        <f t="shared" si="279"/>
        <v>0</v>
      </c>
      <c r="BA597" s="16">
        <f t="shared" si="272"/>
        <v>3733000</v>
      </c>
      <c r="BB597" s="16">
        <f t="shared" si="273"/>
        <v>3733000</v>
      </c>
      <c r="BC597" s="15">
        <v>0.02</v>
      </c>
      <c r="BD597">
        <v>0.01</v>
      </c>
      <c r="BE597" s="37">
        <f t="shared" si="274"/>
        <v>0</v>
      </c>
      <c r="BF597" s="38">
        <f t="shared" si="275"/>
        <v>0</v>
      </c>
      <c r="BG597" s="37">
        <f t="shared" si="256"/>
        <v>186650</v>
      </c>
      <c r="BH597" s="37">
        <f t="shared" si="276"/>
        <v>197500</v>
      </c>
      <c r="BI597">
        <v>186650</v>
      </c>
      <c r="BJ597" s="48">
        <f t="shared" si="280"/>
        <v>74660</v>
      </c>
      <c r="BK597" s="48"/>
      <c r="BL597" s="8">
        <f t="shared" si="277"/>
        <v>0</v>
      </c>
      <c r="BM597" s="7" t="str">
        <f t="shared" si="258"/>
        <v>Tidak Terdaftar</v>
      </c>
      <c r="BN597" s="11">
        <f t="shared" si="261"/>
        <v>146150.00000000003</v>
      </c>
      <c r="BO597" s="11">
        <f t="shared" si="259"/>
        <v>179330</v>
      </c>
      <c r="BP597" s="9">
        <f t="shared" si="278"/>
        <v>0</v>
      </c>
      <c r="BQ597" t="s">
        <v>8</v>
      </c>
    </row>
    <row r="598" spans="1:69" x14ac:dyDescent="0.3">
      <c r="A598" s="2">
        <v>597</v>
      </c>
      <c r="B598" s="5" t="s">
        <v>559</v>
      </c>
      <c r="C598" s="6" t="s">
        <v>241</v>
      </c>
      <c r="D598" s="6"/>
      <c r="E598" s="6" t="s">
        <v>73</v>
      </c>
      <c r="F598" s="6" t="s">
        <v>73</v>
      </c>
      <c r="G598" s="6"/>
      <c r="H598" s="6"/>
      <c r="J598" t="s">
        <v>515</v>
      </c>
      <c r="K598" s="6">
        <v>800728</v>
      </c>
      <c r="L598" s="39"/>
      <c r="M598" s="6"/>
      <c r="N598" s="6" t="s">
        <v>562</v>
      </c>
      <c r="O598" s="6">
        <v>1737029215</v>
      </c>
      <c r="P598" s="48" t="s">
        <v>561</v>
      </c>
      <c r="Q598" s="6">
        <v>33085</v>
      </c>
      <c r="R598" s="6">
        <v>27510</v>
      </c>
      <c r="S598" s="5" t="str">
        <f>VLOOKUP(T598,'[1]Kode Posisi'!$A$3:$B$45,2,)</f>
        <v>Outsourcing Petugas Gudang</v>
      </c>
      <c r="T598" t="s">
        <v>2</v>
      </c>
      <c r="V598" t="s">
        <v>560</v>
      </c>
      <c r="W598" s="5" t="s">
        <v>410</v>
      </c>
      <c r="X598" s="5" t="s">
        <v>409</v>
      </c>
      <c r="Y598" t="s">
        <v>52</v>
      </c>
      <c r="Z598" s="46">
        <v>2832300684</v>
      </c>
      <c r="AA598" t="s">
        <v>559</v>
      </c>
      <c r="AB598" s="3">
        <v>3733000</v>
      </c>
      <c r="AC598" s="3" t="s">
        <v>510</v>
      </c>
      <c r="AD598" s="52" t="s">
        <v>509</v>
      </c>
      <c r="AE598" s="48">
        <f t="shared" si="281"/>
        <v>217000</v>
      </c>
      <c r="AI598" s="16">
        <v>0</v>
      </c>
      <c r="AK598" s="16"/>
      <c r="AL598" s="11">
        <f t="shared" si="262"/>
        <v>3733000</v>
      </c>
      <c r="AM598" s="16">
        <f t="shared" si="263"/>
        <v>325480</v>
      </c>
      <c r="AN598" s="16">
        <f t="shared" si="264"/>
        <v>158000</v>
      </c>
      <c r="AO598" s="16">
        <f t="shared" si="260"/>
        <v>167480</v>
      </c>
      <c r="AP598" s="16">
        <f t="shared" si="265"/>
        <v>0</v>
      </c>
      <c r="AQ598" s="16">
        <f t="shared" si="266"/>
        <v>4058480</v>
      </c>
      <c r="AR598" s="16">
        <f t="shared" si="257"/>
        <v>243508.8</v>
      </c>
      <c r="AS598" s="16">
        <f t="shared" si="267"/>
        <v>26785.967999999997</v>
      </c>
      <c r="AT598" s="16">
        <f t="shared" si="268"/>
        <v>-4870.1759999999995</v>
      </c>
      <c r="AU598" s="16">
        <f t="shared" si="269"/>
        <v>4297118.6239999998</v>
      </c>
      <c r="AV598" s="16">
        <f t="shared" si="270"/>
        <v>4301988.8</v>
      </c>
      <c r="AW598" s="16">
        <f t="shared" si="271"/>
        <v>0</v>
      </c>
      <c r="AX598" s="16" t="s">
        <v>235</v>
      </c>
      <c r="AZ598" s="17">
        <f t="shared" si="279"/>
        <v>0</v>
      </c>
      <c r="BA598" s="16">
        <f t="shared" si="272"/>
        <v>3733000</v>
      </c>
      <c r="BB598" s="16">
        <f t="shared" si="273"/>
        <v>3733000</v>
      </c>
      <c r="BC598" s="15">
        <v>0.02</v>
      </c>
      <c r="BD598">
        <v>0.01</v>
      </c>
      <c r="BE598" s="37">
        <f t="shared" si="274"/>
        <v>0</v>
      </c>
      <c r="BF598" s="38">
        <f t="shared" si="275"/>
        <v>0</v>
      </c>
      <c r="BG598" s="37">
        <f t="shared" si="256"/>
        <v>186650</v>
      </c>
      <c r="BH598" s="37">
        <f t="shared" si="276"/>
        <v>197500</v>
      </c>
      <c r="BI598">
        <v>186650</v>
      </c>
      <c r="BJ598" s="48">
        <f t="shared" si="280"/>
        <v>74660</v>
      </c>
      <c r="BK598" s="48"/>
      <c r="BL598" s="8">
        <f t="shared" si="277"/>
        <v>0</v>
      </c>
      <c r="BM598" s="7" t="str">
        <f t="shared" si="258"/>
        <v>Tidak Terdaftar</v>
      </c>
      <c r="BN598" s="11">
        <f t="shared" si="261"/>
        <v>146150.00000000003</v>
      </c>
      <c r="BO598" s="11">
        <f t="shared" si="259"/>
        <v>179330</v>
      </c>
      <c r="BP598" s="9">
        <f t="shared" si="278"/>
        <v>0</v>
      </c>
      <c r="BQ598" t="s">
        <v>8</v>
      </c>
    </row>
    <row r="599" spans="1:69" x14ac:dyDescent="0.3">
      <c r="A599" s="2">
        <v>598</v>
      </c>
      <c r="B599" s="5" t="s">
        <v>558</v>
      </c>
      <c r="C599" s="6" t="s">
        <v>241</v>
      </c>
      <c r="D599" s="6"/>
      <c r="E599" s="6" t="s">
        <v>73</v>
      </c>
      <c r="F599" s="6" t="s">
        <v>73</v>
      </c>
      <c r="G599" s="6"/>
      <c r="H599" s="6"/>
      <c r="J599" t="s">
        <v>515</v>
      </c>
      <c r="K599" s="6">
        <v>800729</v>
      </c>
      <c r="L599" s="39"/>
      <c r="M599" s="6"/>
      <c r="N599" s="6" t="s">
        <v>557</v>
      </c>
      <c r="O599" s="6">
        <v>1004938424</v>
      </c>
      <c r="P599" s="48" t="s">
        <v>556</v>
      </c>
      <c r="Q599" s="6">
        <v>33085</v>
      </c>
      <c r="R599" s="6">
        <v>27510</v>
      </c>
      <c r="S599" s="5" t="str">
        <f>VLOOKUP(T599,'[1]Kode Posisi'!$A$3:$B$45,2,)</f>
        <v>Outsourcing Petugas Gudang</v>
      </c>
      <c r="T599" t="s">
        <v>2</v>
      </c>
      <c r="V599" t="s">
        <v>555</v>
      </c>
      <c r="W599" s="5" t="s">
        <v>410</v>
      </c>
      <c r="X599" s="5" t="s">
        <v>409</v>
      </c>
      <c r="Y599" t="s">
        <v>52</v>
      </c>
      <c r="Z599" s="46">
        <v>1481069691</v>
      </c>
      <c r="AA599" t="s">
        <v>554</v>
      </c>
      <c r="AB599" s="3">
        <v>3733000</v>
      </c>
      <c r="AC599" s="3" t="s">
        <v>510</v>
      </c>
      <c r="AD599" s="52" t="s">
        <v>509</v>
      </c>
      <c r="AE599" s="48">
        <f t="shared" si="281"/>
        <v>217000</v>
      </c>
      <c r="AI599" s="16">
        <v>0</v>
      </c>
      <c r="AK599" s="16"/>
      <c r="AL599" s="11">
        <f t="shared" si="262"/>
        <v>3733000</v>
      </c>
      <c r="AM599" s="16">
        <f t="shared" si="263"/>
        <v>325480</v>
      </c>
      <c r="AN599" s="16">
        <f t="shared" si="264"/>
        <v>158000</v>
      </c>
      <c r="AO599" s="16">
        <f t="shared" si="260"/>
        <v>167480</v>
      </c>
      <c r="AP599" s="16">
        <f t="shared" si="265"/>
        <v>0</v>
      </c>
      <c r="AQ599" s="16">
        <f t="shared" si="266"/>
        <v>4058480</v>
      </c>
      <c r="AR599" s="16">
        <f t="shared" si="257"/>
        <v>243508.8</v>
      </c>
      <c r="AS599" s="16">
        <f t="shared" si="267"/>
        <v>26785.967999999997</v>
      </c>
      <c r="AT599" s="16">
        <f t="shared" si="268"/>
        <v>-4870.1759999999995</v>
      </c>
      <c r="AU599" s="16">
        <f t="shared" si="269"/>
        <v>4297118.6239999998</v>
      </c>
      <c r="AV599" s="16">
        <f t="shared" si="270"/>
        <v>4301988.8</v>
      </c>
      <c r="AW599" s="16">
        <f t="shared" si="271"/>
        <v>0</v>
      </c>
      <c r="AX599" s="16" t="s">
        <v>235</v>
      </c>
      <c r="AZ599" s="17">
        <f t="shared" si="279"/>
        <v>0</v>
      </c>
      <c r="BA599" s="16">
        <f t="shared" si="272"/>
        <v>3733000</v>
      </c>
      <c r="BB599" s="16">
        <f t="shared" si="273"/>
        <v>3733000</v>
      </c>
      <c r="BC599" s="15">
        <v>0.02</v>
      </c>
      <c r="BD599">
        <v>0.01</v>
      </c>
      <c r="BE599" s="37">
        <f t="shared" si="274"/>
        <v>0</v>
      </c>
      <c r="BF599" s="38">
        <f t="shared" si="275"/>
        <v>0</v>
      </c>
      <c r="BG599" s="37">
        <f t="shared" si="256"/>
        <v>186650</v>
      </c>
      <c r="BH599" s="37">
        <f t="shared" si="276"/>
        <v>197500</v>
      </c>
      <c r="BI599">
        <v>186650</v>
      </c>
      <c r="BJ599" s="48">
        <f t="shared" si="280"/>
        <v>74660</v>
      </c>
      <c r="BK599" s="48"/>
      <c r="BL599" s="8">
        <f t="shared" si="277"/>
        <v>0</v>
      </c>
      <c r="BM599" s="7" t="str">
        <f t="shared" si="258"/>
        <v>Tidak Terdaftar</v>
      </c>
      <c r="BN599" s="11">
        <f t="shared" si="261"/>
        <v>146150.00000000003</v>
      </c>
      <c r="BO599" s="11">
        <f t="shared" si="259"/>
        <v>179330</v>
      </c>
      <c r="BP599" s="9">
        <f t="shared" si="278"/>
        <v>0</v>
      </c>
      <c r="BQ599" t="s">
        <v>8</v>
      </c>
    </row>
    <row r="600" spans="1:69" x14ac:dyDescent="0.3">
      <c r="A600" s="2">
        <v>599</v>
      </c>
      <c r="B600" s="5" t="s">
        <v>553</v>
      </c>
      <c r="C600" s="6" t="s">
        <v>241</v>
      </c>
      <c r="D600" s="6"/>
      <c r="E600" s="6" t="s">
        <v>73</v>
      </c>
      <c r="F600" s="6" t="s">
        <v>73</v>
      </c>
      <c r="G600" s="6"/>
      <c r="H600" s="6"/>
      <c r="J600" t="s">
        <v>515</v>
      </c>
      <c r="K600" s="6">
        <v>800730</v>
      </c>
      <c r="L600" s="39"/>
      <c r="M600" s="6"/>
      <c r="N600" s="6" t="s">
        <v>552</v>
      </c>
      <c r="O600" s="6">
        <v>2243113255</v>
      </c>
      <c r="P600" s="48" t="s">
        <v>551</v>
      </c>
      <c r="Q600" s="6">
        <v>33085</v>
      </c>
      <c r="R600" s="6">
        <v>27510</v>
      </c>
      <c r="S600" s="5" t="str">
        <f>VLOOKUP(T600,'[1]Kode Posisi'!$A$3:$B$45,2,)</f>
        <v>Outsourcing Petugas Gudang</v>
      </c>
      <c r="T600" t="s">
        <v>2</v>
      </c>
      <c r="V600" t="s">
        <v>550</v>
      </c>
      <c r="W600" s="5" t="s">
        <v>410</v>
      </c>
      <c r="X600" s="5" t="s">
        <v>409</v>
      </c>
      <c r="Y600" t="s">
        <v>63</v>
      </c>
      <c r="Z600" s="57" t="s">
        <v>549</v>
      </c>
      <c r="AA600" t="s">
        <v>548</v>
      </c>
      <c r="AB600" s="3">
        <v>3733000</v>
      </c>
      <c r="AC600" s="3" t="s">
        <v>510</v>
      </c>
      <c r="AD600" s="52" t="s">
        <v>509</v>
      </c>
      <c r="AE600" s="48">
        <f t="shared" si="281"/>
        <v>217000</v>
      </c>
      <c r="AI600" s="16">
        <v>0</v>
      </c>
      <c r="AK600" s="16"/>
      <c r="AL600" s="11">
        <f t="shared" si="262"/>
        <v>3733000</v>
      </c>
      <c r="AM600" s="16">
        <f t="shared" si="263"/>
        <v>325480</v>
      </c>
      <c r="AN600" s="16">
        <f t="shared" si="264"/>
        <v>158000</v>
      </c>
      <c r="AO600" s="16">
        <f t="shared" si="260"/>
        <v>167480</v>
      </c>
      <c r="AP600" s="16">
        <f t="shared" si="265"/>
        <v>0</v>
      </c>
      <c r="AQ600" s="16">
        <f t="shared" si="266"/>
        <v>4058480</v>
      </c>
      <c r="AR600" s="16">
        <f t="shared" si="257"/>
        <v>243508.8</v>
      </c>
      <c r="AS600" s="16">
        <f t="shared" si="267"/>
        <v>26785.967999999997</v>
      </c>
      <c r="AT600" s="16">
        <f t="shared" si="268"/>
        <v>-4870.1759999999995</v>
      </c>
      <c r="AU600" s="16">
        <f t="shared" si="269"/>
        <v>4297118.6239999998</v>
      </c>
      <c r="AV600" s="16">
        <f t="shared" si="270"/>
        <v>4301988.8</v>
      </c>
      <c r="AW600" s="16">
        <f t="shared" si="271"/>
        <v>0</v>
      </c>
      <c r="AX600" s="16" t="s">
        <v>243</v>
      </c>
      <c r="AZ600" s="17">
        <f t="shared" si="279"/>
        <v>2900</v>
      </c>
      <c r="BA600" s="16">
        <f t="shared" si="272"/>
        <v>3733000</v>
      </c>
      <c r="BB600" s="16">
        <f t="shared" si="273"/>
        <v>3730100</v>
      </c>
      <c r="BC600" s="15">
        <v>0.02</v>
      </c>
      <c r="BD600">
        <v>0.01</v>
      </c>
      <c r="BE600" s="37">
        <f t="shared" si="274"/>
        <v>0</v>
      </c>
      <c r="BF600" s="38">
        <f t="shared" si="275"/>
        <v>0</v>
      </c>
      <c r="BG600" s="37">
        <f t="shared" si="256"/>
        <v>186650</v>
      </c>
      <c r="BH600" s="37">
        <f t="shared" si="276"/>
        <v>197500</v>
      </c>
      <c r="BI600">
        <v>186650</v>
      </c>
      <c r="BJ600" s="48">
        <f t="shared" si="280"/>
        <v>74660</v>
      </c>
      <c r="BK600" s="48"/>
      <c r="BL600" s="8">
        <f t="shared" si="277"/>
        <v>0</v>
      </c>
      <c r="BM600" s="7" t="str">
        <f t="shared" si="258"/>
        <v>Tidak Terdaftar</v>
      </c>
      <c r="BN600" s="11">
        <f t="shared" si="261"/>
        <v>146150.00000000003</v>
      </c>
      <c r="BO600" s="11">
        <f t="shared" si="259"/>
        <v>179330</v>
      </c>
      <c r="BP600" s="9">
        <f t="shared" si="278"/>
        <v>0</v>
      </c>
      <c r="BQ600" t="s">
        <v>8</v>
      </c>
    </row>
    <row r="601" spans="1:69" x14ac:dyDescent="0.3">
      <c r="A601" s="2">
        <v>600</v>
      </c>
      <c r="B601" s="5" t="s">
        <v>547</v>
      </c>
      <c r="C601" s="6" t="s">
        <v>241</v>
      </c>
      <c r="D601" s="6"/>
      <c r="E601" s="6" t="s">
        <v>73</v>
      </c>
      <c r="F601" s="6" t="s">
        <v>73</v>
      </c>
      <c r="G601" s="6"/>
      <c r="H601" s="6"/>
      <c r="J601" t="s">
        <v>515</v>
      </c>
      <c r="K601" s="6">
        <v>800731</v>
      </c>
      <c r="L601" s="39"/>
      <c r="M601" s="6"/>
      <c r="N601" s="6">
        <v>6</v>
      </c>
      <c r="O601" s="6">
        <v>1150839281</v>
      </c>
      <c r="P601" s="48" t="s">
        <v>546</v>
      </c>
      <c r="Q601" s="6">
        <v>33085</v>
      </c>
      <c r="R601" s="6">
        <v>27510</v>
      </c>
      <c r="S601" s="5" t="str">
        <f>VLOOKUP(T601,'[1]Kode Posisi'!$A$3:$B$45,2,)</f>
        <v>Outsourcing Petugas Gudang</v>
      </c>
      <c r="T601" t="s">
        <v>2</v>
      </c>
      <c r="V601" t="s">
        <v>545</v>
      </c>
      <c r="W601" s="5" t="s">
        <v>410</v>
      </c>
      <c r="X601" s="5" t="s">
        <v>409</v>
      </c>
      <c r="Y601" t="s">
        <v>52</v>
      </c>
      <c r="Z601" s="46">
        <v>3761618511</v>
      </c>
      <c r="AA601" t="s">
        <v>544</v>
      </c>
      <c r="AB601" s="3">
        <v>3733000</v>
      </c>
      <c r="AC601" s="3" t="s">
        <v>510</v>
      </c>
      <c r="AD601" s="52" t="s">
        <v>509</v>
      </c>
      <c r="AE601" s="48">
        <f t="shared" si="281"/>
        <v>217000</v>
      </c>
      <c r="AI601" s="16">
        <v>0</v>
      </c>
      <c r="AK601" s="16"/>
      <c r="AL601" s="11">
        <f t="shared" si="262"/>
        <v>3733000</v>
      </c>
      <c r="AM601" s="16">
        <f t="shared" si="263"/>
        <v>325480</v>
      </c>
      <c r="AN601" s="16">
        <f t="shared" si="264"/>
        <v>158000</v>
      </c>
      <c r="AO601" s="16">
        <f t="shared" si="260"/>
        <v>167480</v>
      </c>
      <c r="AP601" s="16">
        <f t="shared" si="265"/>
        <v>0</v>
      </c>
      <c r="AQ601" s="16">
        <f t="shared" si="266"/>
        <v>4058480</v>
      </c>
      <c r="AR601" s="16">
        <f t="shared" si="257"/>
        <v>243508.8</v>
      </c>
      <c r="AS601" s="16">
        <f t="shared" si="267"/>
        <v>26785.967999999997</v>
      </c>
      <c r="AT601" s="16">
        <f t="shared" si="268"/>
        <v>-4870.1759999999995</v>
      </c>
      <c r="AU601" s="16">
        <f t="shared" si="269"/>
        <v>4297118.6239999998</v>
      </c>
      <c r="AV601" s="16">
        <f t="shared" si="270"/>
        <v>4301988.8</v>
      </c>
      <c r="AW601" s="16">
        <f t="shared" si="271"/>
        <v>0</v>
      </c>
      <c r="AX601" s="16" t="s">
        <v>319</v>
      </c>
      <c r="AZ601" s="17">
        <f t="shared" si="279"/>
        <v>0</v>
      </c>
      <c r="BA601" s="16">
        <f t="shared" si="272"/>
        <v>3733000</v>
      </c>
      <c r="BB601" s="16">
        <f t="shared" si="273"/>
        <v>3733000</v>
      </c>
      <c r="BC601" s="15">
        <v>0.02</v>
      </c>
      <c r="BD601">
        <v>0.01</v>
      </c>
      <c r="BE601" s="37">
        <f t="shared" si="274"/>
        <v>0</v>
      </c>
      <c r="BF601" s="38">
        <f t="shared" si="275"/>
        <v>0</v>
      </c>
      <c r="BG601" s="37">
        <f t="shared" si="256"/>
        <v>186650</v>
      </c>
      <c r="BH601" s="37">
        <f t="shared" si="276"/>
        <v>197500</v>
      </c>
      <c r="BI601">
        <v>186650</v>
      </c>
      <c r="BJ601" s="48">
        <f t="shared" si="280"/>
        <v>74660</v>
      </c>
      <c r="BK601" s="48"/>
      <c r="BL601" s="8">
        <f t="shared" si="277"/>
        <v>0</v>
      </c>
      <c r="BM601" s="7" t="str">
        <f t="shared" si="258"/>
        <v>Tidak Terdaftar</v>
      </c>
      <c r="BN601" s="11">
        <f t="shared" si="261"/>
        <v>146150.00000000003</v>
      </c>
      <c r="BO601" s="11">
        <f t="shared" si="259"/>
        <v>179330</v>
      </c>
      <c r="BP601" s="9">
        <f t="shared" si="278"/>
        <v>0</v>
      </c>
      <c r="BQ601" t="s">
        <v>8</v>
      </c>
    </row>
    <row r="602" spans="1:69" x14ac:dyDescent="0.3">
      <c r="A602" s="2">
        <v>601</v>
      </c>
      <c r="B602" s="5" t="s">
        <v>543</v>
      </c>
      <c r="C602" s="6" t="s">
        <v>241</v>
      </c>
      <c r="D602" s="6"/>
      <c r="E602" s="6" t="s">
        <v>73</v>
      </c>
      <c r="F602" s="6" t="s">
        <v>73</v>
      </c>
      <c r="G602" s="6"/>
      <c r="H602" s="6"/>
      <c r="J602" t="s">
        <v>515</v>
      </c>
      <c r="K602" s="6">
        <v>800732</v>
      </c>
      <c r="L602" s="39"/>
      <c r="M602" s="6"/>
      <c r="N602" s="6" t="s">
        <v>542</v>
      </c>
      <c r="O602" s="6">
        <v>2748465393</v>
      </c>
      <c r="P602" s="48" t="s">
        <v>541</v>
      </c>
      <c r="Q602" s="6">
        <v>33085</v>
      </c>
      <c r="R602" s="6">
        <v>27510</v>
      </c>
      <c r="S602" s="5" t="str">
        <f>VLOOKUP(T602,'[1]Kode Posisi'!$A$3:$B$45,2,)</f>
        <v>Outsourcing Petugas Gudang</v>
      </c>
      <c r="T602" t="s">
        <v>2</v>
      </c>
      <c r="V602" t="s">
        <v>540</v>
      </c>
      <c r="W602" s="5" t="s">
        <v>410</v>
      </c>
      <c r="X602" s="5" t="s">
        <v>409</v>
      </c>
      <c r="Y602" t="s">
        <v>52</v>
      </c>
      <c r="Z602" s="46">
        <v>7405224569</v>
      </c>
      <c r="AA602" t="s">
        <v>539</v>
      </c>
      <c r="AB602" s="3">
        <v>3733000</v>
      </c>
      <c r="AC602" s="3" t="s">
        <v>510</v>
      </c>
      <c r="AD602" s="52" t="s">
        <v>509</v>
      </c>
      <c r="AE602" s="48">
        <f t="shared" si="281"/>
        <v>217000</v>
      </c>
      <c r="AI602" s="16">
        <v>0</v>
      </c>
      <c r="AK602" s="16"/>
      <c r="AL602" s="11">
        <f t="shared" si="262"/>
        <v>3733000</v>
      </c>
      <c r="AM602" s="16">
        <f t="shared" si="263"/>
        <v>325480</v>
      </c>
      <c r="AN602" s="16">
        <f t="shared" si="264"/>
        <v>158000</v>
      </c>
      <c r="AO602" s="16">
        <f t="shared" ref="AO602:AO608" si="282">IF(BC602=0.02,AC602*0.0424,0)</f>
        <v>167480</v>
      </c>
      <c r="AP602" s="16">
        <f t="shared" si="265"/>
        <v>0</v>
      </c>
      <c r="AQ602" s="16">
        <f t="shared" si="266"/>
        <v>4058480</v>
      </c>
      <c r="AR602" s="16">
        <f t="shared" si="257"/>
        <v>243508.8</v>
      </c>
      <c r="AS602" s="16">
        <f t="shared" si="267"/>
        <v>26785.967999999997</v>
      </c>
      <c r="AT602" s="16">
        <f t="shared" si="268"/>
        <v>-4870.1759999999995</v>
      </c>
      <c r="AU602" s="16">
        <f t="shared" si="269"/>
        <v>4297118.6239999998</v>
      </c>
      <c r="AV602" s="16">
        <f t="shared" si="270"/>
        <v>4301988.8</v>
      </c>
      <c r="AW602" s="16">
        <f t="shared" si="271"/>
        <v>0</v>
      </c>
      <c r="AX602" s="16" t="s">
        <v>235</v>
      </c>
      <c r="AZ602" s="17">
        <f t="shared" si="279"/>
        <v>0</v>
      </c>
      <c r="BA602" s="16">
        <f t="shared" si="272"/>
        <v>3733000</v>
      </c>
      <c r="BB602" s="16">
        <f t="shared" si="273"/>
        <v>3733000</v>
      </c>
      <c r="BC602" s="15">
        <v>0.02</v>
      </c>
      <c r="BD602">
        <v>0.01</v>
      </c>
      <c r="BE602" s="37">
        <f t="shared" si="274"/>
        <v>0</v>
      </c>
      <c r="BF602" s="38">
        <f t="shared" si="275"/>
        <v>0</v>
      </c>
      <c r="BG602" s="37">
        <f t="shared" si="256"/>
        <v>186650</v>
      </c>
      <c r="BH602" s="37">
        <f t="shared" si="276"/>
        <v>197500</v>
      </c>
      <c r="BI602">
        <v>186650</v>
      </c>
      <c r="BJ602" s="48">
        <f t="shared" si="280"/>
        <v>74660</v>
      </c>
      <c r="BK602" s="48"/>
      <c r="BL602" s="8">
        <f t="shared" si="277"/>
        <v>0</v>
      </c>
      <c r="BM602" s="7" t="str">
        <f t="shared" si="258"/>
        <v>Tidak Terdaftar</v>
      </c>
      <c r="BN602" s="11">
        <f t="shared" ref="BN602:BN608" si="283">AC602*3.7%</f>
        <v>146150.00000000003</v>
      </c>
      <c r="BO602" s="11">
        <f t="shared" si="259"/>
        <v>179330</v>
      </c>
      <c r="BP602" s="9">
        <f t="shared" si="278"/>
        <v>0</v>
      </c>
      <c r="BQ602" t="s">
        <v>8</v>
      </c>
    </row>
    <row r="603" spans="1:69" x14ac:dyDescent="0.3">
      <c r="A603" s="2">
        <v>602</v>
      </c>
      <c r="B603" s="5" t="s">
        <v>534</v>
      </c>
      <c r="C603" s="6" t="s">
        <v>241</v>
      </c>
      <c r="D603" s="6"/>
      <c r="E603" s="6" t="s">
        <v>73</v>
      </c>
      <c r="F603" s="6" t="s">
        <v>73</v>
      </c>
      <c r="G603" s="6"/>
      <c r="H603" s="6"/>
      <c r="I603" t="s">
        <v>538</v>
      </c>
      <c r="J603" t="s">
        <v>515</v>
      </c>
      <c r="K603" s="6">
        <v>800733</v>
      </c>
      <c r="L603" s="39"/>
      <c r="M603" s="6"/>
      <c r="N603" s="6" t="s">
        <v>537</v>
      </c>
      <c r="O603" s="6">
        <v>461628246</v>
      </c>
      <c r="P603" s="48" t="s">
        <v>536</v>
      </c>
      <c r="Q603" s="6">
        <v>33085</v>
      </c>
      <c r="R603" s="6">
        <v>27510</v>
      </c>
      <c r="S603" s="5" t="str">
        <f>VLOOKUP(T603,'[1]Kode Posisi'!$A$3:$B$45,2,)</f>
        <v>Outsourcing Petugas Gudang</v>
      </c>
      <c r="T603" t="s">
        <v>2</v>
      </c>
      <c r="V603" t="s">
        <v>535</v>
      </c>
      <c r="W603" s="5" t="s">
        <v>410</v>
      </c>
      <c r="X603" s="5" t="s">
        <v>409</v>
      </c>
      <c r="Y603" t="s">
        <v>52</v>
      </c>
      <c r="Z603" s="46">
        <v>7405224615</v>
      </c>
      <c r="AA603" t="s">
        <v>534</v>
      </c>
      <c r="AB603" s="3">
        <v>3733000</v>
      </c>
      <c r="AC603" s="3" t="s">
        <v>510</v>
      </c>
      <c r="AD603" s="52" t="s">
        <v>509</v>
      </c>
      <c r="AE603" s="48">
        <f t="shared" si="281"/>
        <v>217000</v>
      </c>
      <c r="AI603" s="16">
        <v>0</v>
      </c>
      <c r="AK603" s="16"/>
      <c r="AL603" s="11">
        <f t="shared" si="262"/>
        <v>3733000</v>
      </c>
      <c r="AM603" s="16">
        <f t="shared" si="263"/>
        <v>325480</v>
      </c>
      <c r="AN603" s="16">
        <f t="shared" si="264"/>
        <v>158000</v>
      </c>
      <c r="AO603" s="16">
        <f t="shared" si="282"/>
        <v>167480</v>
      </c>
      <c r="AP603" s="16">
        <f t="shared" si="265"/>
        <v>0</v>
      </c>
      <c r="AQ603" s="16">
        <f t="shared" si="266"/>
        <v>4058480</v>
      </c>
      <c r="AR603" s="16">
        <f t="shared" si="257"/>
        <v>243508.8</v>
      </c>
      <c r="AS603" s="16">
        <f t="shared" si="267"/>
        <v>26785.967999999997</v>
      </c>
      <c r="AT603" s="16">
        <f t="shared" si="268"/>
        <v>-4870.1759999999995</v>
      </c>
      <c r="AU603" s="16">
        <f t="shared" si="269"/>
        <v>4297118.6239999998</v>
      </c>
      <c r="AV603" s="16">
        <f t="shared" si="270"/>
        <v>4301988.8</v>
      </c>
      <c r="AW603" s="16">
        <f t="shared" si="271"/>
        <v>0</v>
      </c>
      <c r="AX603" s="16" t="s">
        <v>235</v>
      </c>
      <c r="AZ603" s="17">
        <f t="shared" si="279"/>
        <v>0</v>
      </c>
      <c r="BA603" s="16">
        <f t="shared" si="272"/>
        <v>3733000</v>
      </c>
      <c r="BB603" s="16">
        <f t="shared" si="273"/>
        <v>3733000</v>
      </c>
      <c r="BC603" s="15">
        <v>0.02</v>
      </c>
      <c r="BD603">
        <v>0.01</v>
      </c>
      <c r="BE603" s="37">
        <f t="shared" si="274"/>
        <v>0</v>
      </c>
      <c r="BF603" s="38">
        <f t="shared" si="275"/>
        <v>0</v>
      </c>
      <c r="BG603" s="37">
        <f t="shared" si="256"/>
        <v>186650</v>
      </c>
      <c r="BH603" s="37">
        <f t="shared" si="276"/>
        <v>197500</v>
      </c>
      <c r="BI603">
        <v>186650</v>
      </c>
      <c r="BJ603" s="48">
        <f t="shared" si="280"/>
        <v>74660</v>
      </c>
      <c r="BK603" s="48"/>
      <c r="BL603" s="8">
        <f t="shared" si="277"/>
        <v>0</v>
      </c>
      <c r="BM603" s="7" t="str">
        <f t="shared" si="258"/>
        <v>Tidak Terdaftar</v>
      </c>
      <c r="BN603" s="11">
        <f t="shared" si="283"/>
        <v>146150.00000000003</v>
      </c>
      <c r="BO603" s="11">
        <f t="shared" si="259"/>
        <v>179330</v>
      </c>
      <c r="BP603" s="9">
        <f t="shared" si="278"/>
        <v>0</v>
      </c>
      <c r="BQ603" t="s">
        <v>8</v>
      </c>
    </row>
    <row r="604" spans="1:69" x14ac:dyDescent="0.3">
      <c r="A604" s="2">
        <v>603</v>
      </c>
      <c r="B604" s="5" t="s">
        <v>533</v>
      </c>
      <c r="C604" s="6" t="s">
        <v>241</v>
      </c>
      <c r="D604" s="6"/>
      <c r="E604" s="6" t="s">
        <v>73</v>
      </c>
      <c r="F604" s="6" t="s">
        <v>73</v>
      </c>
      <c r="G604" s="6"/>
      <c r="H604" s="6"/>
      <c r="J604" t="s">
        <v>515</v>
      </c>
      <c r="K604" s="6">
        <v>800734</v>
      </c>
      <c r="L604" s="39">
        <v>45474</v>
      </c>
      <c r="M604" s="6"/>
      <c r="N604" s="6" t="e">
        <v>#N/A</v>
      </c>
      <c r="O604" s="6"/>
      <c r="P604" s="48" t="s">
        <v>532</v>
      </c>
      <c r="Q604" s="6">
        <v>33085</v>
      </c>
      <c r="R604" s="6">
        <v>27510</v>
      </c>
      <c r="S604" s="5" t="str">
        <f>VLOOKUP(T604,'[1]Kode Posisi'!$A$3:$B$45,2,)</f>
        <v>Outsourcing Petugas Gudang</v>
      </c>
      <c r="T604" t="s">
        <v>2</v>
      </c>
      <c r="V604" t="s">
        <v>531</v>
      </c>
      <c r="W604" s="5" t="s">
        <v>410</v>
      </c>
      <c r="X604" s="5" t="s">
        <v>409</v>
      </c>
      <c r="Y604" t="s">
        <v>52</v>
      </c>
      <c r="Z604" s="46">
        <v>7405121336</v>
      </c>
      <c r="AA604" t="s">
        <v>530</v>
      </c>
      <c r="AB604" s="3">
        <v>3733000</v>
      </c>
      <c r="AC604" s="3" t="s">
        <v>510</v>
      </c>
      <c r="AD604" s="52" t="s">
        <v>509</v>
      </c>
      <c r="AE604" s="48">
        <f t="shared" si="281"/>
        <v>217000</v>
      </c>
      <c r="AI604" s="16">
        <v>0</v>
      </c>
      <c r="AK604" s="16"/>
      <c r="AL604" s="11">
        <f t="shared" si="262"/>
        <v>3733000</v>
      </c>
      <c r="AM604" s="16">
        <f t="shared" si="263"/>
        <v>325480</v>
      </c>
      <c r="AN604" s="16">
        <f t="shared" si="264"/>
        <v>158000</v>
      </c>
      <c r="AO604" s="16">
        <f t="shared" si="282"/>
        <v>167480</v>
      </c>
      <c r="AP604" s="16">
        <f t="shared" si="265"/>
        <v>0</v>
      </c>
      <c r="AQ604" s="16">
        <f t="shared" si="266"/>
        <v>4058480</v>
      </c>
      <c r="AR604" s="16">
        <f t="shared" si="257"/>
        <v>243508.8</v>
      </c>
      <c r="AS604" s="16">
        <f t="shared" si="267"/>
        <v>26785.967999999997</v>
      </c>
      <c r="AT604" s="16">
        <f t="shared" si="268"/>
        <v>-4870.1759999999995</v>
      </c>
      <c r="AU604" s="16">
        <f t="shared" si="269"/>
        <v>4297118.6239999998</v>
      </c>
      <c r="AV604" s="16">
        <f t="shared" si="270"/>
        <v>4301988.8</v>
      </c>
      <c r="AW604" s="16">
        <f t="shared" si="271"/>
        <v>0</v>
      </c>
      <c r="AX604" s="16" t="s">
        <v>319</v>
      </c>
      <c r="AZ604" s="17">
        <f t="shared" si="279"/>
        <v>0</v>
      </c>
      <c r="BA604" s="16">
        <f t="shared" si="272"/>
        <v>3733000</v>
      </c>
      <c r="BB604" s="16">
        <f t="shared" si="273"/>
        <v>3733000</v>
      </c>
      <c r="BC604" s="15">
        <v>0.02</v>
      </c>
      <c r="BD604">
        <v>0.01</v>
      </c>
      <c r="BE604" s="37">
        <f t="shared" si="274"/>
        <v>0</v>
      </c>
      <c r="BF604" s="38">
        <f t="shared" si="275"/>
        <v>0</v>
      </c>
      <c r="BG604" s="37">
        <f t="shared" si="256"/>
        <v>186650</v>
      </c>
      <c r="BH604" s="37">
        <f t="shared" si="276"/>
        <v>197500</v>
      </c>
      <c r="BI604">
        <v>0</v>
      </c>
      <c r="BJ604" s="48">
        <f t="shared" si="280"/>
        <v>74660</v>
      </c>
      <c r="BK604" s="48"/>
      <c r="BL604" s="8">
        <f t="shared" si="277"/>
        <v>0</v>
      </c>
      <c r="BM604" s="7" t="str">
        <f t="shared" si="258"/>
        <v>Tidak Terdaftar</v>
      </c>
      <c r="BN604" s="11">
        <f t="shared" si="283"/>
        <v>146150.00000000003</v>
      </c>
      <c r="BO604" s="11">
        <f t="shared" si="259"/>
        <v>179330</v>
      </c>
      <c r="BP604" s="9">
        <f t="shared" si="278"/>
        <v>0</v>
      </c>
      <c r="BQ604" t="s">
        <v>8</v>
      </c>
    </row>
    <row r="605" spans="1:69" x14ac:dyDescent="0.3">
      <c r="A605" s="2">
        <v>604</v>
      </c>
      <c r="B605" s="5" t="s">
        <v>529</v>
      </c>
      <c r="C605" s="6" t="s">
        <v>241</v>
      </c>
      <c r="D605" s="6"/>
      <c r="E605" s="6" t="s">
        <v>73</v>
      </c>
      <c r="F605" s="6" t="s">
        <v>73</v>
      </c>
      <c r="G605" s="6"/>
      <c r="H605" s="6"/>
      <c r="J605" t="s">
        <v>515</v>
      </c>
      <c r="K605" s="6">
        <v>800735</v>
      </c>
      <c r="L605" s="39"/>
      <c r="M605" s="6"/>
      <c r="N605" s="6">
        <v>7</v>
      </c>
      <c r="O605" s="6">
        <v>1145848228</v>
      </c>
      <c r="P605" s="48" t="s">
        <v>528</v>
      </c>
      <c r="Q605" s="6">
        <v>33085</v>
      </c>
      <c r="R605" s="6">
        <v>27510</v>
      </c>
      <c r="S605" s="5" t="str">
        <f>VLOOKUP(T605,'[1]Kode Posisi'!$A$3:$B$45,2,)</f>
        <v>Outsourcing Petugas Gudang</v>
      </c>
      <c r="T605" t="s">
        <v>2</v>
      </c>
      <c r="V605" t="s">
        <v>527</v>
      </c>
      <c r="W605" s="5" t="s">
        <v>410</v>
      </c>
      <c r="X605" s="5" t="s">
        <v>409</v>
      </c>
      <c r="Y605" t="s">
        <v>52</v>
      </c>
      <c r="Z605" s="46">
        <v>7770779485</v>
      </c>
      <c r="AA605" t="s">
        <v>526</v>
      </c>
      <c r="AB605" s="3">
        <v>3733000</v>
      </c>
      <c r="AC605" s="3" t="s">
        <v>510</v>
      </c>
      <c r="AD605" s="52" t="s">
        <v>509</v>
      </c>
      <c r="AE605" s="48">
        <f t="shared" si="281"/>
        <v>217000</v>
      </c>
      <c r="AI605" s="16">
        <v>0</v>
      </c>
      <c r="AK605" s="16"/>
      <c r="AL605" s="11">
        <f t="shared" si="262"/>
        <v>3733000</v>
      </c>
      <c r="AM605" s="16">
        <f t="shared" si="263"/>
        <v>325480</v>
      </c>
      <c r="AN605" s="16">
        <f t="shared" si="264"/>
        <v>158000</v>
      </c>
      <c r="AO605" s="16">
        <f t="shared" si="282"/>
        <v>167480</v>
      </c>
      <c r="AP605" s="16">
        <f t="shared" si="265"/>
        <v>0</v>
      </c>
      <c r="AQ605" s="16">
        <f t="shared" si="266"/>
        <v>4058480</v>
      </c>
      <c r="AR605" s="16">
        <f t="shared" si="257"/>
        <v>243508.8</v>
      </c>
      <c r="AS605" s="16">
        <f t="shared" si="267"/>
        <v>26785.967999999997</v>
      </c>
      <c r="AT605" s="16">
        <f t="shared" si="268"/>
        <v>-4870.1759999999995</v>
      </c>
      <c r="AU605" s="16">
        <f t="shared" si="269"/>
        <v>4297118.6239999998</v>
      </c>
      <c r="AV605" s="16">
        <f t="shared" si="270"/>
        <v>4301988.8</v>
      </c>
      <c r="AW605" s="16">
        <f t="shared" si="271"/>
        <v>0</v>
      </c>
      <c r="AX605" s="16" t="s">
        <v>286</v>
      </c>
      <c r="AZ605" s="17">
        <f t="shared" si="279"/>
        <v>0</v>
      </c>
      <c r="BA605" s="16">
        <f t="shared" si="272"/>
        <v>3733000</v>
      </c>
      <c r="BB605" s="16">
        <f t="shared" si="273"/>
        <v>3733000</v>
      </c>
      <c r="BC605" s="15">
        <v>0.02</v>
      </c>
      <c r="BD605">
        <v>0.01</v>
      </c>
      <c r="BE605" s="37">
        <f t="shared" si="274"/>
        <v>0</v>
      </c>
      <c r="BF605" s="38">
        <f t="shared" si="275"/>
        <v>0</v>
      </c>
      <c r="BG605" s="37">
        <f t="shared" si="256"/>
        <v>186650</v>
      </c>
      <c r="BH605" s="37">
        <f t="shared" si="276"/>
        <v>197500</v>
      </c>
      <c r="BI605">
        <v>186650</v>
      </c>
      <c r="BJ605" s="48">
        <f t="shared" si="280"/>
        <v>74660</v>
      </c>
      <c r="BK605" s="48"/>
      <c r="BL605" s="8">
        <f t="shared" si="277"/>
        <v>0</v>
      </c>
      <c r="BM605" s="7" t="str">
        <f t="shared" si="258"/>
        <v>Tidak Terdaftar</v>
      </c>
      <c r="BN605" s="11">
        <f t="shared" si="283"/>
        <v>146150.00000000003</v>
      </c>
      <c r="BO605" s="11">
        <f t="shared" si="259"/>
        <v>179330</v>
      </c>
      <c r="BP605" s="9">
        <f t="shared" si="278"/>
        <v>0</v>
      </c>
      <c r="BQ605" t="s">
        <v>8</v>
      </c>
    </row>
    <row r="606" spans="1:69" x14ac:dyDescent="0.3">
      <c r="A606" s="2">
        <v>605</v>
      </c>
      <c r="B606" s="5" t="s">
        <v>522</v>
      </c>
      <c r="C606" s="6" t="s">
        <v>241</v>
      </c>
      <c r="D606" s="6"/>
      <c r="E606" s="6" t="s">
        <v>73</v>
      </c>
      <c r="F606" s="6" t="s">
        <v>73</v>
      </c>
      <c r="G606" s="6"/>
      <c r="H606" s="6"/>
      <c r="J606" t="s">
        <v>515</v>
      </c>
      <c r="K606" s="6">
        <v>800736</v>
      </c>
      <c r="L606" s="39"/>
      <c r="M606" s="6"/>
      <c r="N606" s="6">
        <v>8</v>
      </c>
      <c r="O606" s="6">
        <v>1826709669</v>
      </c>
      <c r="P606" s="48" t="s">
        <v>525</v>
      </c>
      <c r="Q606" s="6">
        <v>33085</v>
      </c>
      <c r="R606" s="6">
        <v>27510</v>
      </c>
      <c r="S606" s="5" t="str">
        <f>VLOOKUP(T606,'[1]Kode Posisi'!$A$3:$B$45,2,)</f>
        <v>Outsourcing Petugas Gudang</v>
      </c>
      <c r="T606" t="s">
        <v>2</v>
      </c>
      <c r="V606" t="s">
        <v>524</v>
      </c>
      <c r="W606" s="5" t="s">
        <v>410</v>
      </c>
      <c r="X606" s="5" t="s">
        <v>409</v>
      </c>
      <c r="Y606" t="s">
        <v>63</v>
      </c>
      <c r="Z606" s="57" t="s">
        <v>523</v>
      </c>
      <c r="AA606" t="s">
        <v>522</v>
      </c>
      <c r="AB606" s="3">
        <v>3733000</v>
      </c>
      <c r="AC606" s="3" t="s">
        <v>510</v>
      </c>
      <c r="AD606" s="52" t="s">
        <v>509</v>
      </c>
      <c r="AE606" s="48">
        <f t="shared" si="281"/>
        <v>217000</v>
      </c>
      <c r="AI606" s="16">
        <v>0</v>
      </c>
      <c r="AK606" s="16"/>
      <c r="AL606" s="11">
        <f t="shared" si="262"/>
        <v>3733000</v>
      </c>
      <c r="AM606" s="16">
        <f t="shared" si="263"/>
        <v>325480</v>
      </c>
      <c r="AN606" s="16">
        <f t="shared" si="264"/>
        <v>158000</v>
      </c>
      <c r="AO606" s="16">
        <f t="shared" si="282"/>
        <v>167480</v>
      </c>
      <c r="AP606" s="16">
        <f t="shared" si="265"/>
        <v>0</v>
      </c>
      <c r="AQ606" s="16">
        <f t="shared" si="266"/>
        <v>4058480</v>
      </c>
      <c r="AR606" s="16">
        <f t="shared" si="257"/>
        <v>243508.8</v>
      </c>
      <c r="AS606" s="16">
        <f t="shared" si="267"/>
        <v>26785.967999999997</v>
      </c>
      <c r="AT606" s="16">
        <f t="shared" si="268"/>
        <v>-4870.1759999999995</v>
      </c>
      <c r="AU606" s="16">
        <f t="shared" si="269"/>
        <v>4297118.6239999998</v>
      </c>
      <c r="AV606" s="16">
        <f t="shared" si="270"/>
        <v>4301988.8</v>
      </c>
      <c r="AW606" s="16">
        <f t="shared" si="271"/>
        <v>0</v>
      </c>
      <c r="AX606" s="16" t="s">
        <v>235</v>
      </c>
      <c r="AZ606" s="17">
        <f t="shared" si="279"/>
        <v>2900</v>
      </c>
      <c r="BA606" s="16">
        <f t="shared" si="272"/>
        <v>3733000</v>
      </c>
      <c r="BB606" s="16">
        <f t="shared" si="273"/>
        <v>3730100</v>
      </c>
      <c r="BC606" s="15">
        <v>0.02</v>
      </c>
      <c r="BD606">
        <v>0.01</v>
      </c>
      <c r="BE606" s="37">
        <f t="shared" si="274"/>
        <v>0</v>
      </c>
      <c r="BF606" s="38">
        <f t="shared" si="275"/>
        <v>0</v>
      </c>
      <c r="BG606" s="37">
        <f t="shared" si="256"/>
        <v>186650</v>
      </c>
      <c r="BH606" s="37">
        <f t="shared" si="276"/>
        <v>197500</v>
      </c>
      <c r="BI606">
        <v>186650</v>
      </c>
      <c r="BJ606" s="48">
        <f t="shared" si="280"/>
        <v>74660</v>
      </c>
      <c r="BK606" s="48"/>
      <c r="BL606" s="8">
        <f t="shared" si="277"/>
        <v>0</v>
      </c>
      <c r="BM606" s="7" t="str">
        <f t="shared" si="258"/>
        <v>Tidak Terdaftar</v>
      </c>
      <c r="BN606" s="11">
        <f t="shared" si="283"/>
        <v>146150.00000000003</v>
      </c>
      <c r="BO606" s="11">
        <f t="shared" si="259"/>
        <v>179330</v>
      </c>
      <c r="BP606" s="9">
        <f t="shared" si="278"/>
        <v>0</v>
      </c>
      <c r="BQ606" t="s">
        <v>8</v>
      </c>
    </row>
    <row r="607" spans="1:69" x14ac:dyDescent="0.3">
      <c r="A607" s="2">
        <v>606</v>
      </c>
      <c r="B607" s="5" t="s">
        <v>521</v>
      </c>
      <c r="C607" s="6" t="s">
        <v>241</v>
      </c>
      <c r="D607" s="6"/>
      <c r="E607" s="6" t="s">
        <v>73</v>
      </c>
      <c r="F607" s="6" t="s">
        <v>73</v>
      </c>
      <c r="G607" s="6"/>
      <c r="H607" s="6"/>
      <c r="J607" t="s">
        <v>515</v>
      </c>
      <c r="K607" s="6">
        <v>800737</v>
      </c>
      <c r="L607" s="39"/>
      <c r="M607" s="6"/>
      <c r="N607" s="6" t="s">
        <v>520</v>
      </c>
      <c r="O607" s="6">
        <v>413426744</v>
      </c>
      <c r="P607" s="48" t="s">
        <v>519</v>
      </c>
      <c r="Q607" s="6">
        <v>33085</v>
      </c>
      <c r="R607" s="6">
        <v>27510</v>
      </c>
      <c r="S607" s="5" t="str">
        <f>VLOOKUP(T607,'[1]Kode Posisi'!$A$3:$B$45,2,)</f>
        <v>Outsourcing Petugas Gudang</v>
      </c>
      <c r="T607" t="s">
        <v>2</v>
      </c>
      <c r="V607" t="s">
        <v>518</v>
      </c>
      <c r="W607" s="5" t="s">
        <v>410</v>
      </c>
      <c r="X607" s="5" t="s">
        <v>409</v>
      </c>
      <c r="Y607" t="s">
        <v>63</v>
      </c>
      <c r="Z607" s="57" t="s">
        <v>517</v>
      </c>
      <c r="AA607" t="s">
        <v>516</v>
      </c>
      <c r="AB607" s="3">
        <v>3733000</v>
      </c>
      <c r="AC607" s="3" t="s">
        <v>510</v>
      </c>
      <c r="AD607" s="52" t="s">
        <v>509</v>
      </c>
      <c r="AE607" s="48">
        <f t="shared" si="281"/>
        <v>217000</v>
      </c>
      <c r="AI607" s="16">
        <v>0</v>
      </c>
      <c r="AK607" s="16"/>
      <c r="AL607" s="11">
        <f t="shared" si="262"/>
        <v>3733000</v>
      </c>
      <c r="AM607" s="16">
        <f t="shared" si="263"/>
        <v>325480</v>
      </c>
      <c r="AN607" s="16">
        <f t="shared" si="264"/>
        <v>158000</v>
      </c>
      <c r="AO607" s="16">
        <f t="shared" si="282"/>
        <v>167480</v>
      </c>
      <c r="AP607" s="16">
        <f t="shared" si="265"/>
        <v>0</v>
      </c>
      <c r="AQ607" s="16">
        <f t="shared" si="266"/>
        <v>4058480</v>
      </c>
      <c r="AR607" s="16">
        <f t="shared" si="257"/>
        <v>243508.8</v>
      </c>
      <c r="AS607" s="16">
        <f t="shared" si="267"/>
        <v>26785.967999999997</v>
      </c>
      <c r="AT607" s="16">
        <f t="shared" si="268"/>
        <v>-4870.1759999999995</v>
      </c>
      <c r="AU607" s="16">
        <f t="shared" si="269"/>
        <v>4297118.6239999998</v>
      </c>
      <c r="AV607" s="16">
        <f t="shared" si="270"/>
        <v>4301988.8</v>
      </c>
      <c r="AW607" s="16">
        <f t="shared" si="271"/>
        <v>0</v>
      </c>
      <c r="AX607" s="16" t="s">
        <v>319</v>
      </c>
      <c r="AZ607" s="17">
        <f t="shared" si="279"/>
        <v>2900</v>
      </c>
      <c r="BA607" s="16">
        <f t="shared" si="272"/>
        <v>3733000</v>
      </c>
      <c r="BB607" s="16">
        <f t="shared" si="273"/>
        <v>3730100</v>
      </c>
      <c r="BC607" s="15">
        <v>0.02</v>
      </c>
      <c r="BD607">
        <v>0.01</v>
      </c>
      <c r="BE607" s="37">
        <f t="shared" si="274"/>
        <v>0</v>
      </c>
      <c r="BF607" s="38">
        <f t="shared" si="275"/>
        <v>0</v>
      </c>
      <c r="BG607" s="37">
        <f t="shared" si="256"/>
        <v>186650</v>
      </c>
      <c r="BH607" s="37">
        <f t="shared" si="276"/>
        <v>197500</v>
      </c>
      <c r="BI607">
        <v>186650</v>
      </c>
      <c r="BJ607" s="48">
        <f t="shared" si="280"/>
        <v>74660</v>
      </c>
      <c r="BK607" s="48"/>
      <c r="BL607" s="8">
        <f t="shared" si="277"/>
        <v>0</v>
      </c>
      <c r="BM607" s="7" t="str">
        <f t="shared" si="258"/>
        <v>Tidak Terdaftar</v>
      </c>
      <c r="BN607" s="11">
        <f t="shared" si="283"/>
        <v>146150.00000000003</v>
      </c>
      <c r="BO607" s="11">
        <f t="shared" si="259"/>
        <v>179330</v>
      </c>
      <c r="BP607" s="9">
        <f t="shared" si="278"/>
        <v>0</v>
      </c>
      <c r="BQ607" t="s">
        <v>8</v>
      </c>
    </row>
    <row r="608" spans="1:69" x14ac:dyDescent="0.3">
      <c r="A608" s="2">
        <v>607</v>
      </c>
      <c r="B608" s="5" t="s">
        <v>511</v>
      </c>
      <c r="C608" s="6" t="s">
        <v>241</v>
      </c>
      <c r="D608" s="6"/>
      <c r="E608" s="6" t="s">
        <v>73</v>
      </c>
      <c r="F608" s="6" t="s">
        <v>73</v>
      </c>
      <c r="G608" s="6"/>
      <c r="H608" s="6"/>
      <c r="J608" t="s">
        <v>515</v>
      </c>
      <c r="K608" s="6">
        <v>800738</v>
      </c>
      <c r="L608" s="39"/>
      <c r="M608" s="6"/>
      <c r="N608" s="6">
        <v>9</v>
      </c>
      <c r="O608" s="6">
        <v>3044681469</v>
      </c>
      <c r="P608" s="48" t="s">
        <v>514</v>
      </c>
      <c r="Q608" s="6">
        <v>33085</v>
      </c>
      <c r="R608" s="6">
        <v>27510</v>
      </c>
      <c r="S608" s="5" t="str">
        <f>VLOOKUP(T608,'[1]Kode Posisi'!$A$3:$B$45,2,)</f>
        <v>Outsourcing Petugas Gudang</v>
      </c>
      <c r="T608" t="s">
        <v>2</v>
      </c>
      <c r="V608" t="s">
        <v>513</v>
      </c>
      <c r="W608" s="5" t="s">
        <v>410</v>
      </c>
      <c r="X608" s="5" t="s">
        <v>409</v>
      </c>
      <c r="Y608" t="s">
        <v>63</v>
      </c>
      <c r="Z608" s="46" t="s">
        <v>512</v>
      </c>
      <c r="AA608" t="s">
        <v>511</v>
      </c>
      <c r="AB608" s="3">
        <v>3733000</v>
      </c>
      <c r="AC608" s="3" t="s">
        <v>510</v>
      </c>
      <c r="AD608" s="52" t="s">
        <v>509</v>
      </c>
      <c r="AE608" s="48">
        <f t="shared" si="281"/>
        <v>217000</v>
      </c>
      <c r="AI608" s="16">
        <v>0</v>
      </c>
      <c r="AK608" s="16"/>
      <c r="AL608" s="11">
        <f t="shared" si="262"/>
        <v>3733000</v>
      </c>
      <c r="AM608" s="16">
        <f t="shared" si="263"/>
        <v>325480</v>
      </c>
      <c r="AN608" s="16">
        <f t="shared" si="264"/>
        <v>158000</v>
      </c>
      <c r="AO608" s="16">
        <f t="shared" si="282"/>
        <v>167480</v>
      </c>
      <c r="AP608" s="16">
        <f t="shared" si="265"/>
        <v>0</v>
      </c>
      <c r="AQ608" s="16">
        <f t="shared" si="266"/>
        <v>4058480</v>
      </c>
      <c r="AR608" s="16">
        <f t="shared" si="257"/>
        <v>243508.8</v>
      </c>
      <c r="AS608" s="16">
        <f t="shared" si="267"/>
        <v>26785.967999999997</v>
      </c>
      <c r="AT608" s="16">
        <f t="shared" si="268"/>
        <v>-4870.1759999999995</v>
      </c>
      <c r="AU608" s="16">
        <f t="shared" si="269"/>
        <v>4297118.6239999998</v>
      </c>
      <c r="AV608" s="16">
        <f t="shared" si="270"/>
        <v>4301988.8</v>
      </c>
      <c r="AW608" s="16">
        <f t="shared" si="271"/>
        <v>0</v>
      </c>
      <c r="AX608" s="16" t="s">
        <v>319</v>
      </c>
      <c r="AZ608" s="17">
        <f t="shared" si="279"/>
        <v>2900</v>
      </c>
      <c r="BA608" s="16">
        <f t="shared" si="272"/>
        <v>3733000</v>
      </c>
      <c r="BB608" s="16">
        <f t="shared" si="273"/>
        <v>3730100</v>
      </c>
      <c r="BC608" s="15">
        <v>0.02</v>
      </c>
      <c r="BD608">
        <v>0.01</v>
      </c>
      <c r="BE608" s="37">
        <f t="shared" si="274"/>
        <v>0</v>
      </c>
      <c r="BF608" s="38">
        <f t="shared" si="275"/>
        <v>0</v>
      </c>
      <c r="BG608" s="37">
        <f t="shared" si="256"/>
        <v>186650</v>
      </c>
      <c r="BH608" s="37">
        <f t="shared" si="276"/>
        <v>197500</v>
      </c>
      <c r="BI608">
        <v>186650</v>
      </c>
      <c r="BJ608" s="48">
        <f t="shared" si="280"/>
        <v>74660</v>
      </c>
      <c r="BK608" s="48"/>
      <c r="BL608" s="8">
        <f t="shared" si="277"/>
        <v>0</v>
      </c>
      <c r="BM608" s="7" t="str">
        <f t="shared" si="258"/>
        <v>Tidak Terdaftar</v>
      </c>
      <c r="BN608" s="11">
        <f t="shared" si="283"/>
        <v>146150.00000000003</v>
      </c>
      <c r="BO608" s="11">
        <f t="shared" si="259"/>
        <v>179330</v>
      </c>
      <c r="BP608" s="9">
        <f t="shared" si="278"/>
        <v>0</v>
      </c>
      <c r="BQ608" t="s">
        <v>8</v>
      </c>
    </row>
    <row r="609" spans="1:69" ht="15.6" x14ac:dyDescent="0.3">
      <c r="A609" s="2">
        <v>608</v>
      </c>
      <c r="B609" s="5" t="s">
        <v>508</v>
      </c>
      <c r="C609" s="6" t="s">
        <v>241</v>
      </c>
      <c r="D609" s="6"/>
      <c r="E609" s="6"/>
      <c r="F609" s="6" t="s">
        <v>73</v>
      </c>
      <c r="G609" s="6"/>
      <c r="H609" s="6"/>
      <c r="K609" s="6">
        <v>800626</v>
      </c>
      <c r="L609" s="39"/>
      <c r="M609" s="6"/>
      <c r="N609" s="6" t="s">
        <v>507</v>
      </c>
      <c r="O609" s="6">
        <v>1787737882</v>
      </c>
      <c r="P609" s="48" t="s">
        <v>506</v>
      </c>
      <c r="Q609" s="6" t="s">
        <v>30</v>
      </c>
      <c r="R609" s="6">
        <v>27090</v>
      </c>
      <c r="S609" s="5" t="str">
        <f>VLOOKUP(T609,'[1]Kode Posisi'!$A$3:$B$45,2,)</f>
        <v>Outsourcing Petugas Administrasi</v>
      </c>
      <c r="T609" t="s">
        <v>35</v>
      </c>
      <c r="V609" t="s">
        <v>505</v>
      </c>
      <c r="W609" s="5" t="s">
        <v>30</v>
      </c>
      <c r="X609" s="5" t="s">
        <v>30</v>
      </c>
      <c r="Y609" t="s">
        <v>52</v>
      </c>
      <c r="Z609" s="46">
        <v>3500329954</v>
      </c>
      <c r="AA609" t="s">
        <v>504</v>
      </c>
      <c r="AB609" s="3">
        <v>5397000</v>
      </c>
      <c r="AC609" s="3">
        <v>5397000</v>
      </c>
      <c r="AD609" s="52" t="s">
        <v>177</v>
      </c>
      <c r="AF609">
        <v>1000000</v>
      </c>
      <c r="AI609" s="16">
        <v>0</v>
      </c>
      <c r="AK609" s="16"/>
      <c r="AL609" s="11">
        <f t="shared" si="262"/>
        <v>6397000</v>
      </c>
      <c r="AM609" s="16">
        <f t="shared" si="263"/>
        <v>552652.80000000005</v>
      </c>
      <c r="AN609" s="16">
        <f t="shared" si="264"/>
        <v>215880</v>
      </c>
      <c r="AO609" s="16">
        <f t="shared" ref="AO609:AO623" si="284">IF(BC609=0.03,AC609*0.0624,0)</f>
        <v>336772.8</v>
      </c>
      <c r="AP609" s="16">
        <f t="shared" si="265"/>
        <v>236689</v>
      </c>
      <c r="AQ609" s="16">
        <f t="shared" si="266"/>
        <v>6949652.7999999998</v>
      </c>
      <c r="AR609" s="16"/>
      <c r="AS609" s="16">
        <f t="shared" si="267"/>
        <v>0</v>
      </c>
      <c r="AT609" s="16">
        <f t="shared" si="268"/>
        <v>0</v>
      </c>
      <c r="AU609" s="16">
        <f t="shared" si="269"/>
        <v>6949652.7999999998</v>
      </c>
      <c r="AV609" s="16">
        <f t="shared" si="270"/>
        <v>6949652.7999999998</v>
      </c>
      <c r="AW609" s="16">
        <f t="shared" si="271"/>
        <v>215880</v>
      </c>
      <c r="AX609" s="16" t="s">
        <v>503</v>
      </c>
      <c r="AZ609" s="17">
        <f t="shared" si="279"/>
        <v>0</v>
      </c>
      <c r="BA609" s="16">
        <f t="shared" si="272"/>
        <v>6181120</v>
      </c>
      <c r="BB609" s="16">
        <f t="shared" si="273"/>
        <v>6181120</v>
      </c>
      <c r="BC609" s="15">
        <v>0.03</v>
      </c>
      <c r="BD609">
        <v>0.01</v>
      </c>
      <c r="BE609" s="37">
        <f t="shared" si="274"/>
        <v>498682.8</v>
      </c>
      <c r="BF609" s="38">
        <f t="shared" si="275"/>
        <v>307629</v>
      </c>
      <c r="BG609" s="37">
        <f t="shared" si="256"/>
        <v>269850</v>
      </c>
      <c r="BH609" s="37">
        <f t="shared" si="276"/>
        <v>269850</v>
      </c>
      <c r="BI609">
        <v>269850</v>
      </c>
      <c r="BL609" s="8">
        <f t="shared" si="277"/>
        <v>1000000</v>
      </c>
      <c r="BM609" s="7" t="str">
        <f t="shared" si="258"/>
        <v>Terdaftar BPJS Kes &amp; Naker</v>
      </c>
      <c r="BN609" s="11">
        <f t="shared" ref="BN609:BN623" si="285">AC609*5.7%</f>
        <v>307629</v>
      </c>
      <c r="BO609" s="11">
        <f t="shared" si="259"/>
        <v>245023.80000000002</v>
      </c>
      <c r="BP609" s="9">
        <f t="shared" si="278"/>
        <v>0</v>
      </c>
      <c r="BQ609" s="58" t="s">
        <v>29</v>
      </c>
    </row>
    <row r="610" spans="1:69" x14ac:dyDescent="0.3">
      <c r="A610" s="2">
        <v>609</v>
      </c>
      <c r="B610" s="5" t="s">
        <v>502</v>
      </c>
      <c r="C610" s="6" t="s">
        <v>241</v>
      </c>
      <c r="D610" s="6"/>
      <c r="E610" s="6"/>
      <c r="F610" s="6" t="s">
        <v>73</v>
      </c>
      <c r="G610" s="6"/>
      <c r="H610" s="6"/>
      <c r="K610" s="6">
        <v>800645</v>
      </c>
      <c r="L610" s="39"/>
      <c r="M610" s="6"/>
      <c r="N610" s="46" t="s">
        <v>501</v>
      </c>
      <c r="O610" s="6">
        <v>1152204805</v>
      </c>
      <c r="P610" s="48" t="s">
        <v>500</v>
      </c>
      <c r="Q610" s="6">
        <v>10109</v>
      </c>
      <c r="R610" s="6">
        <v>27109</v>
      </c>
      <c r="S610" s="5" t="str">
        <f>VLOOKUP(T610,'[1]Kode Posisi'!$A$3:$B$45,2,)</f>
        <v>Outsourcing Keamanan</v>
      </c>
      <c r="T610" s="36" t="s">
        <v>37</v>
      </c>
      <c r="V610" t="s">
        <v>499</v>
      </c>
      <c r="W610" s="36" t="s">
        <v>139</v>
      </c>
      <c r="X610" s="36" t="s">
        <v>139</v>
      </c>
      <c r="Y610" t="s">
        <v>473</v>
      </c>
      <c r="Z610" s="57" t="s">
        <v>498</v>
      </c>
      <c r="AA610" t="s">
        <v>497</v>
      </c>
      <c r="AB610" s="47">
        <v>4336000</v>
      </c>
      <c r="AC610" s="41">
        <v>4336000</v>
      </c>
      <c r="AD610" s="52" t="s">
        <v>496</v>
      </c>
      <c r="AI610" s="16">
        <v>0</v>
      </c>
      <c r="AK610" s="16"/>
      <c r="AL610" s="11">
        <f t="shared" si="262"/>
        <v>4336000</v>
      </c>
      <c r="AM610" s="16">
        <f t="shared" si="263"/>
        <v>444006.39999999997</v>
      </c>
      <c r="AN610" s="16">
        <f t="shared" si="264"/>
        <v>173440</v>
      </c>
      <c r="AO610" s="16">
        <f t="shared" si="284"/>
        <v>270566.39999999997</v>
      </c>
      <c r="AP610" s="16">
        <f t="shared" si="265"/>
        <v>160432</v>
      </c>
      <c r="AQ610" s="16">
        <f t="shared" si="266"/>
        <v>4780006.4000000004</v>
      </c>
      <c r="AR610" s="16">
        <f t="shared" ref="AR610:AR641" si="286">SUM(AQ610*0.06)</f>
        <v>286800.38400000002</v>
      </c>
      <c r="AS610" s="16">
        <f t="shared" si="267"/>
        <v>31548.042240000002</v>
      </c>
      <c r="AT610" s="16">
        <f t="shared" si="268"/>
        <v>-5736.0076800000006</v>
      </c>
      <c r="AU610" s="16">
        <f t="shared" si="269"/>
        <v>5061070.7763200002</v>
      </c>
      <c r="AV610" s="16">
        <f t="shared" si="270"/>
        <v>5066806.784</v>
      </c>
      <c r="AW610" s="16">
        <f t="shared" si="271"/>
        <v>173440</v>
      </c>
      <c r="AX610" s="16" t="s">
        <v>286</v>
      </c>
      <c r="AZ610" s="17">
        <f t="shared" si="279"/>
        <v>2900</v>
      </c>
      <c r="BA610" s="16">
        <f t="shared" si="272"/>
        <v>4162560</v>
      </c>
      <c r="BB610" s="16">
        <f t="shared" si="273"/>
        <v>4159660</v>
      </c>
      <c r="BC610" s="15">
        <v>0.03</v>
      </c>
      <c r="BD610">
        <v>0.01</v>
      </c>
      <c r="BE610" s="37">
        <f t="shared" si="274"/>
        <v>400646.39999999997</v>
      </c>
      <c r="BF610" s="38">
        <f t="shared" si="275"/>
        <v>247152</v>
      </c>
      <c r="BG610" s="37">
        <f t="shared" si="256"/>
        <v>200750</v>
      </c>
      <c r="BH610" s="37">
        <f t="shared" si="276"/>
        <v>216800</v>
      </c>
      <c r="BI610">
        <v>200750</v>
      </c>
      <c r="BL610" s="8">
        <f t="shared" si="277"/>
        <v>0</v>
      </c>
      <c r="BM610" s="7" t="str">
        <f t="shared" si="258"/>
        <v>Terdaftar BPJS Kes &amp; Naker</v>
      </c>
      <c r="BN610" s="11">
        <f t="shared" si="285"/>
        <v>247152</v>
      </c>
      <c r="BO610" s="11">
        <f t="shared" si="259"/>
        <v>196854.40000000002</v>
      </c>
      <c r="BP610" s="9">
        <f t="shared" si="278"/>
        <v>0</v>
      </c>
      <c r="BQ610" t="str">
        <f>_xlfn.XLOOKUP(X610,'[2]NON TETAP'!$H:$H,'[2]NON TETAP'!$I:$I)</f>
        <v>GRAMEDIA ASRI MEDIA</v>
      </c>
    </row>
    <row r="611" spans="1:69" x14ac:dyDescent="0.3">
      <c r="A611" s="2">
        <v>610</v>
      </c>
      <c r="B611" s="5" t="s">
        <v>495</v>
      </c>
      <c r="C611" s="6" t="s">
        <v>241</v>
      </c>
      <c r="D611" s="6"/>
      <c r="E611" s="6"/>
      <c r="F611" s="6" t="s">
        <v>73</v>
      </c>
      <c r="G611" s="6"/>
      <c r="H611" s="6"/>
      <c r="K611" s="6">
        <v>800649</v>
      </c>
      <c r="L611" s="39"/>
      <c r="M611" s="6"/>
      <c r="N611" s="46" t="s">
        <v>494</v>
      </c>
      <c r="O611" s="6">
        <v>1774778859</v>
      </c>
      <c r="P611" s="48" t="s">
        <v>493</v>
      </c>
      <c r="Q611" s="6">
        <v>11196</v>
      </c>
      <c r="R611" s="6">
        <v>27591</v>
      </c>
      <c r="S611" s="5" t="str">
        <f>VLOOKUP(T611,'[1]Kode Posisi'!$A$3:$B$45,2,)</f>
        <v>Outsourcing Petugas Gudang</v>
      </c>
      <c r="T611" t="s">
        <v>2</v>
      </c>
      <c r="V611" t="s">
        <v>492</v>
      </c>
      <c r="W611" s="5" t="s">
        <v>303</v>
      </c>
      <c r="X611" s="5" t="s">
        <v>302</v>
      </c>
      <c r="Y611" t="s">
        <v>63</v>
      </c>
      <c r="Z611" s="57" t="s">
        <v>491</v>
      </c>
      <c r="AA611" t="s">
        <v>490</v>
      </c>
      <c r="AB611" s="47">
        <v>5730000</v>
      </c>
      <c r="AC611" s="41">
        <v>5730000</v>
      </c>
      <c r="AD611" s="52" t="s">
        <v>177</v>
      </c>
      <c r="AI611" s="16">
        <v>296367.05202312139</v>
      </c>
      <c r="AK611" s="16"/>
      <c r="AL611" s="11">
        <f t="shared" si="262"/>
        <v>6026367.0520231212</v>
      </c>
      <c r="AM611" s="16">
        <f t="shared" si="263"/>
        <v>586752</v>
      </c>
      <c r="AN611" s="16">
        <f t="shared" si="264"/>
        <v>229200</v>
      </c>
      <c r="AO611" s="16">
        <f t="shared" si="284"/>
        <v>357552</v>
      </c>
      <c r="AP611" s="16">
        <f t="shared" si="265"/>
        <v>212010</v>
      </c>
      <c r="AQ611" s="16">
        <f t="shared" si="266"/>
        <v>6613119.0520231212</v>
      </c>
      <c r="AR611" s="16">
        <f t="shared" si="286"/>
        <v>396787.14312138723</v>
      </c>
      <c r="AS611" s="16">
        <f t="shared" si="267"/>
        <v>43646.585743352596</v>
      </c>
      <c r="AT611" s="16">
        <f t="shared" si="268"/>
        <v>-7935.7428624277445</v>
      </c>
      <c r="AU611" s="16">
        <f t="shared" si="269"/>
        <v>7001970.4522820804</v>
      </c>
      <c r="AV611" s="16">
        <f t="shared" si="270"/>
        <v>7009906.195144508</v>
      </c>
      <c r="AW611" s="16">
        <f t="shared" si="271"/>
        <v>229200</v>
      </c>
      <c r="AX611" s="16" t="s">
        <v>286</v>
      </c>
      <c r="AZ611" s="17">
        <f t="shared" si="279"/>
        <v>2900</v>
      </c>
      <c r="BA611" s="16">
        <f t="shared" si="272"/>
        <v>5797167.0520231212</v>
      </c>
      <c r="BB611" s="16">
        <f t="shared" si="273"/>
        <v>5794267.0520231212</v>
      </c>
      <c r="BC611" s="15">
        <v>0.03</v>
      </c>
      <c r="BD611">
        <v>0.01</v>
      </c>
      <c r="BE611" s="37">
        <f t="shared" si="274"/>
        <v>529452</v>
      </c>
      <c r="BF611" s="38">
        <f t="shared" si="275"/>
        <v>326610</v>
      </c>
      <c r="BG611" s="37">
        <f t="shared" si="256"/>
        <v>269850</v>
      </c>
      <c r="BH611" s="37">
        <f t="shared" si="276"/>
        <v>286500</v>
      </c>
      <c r="BI611">
        <v>269850</v>
      </c>
      <c r="BL611" s="8">
        <f t="shared" si="277"/>
        <v>296367.05202312139</v>
      </c>
      <c r="BM611" s="7" t="str">
        <f t="shared" si="258"/>
        <v>Terdaftar BPJS Kes &amp; Naker</v>
      </c>
      <c r="BN611" s="11">
        <f t="shared" si="285"/>
        <v>326610</v>
      </c>
      <c r="BO611" s="11">
        <f t="shared" si="259"/>
        <v>260142.00000000003</v>
      </c>
      <c r="BP611" s="9">
        <f t="shared" si="278"/>
        <v>0</v>
      </c>
      <c r="BQ611" t="s">
        <v>8</v>
      </c>
    </row>
    <row r="612" spans="1:69" x14ac:dyDescent="0.3">
      <c r="A612" s="2">
        <v>611</v>
      </c>
      <c r="B612" s="5" t="s">
        <v>484</v>
      </c>
      <c r="C612" s="6" t="s">
        <v>241</v>
      </c>
      <c r="D612" s="6"/>
      <c r="E612" s="6"/>
      <c r="F612" s="6" t="s">
        <v>73</v>
      </c>
      <c r="G612" s="6" t="s">
        <v>73</v>
      </c>
      <c r="H612" s="6"/>
      <c r="K612" s="6">
        <v>800655</v>
      </c>
      <c r="L612" s="39"/>
      <c r="M612" s="6"/>
      <c r="N612" s="46" t="s">
        <v>489</v>
      </c>
      <c r="O612" s="6">
        <v>1685827574</v>
      </c>
      <c r="P612" s="48" t="s">
        <v>488</v>
      </c>
      <c r="Q612" s="6">
        <v>10114</v>
      </c>
      <c r="R612" s="6">
        <v>27114</v>
      </c>
      <c r="S612" s="5" t="str">
        <f>VLOOKUP(T612,'[1]Kode Posisi'!$A$3:$B$45,2,)</f>
        <v>Outsourcing Keamanan</v>
      </c>
      <c r="T612" s="36" t="s">
        <v>37</v>
      </c>
      <c r="V612" t="s">
        <v>487</v>
      </c>
      <c r="W612" s="36" t="s">
        <v>486</v>
      </c>
      <c r="X612" s="36" t="s">
        <v>486</v>
      </c>
      <c r="Y612" t="s">
        <v>262</v>
      </c>
      <c r="Z612" s="46" t="s">
        <v>485</v>
      </c>
      <c r="AA612" t="s">
        <v>484</v>
      </c>
      <c r="AB612" s="47">
        <v>3183000</v>
      </c>
      <c r="AC612" s="41">
        <v>3183000</v>
      </c>
      <c r="AD612" s="52" t="s">
        <v>483</v>
      </c>
      <c r="AI612" s="16">
        <v>0</v>
      </c>
      <c r="AK612" s="16"/>
      <c r="AL612" s="11">
        <f t="shared" si="262"/>
        <v>3183000</v>
      </c>
      <c r="AM612" s="16">
        <f t="shared" si="263"/>
        <v>325939.19999999995</v>
      </c>
      <c r="AN612" s="16">
        <f t="shared" si="264"/>
        <v>127320</v>
      </c>
      <c r="AO612" s="16">
        <f t="shared" si="284"/>
        <v>198619.19999999998</v>
      </c>
      <c r="AP612" s="16">
        <f t="shared" si="265"/>
        <v>117771</v>
      </c>
      <c r="AQ612" s="16">
        <f t="shared" si="266"/>
        <v>3508939.2</v>
      </c>
      <c r="AR612" s="16">
        <f t="shared" si="286"/>
        <v>210536.35200000001</v>
      </c>
      <c r="AS612" s="16">
        <f t="shared" si="267"/>
        <v>23158.998720000003</v>
      </c>
      <c r="AT612" s="16">
        <f t="shared" si="268"/>
        <v>-4210.7270400000007</v>
      </c>
      <c r="AU612" s="16">
        <f t="shared" si="269"/>
        <v>3715264.8249600003</v>
      </c>
      <c r="AV612" s="16">
        <f t="shared" si="270"/>
        <v>3719475.5520000001</v>
      </c>
      <c r="AW612" s="16">
        <f t="shared" si="271"/>
        <v>127320</v>
      </c>
      <c r="AX612" s="16" t="s">
        <v>235</v>
      </c>
      <c r="AZ612" s="17">
        <f t="shared" si="279"/>
        <v>2900</v>
      </c>
      <c r="BA612" s="16">
        <f t="shared" si="272"/>
        <v>3055680</v>
      </c>
      <c r="BB612" s="16">
        <f t="shared" si="273"/>
        <v>3052780</v>
      </c>
      <c r="BC612" s="15">
        <v>0.03</v>
      </c>
      <c r="BD612">
        <v>0.01</v>
      </c>
      <c r="BE612" s="37">
        <f t="shared" si="274"/>
        <v>294109.2</v>
      </c>
      <c r="BF612" s="38">
        <f t="shared" si="275"/>
        <v>181431.00000000003</v>
      </c>
      <c r="BG612" s="37">
        <f t="shared" si="256"/>
        <v>149750</v>
      </c>
      <c r="BH612" s="37">
        <f t="shared" si="276"/>
        <v>159150</v>
      </c>
      <c r="BI612">
        <v>149750</v>
      </c>
      <c r="BL612" s="8">
        <f t="shared" si="277"/>
        <v>0</v>
      </c>
      <c r="BM612" s="7" t="str">
        <f t="shared" si="258"/>
        <v>Terdaftar BPJS Kes &amp; Naker</v>
      </c>
      <c r="BN612" s="11">
        <f t="shared" si="285"/>
        <v>181431</v>
      </c>
      <c r="BO612" s="11">
        <f t="shared" si="259"/>
        <v>144508.20000000001</v>
      </c>
      <c r="BP612" s="9">
        <f t="shared" si="278"/>
        <v>0</v>
      </c>
      <c r="BQ612" t="str">
        <f>_xlfn.XLOOKUP(X612,'[2]NON TETAP'!$H:$H,'[2]NON TETAP'!$I:$I)</f>
        <v>GRAMEDIA ASRI MEDIA</v>
      </c>
    </row>
    <row r="613" spans="1:69" x14ac:dyDescent="0.3">
      <c r="A613" s="2">
        <v>612</v>
      </c>
      <c r="B613" s="5" t="s">
        <v>479</v>
      </c>
      <c r="C613" s="6" t="s">
        <v>241</v>
      </c>
      <c r="D613" s="6"/>
      <c r="E613" s="6"/>
      <c r="F613" s="6" t="s">
        <v>73</v>
      </c>
      <c r="G613" s="6"/>
      <c r="H613" s="6"/>
      <c r="K613" s="6">
        <v>800739</v>
      </c>
      <c r="L613" s="39"/>
      <c r="M613" s="6"/>
      <c r="N613" s="46" t="s">
        <v>436</v>
      </c>
      <c r="O613" s="6">
        <v>378423077</v>
      </c>
      <c r="P613" s="48" t="s">
        <v>482</v>
      </c>
      <c r="Q613" s="6">
        <v>10372</v>
      </c>
      <c r="R613" s="6">
        <v>27372</v>
      </c>
      <c r="S613" s="5" t="str">
        <f>VLOOKUP(T613,'[1]Kode Posisi'!$A$3:$B$45,2,)</f>
        <v>Outsourcing Keamanan</v>
      </c>
      <c r="T613" s="36" t="s">
        <v>37</v>
      </c>
      <c r="V613" t="s">
        <v>481</v>
      </c>
      <c r="W613" s="36" t="s">
        <v>480</v>
      </c>
      <c r="X613" s="36" t="s">
        <v>480</v>
      </c>
      <c r="Y613" t="s">
        <v>52</v>
      </c>
      <c r="Z613" s="46">
        <v>4140387024</v>
      </c>
      <c r="AA613" t="s">
        <v>479</v>
      </c>
      <c r="AB613" s="47">
        <v>6000000</v>
      </c>
      <c r="AC613" s="41">
        <v>6000000</v>
      </c>
      <c r="AD613" s="52" t="s">
        <v>478</v>
      </c>
      <c r="AI613" s="16">
        <v>0</v>
      </c>
      <c r="AK613" s="16"/>
      <c r="AL613" s="11">
        <f t="shared" si="262"/>
        <v>6000000</v>
      </c>
      <c r="AM613" s="16">
        <f t="shared" si="263"/>
        <v>614400</v>
      </c>
      <c r="AN613" s="16">
        <f t="shared" si="264"/>
        <v>240000</v>
      </c>
      <c r="AO613" s="16">
        <f t="shared" si="284"/>
        <v>374400</v>
      </c>
      <c r="AP613" s="16">
        <f t="shared" si="265"/>
        <v>222000</v>
      </c>
      <c r="AQ613" s="16">
        <f t="shared" si="266"/>
        <v>6614400</v>
      </c>
      <c r="AR613" s="16">
        <f t="shared" si="286"/>
        <v>396864</v>
      </c>
      <c r="AS613" s="16">
        <f t="shared" si="267"/>
        <v>43655.040000000001</v>
      </c>
      <c r="AT613" s="16">
        <f t="shared" si="268"/>
        <v>-7937.28</v>
      </c>
      <c r="AU613" s="16">
        <f t="shared" si="269"/>
        <v>7003326.7199999997</v>
      </c>
      <c r="AV613" s="16">
        <f t="shared" si="270"/>
        <v>7011264</v>
      </c>
      <c r="AW613" s="16">
        <f t="shared" si="271"/>
        <v>240000</v>
      </c>
      <c r="AX613" s="16" t="s">
        <v>477</v>
      </c>
      <c r="AZ613" s="17">
        <f t="shared" si="279"/>
        <v>0</v>
      </c>
      <c r="BA613" s="16">
        <f t="shared" si="272"/>
        <v>5760000</v>
      </c>
      <c r="BB613" s="16">
        <f t="shared" si="273"/>
        <v>5760000</v>
      </c>
      <c r="BC613" s="15">
        <v>0.03</v>
      </c>
      <c r="BD613">
        <v>0.01</v>
      </c>
      <c r="BE613" s="37">
        <f t="shared" si="274"/>
        <v>554400</v>
      </c>
      <c r="BF613" s="38">
        <f t="shared" si="275"/>
        <v>342000</v>
      </c>
      <c r="BG613" s="37">
        <f t="shared" si="256"/>
        <v>284550</v>
      </c>
      <c r="BH613" s="37">
        <f t="shared" si="276"/>
        <v>300000</v>
      </c>
      <c r="BI613">
        <v>284550</v>
      </c>
      <c r="BL613" s="8">
        <f t="shared" si="277"/>
        <v>0</v>
      </c>
      <c r="BM613" s="7" t="str">
        <f t="shared" si="258"/>
        <v>Terdaftar BPJS Kes &amp; Naker</v>
      </c>
      <c r="BN613" s="11">
        <f t="shared" si="285"/>
        <v>342000</v>
      </c>
      <c r="BO613" s="11">
        <f t="shared" si="259"/>
        <v>272400</v>
      </c>
      <c r="BP613" s="9">
        <f t="shared" si="278"/>
        <v>0</v>
      </c>
      <c r="BQ613" t="str">
        <f>_xlfn.XLOOKUP(X613,'[2]NON TETAP'!$H:$H,'[2]NON TETAP'!$I:$I)</f>
        <v>GRAMEDIA ASRI MEDIA</v>
      </c>
    </row>
    <row r="614" spans="1:69" x14ac:dyDescent="0.3">
      <c r="A614" s="2">
        <v>613</v>
      </c>
      <c r="B614" s="5" t="s">
        <v>471</v>
      </c>
      <c r="C614" s="6" t="s">
        <v>241</v>
      </c>
      <c r="D614" s="6"/>
      <c r="E614" s="6"/>
      <c r="F614" s="6" t="s">
        <v>73</v>
      </c>
      <c r="G614" s="6"/>
      <c r="H614" s="6"/>
      <c r="K614" s="6">
        <v>800740</v>
      </c>
      <c r="L614" s="39"/>
      <c r="M614" s="6"/>
      <c r="N614" s="46" t="s">
        <v>476</v>
      </c>
      <c r="O614" s="6">
        <v>787270814</v>
      </c>
      <c r="P614" s="48" t="s">
        <v>475</v>
      </c>
      <c r="Q614" s="6">
        <v>11198</v>
      </c>
      <c r="R614" s="6">
        <v>27593</v>
      </c>
      <c r="S614" s="5" t="str">
        <f>VLOOKUP(T614,'[1]Kode Posisi'!$A$3:$B$45,2,)</f>
        <v>Outsourcing Petugas Gudang</v>
      </c>
      <c r="T614" t="s">
        <v>2</v>
      </c>
      <c r="V614" t="s">
        <v>474</v>
      </c>
      <c r="W614" s="5" t="s">
        <v>5</v>
      </c>
      <c r="X614" s="5" t="s">
        <v>453</v>
      </c>
      <c r="Y614" t="s">
        <v>473</v>
      </c>
      <c r="Z614" s="57" t="s">
        <v>472</v>
      </c>
      <c r="AA614" t="s">
        <v>471</v>
      </c>
      <c r="AB614" s="47">
        <v>5289000</v>
      </c>
      <c r="AC614" s="41">
        <v>5289000</v>
      </c>
      <c r="AD614" s="52" t="s">
        <v>196</v>
      </c>
      <c r="AI614" s="16">
        <v>0</v>
      </c>
      <c r="AK614" s="16"/>
      <c r="AL614" s="11">
        <f t="shared" si="262"/>
        <v>5289000</v>
      </c>
      <c r="AM614" s="16">
        <f t="shared" si="263"/>
        <v>541593.59999999998</v>
      </c>
      <c r="AN614" s="16">
        <f t="shared" si="264"/>
        <v>211560</v>
      </c>
      <c r="AO614" s="16">
        <f t="shared" si="284"/>
        <v>330033.59999999998</v>
      </c>
      <c r="AP614" s="16">
        <f t="shared" si="265"/>
        <v>195693</v>
      </c>
      <c r="AQ614" s="16">
        <f t="shared" si="266"/>
        <v>5830593.5999999996</v>
      </c>
      <c r="AR614" s="16">
        <f t="shared" si="286"/>
        <v>349835.61599999998</v>
      </c>
      <c r="AS614" s="16">
        <f t="shared" si="267"/>
        <v>38481.917759999997</v>
      </c>
      <c r="AT614" s="16">
        <f t="shared" si="268"/>
        <v>-6996.7123199999996</v>
      </c>
      <c r="AU614" s="16">
        <f t="shared" si="269"/>
        <v>6173432.5036800001</v>
      </c>
      <c r="AV614" s="16">
        <f t="shared" si="270"/>
        <v>6180429.216</v>
      </c>
      <c r="AW614" s="16">
        <f t="shared" si="271"/>
        <v>211560</v>
      </c>
      <c r="AX614" s="16" t="s">
        <v>319</v>
      </c>
      <c r="AZ614" s="17">
        <f t="shared" si="279"/>
        <v>2900</v>
      </c>
      <c r="BA614" s="16">
        <f t="shared" si="272"/>
        <v>5077440</v>
      </c>
      <c r="BB614" s="16">
        <f t="shared" si="273"/>
        <v>5074540</v>
      </c>
      <c r="BC614" s="15">
        <v>0.03</v>
      </c>
      <c r="BD614">
        <v>0.01</v>
      </c>
      <c r="BE614" s="37">
        <f t="shared" si="274"/>
        <v>488703.6</v>
      </c>
      <c r="BF614" s="38">
        <f t="shared" si="275"/>
        <v>301473</v>
      </c>
      <c r="BG614" s="37">
        <f t="shared" si="256"/>
        <v>248100</v>
      </c>
      <c r="BH614" s="37">
        <f t="shared" si="276"/>
        <v>264450</v>
      </c>
      <c r="BI614">
        <v>248100</v>
      </c>
      <c r="BJ614" s="2">
        <v>248100</v>
      </c>
      <c r="BL614" s="8">
        <f t="shared" si="277"/>
        <v>0</v>
      </c>
      <c r="BM614" s="7" t="str">
        <f t="shared" si="258"/>
        <v>Terdaftar BPJS Kes &amp; Naker</v>
      </c>
      <c r="BN614" s="11">
        <f t="shared" si="285"/>
        <v>301473</v>
      </c>
      <c r="BO614" s="11">
        <f t="shared" si="259"/>
        <v>240120.6</v>
      </c>
      <c r="BP614" s="9">
        <f t="shared" si="278"/>
        <v>0</v>
      </c>
      <c r="BQ614" t="s">
        <v>8</v>
      </c>
    </row>
    <row r="615" spans="1:69" x14ac:dyDescent="0.3">
      <c r="A615" s="2">
        <v>614</v>
      </c>
      <c r="B615" s="5" t="s">
        <v>467</v>
      </c>
      <c r="C615" s="6" t="s">
        <v>241</v>
      </c>
      <c r="D615" s="6"/>
      <c r="E615" s="6"/>
      <c r="F615" s="6" t="s">
        <v>73</v>
      </c>
      <c r="G615" s="6"/>
      <c r="H615" s="6"/>
      <c r="K615" s="6">
        <v>800741</v>
      </c>
      <c r="L615" s="39"/>
      <c r="M615" s="6"/>
      <c r="N615" s="46" t="s">
        <v>470</v>
      </c>
      <c r="O615" s="6">
        <v>2456826276</v>
      </c>
      <c r="P615" s="48" t="s">
        <v>469</v>
      </c>
      <c r="Q615" s="6">
        <v>11198</v>
      </c>
      <c r="R615" s="6">
        <v>27593</v>
      </c>
      <c r="S615" s="5" t="str">
        <f>VLOOKUP(T615,'[1]Kode Posisi'!$A$3:$B$45,2,)</f>
        <v>Outsourcing Petugas Gudang</v>
      </c>
      <c r="T615" t="s">
        <v>2</v>
      </c>
      <c r="V615" t="s">
        <v>468</v>
      </c>
      <c r="W615" s="5" t="s">
        <v>5</v>
      </c>
      <c r="X615" s="5" t="s">
        <v>453</v>
      </c>
      <c r="Y615" t="s">
        <v>52</v>
      </c>
      <c r="Z615" s="46">
        <v>2141223595</v>
      </c>
      <c r="AA615" t="s">
        <v>467</v>
      </c>
      <c r="AB615" s="47">
        <v>5289000</v>
      </c>
      <c r="AC615" s="41">
        <v>5289000</v>
      </c>
      <c r="AD615" s="52" t="s">
        <v>196</v>
      </c>
      <c r="AI615" s="16">
        <v>0</v>
      </c>
      <c r="AK615" s="16"/>
      <c r="AL615" s="11">
        <f t="shared" si="262"/>
        <v>5289000</v>
      </c>
      <c r="AM615" s="16">
        <f t="shared" si="263"/>
        <v>541593.59999999998</v>
      </c>
      <c r="AN615" s="16">
        <f t="shared" si="264"/>
        <v>211560</v>
      </c>
      <c r="AO615" s="16">
        <f t="shared" si="284"/>
        <v>330033.59999999998</v>
      </c>
      <c r="AP615" s="16">
        <f t="shared" si="265"/>
        <v>195693</v>
      </c>
      <c r="AQ615" s="16">
        <f t="shared" si="266"/>
        <v>5830593.5999999996</v>
      </c>
      <c r="AR615" s="16">
        <f t="shared" si="286"/>
        <v>349835.61599999998</v>
      </c>
      <c r="AS615" s="16">
        <f t="shared" si="267"/>
        <v>38481.917759999997</v>
      </c>
      <c r="AT615" s="16">
        <f t="shared" si="268"/>
        <v>-6996.7123199999996</v>
      </c>
      <c r="AU615" s="16">
        <f t="shared" si="269"/>
        <v>6173432.5036800001</v>
      </c>
      <c r="AV615" s="16">
        <f t="shared" si="270"/>
        <v>6180429.216</v>
      </c>
      <c r="AW615" s="16">
        <f t="shared" si="271"/>
        <v>211560</v>
      </c>
      <c r="AX615" s="16" t="s">
        <v>243</v>
      </c>
      <c r="AZ615" s="17">
        <f t="shared" si="279"/>
        <v>0</v>
      </c>
      <c r="BA615" s="16">
        <f t="shared" si="272"/>
        <v>5077440</v>
      </c>
      <c r="BB615" s="16">
        <f t="shared" si="273"/>
        <v>5077440</v>
      </c>
      <c r="BC615" s="15">
        <v>0.03</v>
      </c>
      <c r="BD615">
        <v>0.01</v>
      </c>
      <c r="BE615" s="37">
        <f t="shared" si="274"/>
        <v>488703.6</v>
      </c>
      <c r="BF615" s="38">
        <f t="shared" si="275"/>
        <v>301473</v>
      </c>
      <c r="BG615" s="37">
        <f t="shared" si="256"/>
        <v>248100</v>
      </c>
      <c r="BH615" s="37">
        <f t="shared" si="276"/>
        <v>264450</v>
      </c>
      <c r="BI615">
        <v>248100</v>
      </c>
      <c r="BJ615" s="2">
        <v>248100</v>
      </c>
      <c r="BL615" s="8">
        <f t="shared" si="277"/>
        <v>0</v>
      </c>
      <c r="BM615" s="7" t="str">
        <f t="shared" si="258"/>
        <v>Terdaftar BPJS Kes &amp; Naker</v>
      </c>
      <c r="BN615" s="11">
        <f t="shared" si="285"/>
        <v>301473</v>
      </c>
      <c r="BO615" s="11">
        <f t="shared" si="259"/>
        <v>240120.6</v>
      </c>
      <c r="BP615" s="9">
        <f t="shared" si="278"/>
        <v>0</v>
      </c>
      <c r="BQ615" t="s">
        <v>8</v>
      </c>
    </row>
    <row r="616" spans="1:69" x14ac:dyDescent="0.3">
      <c r="A616" s="2">
        <v>615</v>
      </c>
      <c r="B616" s="5" t="s">
        <v>462</v>
      </c>
      <c r="C616" s="6" t="s">
        <v>241</v>
      </c>
      <c r="D616" s="6"/>
      <c r="E616" s="6"/>
      <c r="F616" s="6" t="s">
        <v>73</v>
      </c>
      <c r="G616" s="6"/>
      <c r="H616" s="6"/>
      <c r="K616" s="6">
        <v>800742</v>
      </c>
      <c r="L616" s="39"/>
      <c r="M616" s="6"/>
      <c r="N616" s="46" t="s">
        <v>466</v>
      </c>
      <c r="O616" s="6">
        <v>2064912142</v>
      </c>
      <c r="P616" s="48" t="s">
        <v>465</v>
      </c>
      <c r="Q616" s="6">
        <v>11198</v>
      </c>
      <c r="R616" s="6">
        <v>27593</v>
      </c>
      <c r="S616" s="5" t="str">
        <f>VLOOKUP(T616,'[1]Kode Posisi'!$A$3:$B$45,2,)</f>
        <v>Outsourcing Petugas Gudang</v>
      </c>
      <c r="T616" t="s">
        <v>2</v>
      </c>
      <c r="V616" t="s">
        <v>464</v>
      </c>
      <c r="W616" s="5" t="s">
        <v>5</v>
      </c>
      <c r="X616" s="5" t="s">
        <v>453</v>
      </c>
      <c r="Y616" t="s">
        <v>52</v>
      </c>
      <c r="Z616" s="57" t="s">
        <v>463</v>
      </c>
      <c r="AA616" t="s">
        <v>462</v>
      </c>
      <c r="AB616" s="47">
        <v>5289000</v>
      </c>
      <c r="AC616" s="41">
        <v>5289000</v>
      </c>
      <c r="AD616" s="52" t="s">
        <v>196</v>
      </c>
      <c r="AI616" s="16">
        <v>0</v>
      </c>
      <c r="AK616" s="16"/>
      <c r="AL616" s="11">
        <f t="shared" si="262"/>
        <v>5289000</v>
      </c>
      <c r="AM616" s="16">
        <f t="shared" si="263"/>
        <v>541593.59999999998</v>
      </c>
      <c r="AN616" s="16">
        <f t="shared" si="264"/>
        <v>211560</v>
      </c>
      <c r="AO616" s="16">
        <f t="shared" si="284"/>
        <v>330033.59999999998</v>
      </c>
      <c r="AP616" s="16">
        <f t="shared" si="265"/>
        <v>195693</v>
      </c>
      <c r="AQ616" s="16">
        <f t="shared" si="266"/>
        <v>5830593.5999999996</v>
      </c>
      <c r="AR616" s="16">
        <f t="shared" si="286"/>
        <v>349835.61599999998</v>
      </c>
      <c r="AS616" s="16">
        <f t="shared" si="267"/>
        <v>38481.917759999997</v>
      </c>
      <c r="AT616" s="16">
        <f t="shared" si="268"/>
        <v>-6996.7123199999996</v>
      </c>
      <c r="AU616" s="16">
        <f t="shared" si="269"/>
        <v>6173432.5036800001</v>
      </c>
      <c r="AV616" s="16">
        <f t="shared" si="270"/>
        <v>6180429.216</v>
      </c>
      <c r="AW616" s="16">
        <f t="shared" si="271"/>
        <v>211560</v>
      </c>
      <c r="AX616" s="16" t="s">
        <v>319</v>
      </c>
      <c r="AZ616" s="17">
        <f t="shared" si="279"/>
        <v>0</v>
      </c>
      <c r="BA616" s="16">
        <f t="shared" si="272"/>
        <v>5077440</v>
      </c>
      <c r="BB616" s="16">
        <f t="shared" si="273"/>
        <v>5077440</v>
      </c>
      <c r="BC616" s="15">
        <v>0.03</v>
      </c>
      <c r="BD616">
        <v>0.01</v>
      </c>
      <c r="BE616" s="37">
        <f t="shared" si="274"/>
        <v>488703.6</v>
      </c>
      <c r="BF616" s="38">
        <f t="shared" si="275"/>
        <v>301473</v>
      </c>
      <c r="BG616" s="37">
        <f t="shared" si="256"/>
        <v>248100</v>
      </c>
      <c r="BH616" s="37">
        <f t="shared" si="276"/>
        <v>264450</v>
      </c>
      <c r="BI616">
        <v>248100</v>
      </c>
      <c r="BL616" s="8">
        <f t="shared" si="277"/>
        <v>0</v>
      </c>
      <c r="BM616" s="7" t="str">
        <f t="shared" si="258"/>
        <v>Terdaftar BPJS Kes &amp; Naker</v>
      </c>
      <c r="BN616" s="11">
        <f t="shared" si="285"/>
        <v>301473</v>
      </c>
      <c r="BO616" s="11">
        <f t="shared" si="259"/>
        <v>240120.6</v>
      </c>
      <c r="BP616" s="9">
        <f t="shared" si="278"/>
        <v>0</v>
      </c>
      <c r="BQ616" t="s">
        <v>8</v>
      </c>
    </row>
    <row r="617" spans="1:69" x14ac:dyDescent="0.3">
      <c r="A617" s="2">
        <v>616</v>
      </c>
      <c r="B617" s="5" t="s">
        <v>458</v>
      </c>
      <c r="C617" s="6" t="s">
        <v>241</v>
      </c>
      <c r="D617" s="6"/>
      <c r="E617" s="6"/>
      <c r="F617" s="6" t="s">
        <v>73</v>
      </c>
      <c r="G617" s="6"/>
      <c r="H617" s="6"/>
      <c r="K617" s="6">
        <v>800743</v>
      </c>
      <c r="L617" s="39"/>
      <c r="M617" s="6"/>
      <c r="N617" s="46" t="s">
        <v>461</v>
      </c>
      <c r="O617" s="6">
        <v>1836536332</v>
      </c>
      <c r="P617" s="48" t="s">
        <v>460</v>
      </c>
      <c r="Q617" s="6">
        <v>11198</v>
      </c>
      <c r="R617" s="6">
        <v>27593</v>
      </c>
      <c r="S617" s="5" t="str">
        <f>VLOOKUP(T617,'[1]Kode Posisi'!$A$3:$B$45,2,)</f>
        <v>Outsourcing Petugas Gudang</v>
      </c>
      <c r="T617" t="s">
        <v>2</v>
      </c>
      <c r="V617" t="s">
        <v>459</v>
      </c>
      <c r="W617" s="5" t="s">
        <v>5</v>
      </c>
      <c r="X617" s="5" t="s">
        <v>453</v>
      </c>
      <c r="Y617" t="s">
        <v>52</v>
      </c>
      <c r="Z617" s="46">
        <v>8221623690</v>
      </c>
      <c r="AA617" t="s">
        <v>458</v>
      </c>
      <c r="AB617" s="47">
        <v>5289000</v>
      </c>
      <c r="AC617" s="41">
        <v>5289000</v>
      </c>
      <c r="AD617" s="52" t="s">
        <v>196</v>
      </c>
      <c r="AI617" s="16">
        <v>0</v>
      </c>
      <c r="AK617" s="16"/>
      <c r="AL617" s="11">
        <f t="shared" si="262"/>
        <v>5289000</v>
      </c>
      <c r="AM617" s="16">
        <f t="shared" si="263"/>
        <v>541593.59999999998</v>
      </c>
      <c r="AN617" s="16">
        <f t="shared" si="264"/>
        <v>211560</v>
      </c>
      <c r="AO617" s="16">
        <f t="shared" si="284"/>
        <v>330033.59999999998</v>
      </c>
      <c r="AP617" s="16">
        <f t="shared" si="265"/>
        <v>195693</v>
      </c>
      <c r="AQ617" s="16">
        <f t="shared" si="266"/>
        <v>5830593.5999999996</v>
      </c>
      <c r="AR617" s="16">
        <f t="shared" si="286"/>
        <v>349835.61599999998</v>
      </c>
      <c r="AS617" s="16">
        <f t="shared" si="267"/>
        <v>38481.917759999997</v>
      </c>
      <c r="AT617" s="16">
        <f t="shared" si="268"/>
        <v>-6996.7123199999996</v>
      </c>
      <c r="AU617" s="16">
        <f t="shared" si="269"/>
        <v>6173432.5036800001</v>
      </c>
      <c r="AV617" s="16">
        <f t="shared" si="270"/>
        <v>6180429.216</v>
      </c>
      <c r="AW617" s="16">
        <f t="shared" si="271"/>
        <v>211560</v>
      </c>
      <c r="AX617" s="16" t="s">
        <v>235</v>
      </c>
      <c r="AZ617" s="17">
        <f t="shared" si="279"/>
        <v>0</v>
      </c>
      <c r="BA617" s="16">
        <f t="shared" si="272"/>
        <v>5077440</v>
      </c>
      <c r="BB617" s="16">
        <f t="shared" si="273"/>
        <v>5077440</v>
      </c>
      <c r="BC617" s="15">
        <v>0.03</v>
      </c>
      <c r="BD617">
        <v>0.01</v>
      </c>
      <c r="BE617" s="37">
        <f t="shared" si="274"/>
        <v>488703.6</v>
      </c>
      <c r="BF617" s="38">
        <f t="shared" si="275"/>
        <v>301473</v>
      </c>
      <c r="BG617" s="37">
        <f t="shared" si="256"/>
        <v>248100</v>
      </c>
      <c r="BH617" s="37">
        <f t="shared" si="276"/>
        <v>264450</v>
      </c>
      <c r="BI617">
        <v>248100</v>
      </c>
      <c r="BL617" s="8">
        <f t="shared" si="277"/>
        <v>0</v>
      </c>
      <c r="BM617" s="7" t="str">
        <f t="shared" si="258"/>
        <v>Terdaftar BPJS Kes &amp; Naker</v>
      </c>
      <c r="BN617" s="11">
        <f t="shared" si="285"/>
        <v>301473</v>
      </c>
      <c r="BO617" s="11">
        <f t="shared" si="259"/>
        <v>240120.6</v>
      </c>
      <c r="BP617" s="9">
        <f t="shared" si="278"/>
        <v>0</v>
      </c>
      <c r="BQ617" t="s">
        <v>8</v>
      </c>
    </row>
    <row r="618" spans="1:69" x14ac:dyDescent="0.3">
      <c r="A618" s="2">
        <v>617</v>
      </c>
      <c r="B618" s="5" t="s">
        <v>457</v>
      </c>
      <c r="C618" s="6" t="s">
        <v>241</v>
      </c>
      <c r="D618" s="6"/>
      <c r="E618" s="6"/>
      <c r="F618" s="6" t="s">
        <v>73</v>
      </c>
      <c r="G618" s="6"/>
      <c r="H618" s="6"/>
      <c r="K618" s="6">
        <v>800744</v>
      </c>
      <c r="L618" s="39"/>
      <c r="M618" s="6"/>
      <c r="N618" s="46" t="s">
        <v>456</v>
      </c>
      <c r="O618" s="6">
        <v>2686474563</v>
      </c>
      <c r="P618" s="48" t="s">
        <v>455</v>
      </c>
      <c r="Q618" s="6">
        <v>11198</v>
      </c>
      <c r="R618" s="6">
        <v>27593</v>
      </c>
      <c r="S618" s="5" t="str">
        <f>VLOOKUP(T618,'[1]Kode Posisi'!$A$3:$B$45,2,)</f>
        <v>Outsourcing Petugas Gudang</v>
      </c>
      <c r="T618" t="s">
        <v>2</v>
      </c>
      <c r="V618" t="s">
        <v>454</v>
      </c>
      <c r="W618" s="5" t="s">
        <v>5</v>
      </c>
      <c r="X618" s="5" t="s">
        <v>453</v>
      </c>
      <c r="Y618" t="s">
        <v>52</v>
      </c>
      <c r="Z618" s="46" t="s">
        <v>452</v>
      </c>
      <c r="AA618" t="s">
        <v>451</v>
      </c>
      <c r="AB618" s="47">
        <v>5289000</v>
      </c>
      <c r="AC618" s="41">
        <v>5289000</v>
      </c>
      <c r="AD618" s="52" t="s">
        <v>196</v>
      </c>
      <c r="AI618" s="16">
        <v>0</v>
      </c>
      <c r="AK618" s="16"/>
      <c r="AL618" s="11">
        <f t="shared" si="262"/>
        <v>5289000</v>
      </c>
      <c r="AM618" s="16">
        <f t="shared" si="263"/>
        <v>541593.59999999998</v>
      </c>
      <c r="AN618" s="16">
        <f t="shared" si="264"/>
        <v>211560</v>
      </c>
      <c r="AO618" s="16">
        <f t="shared" si="284"/>
        <v>330033.59999999998</v>
      </c>
      <c r="AP618" s="16">
        <f t="shared" si="265"/>
        <v>195693</v>
      </c>
      <c r="AQ618" s="16">
        <f t="shared" si="266"/>
        <v>5830593.5999999996</v>
      </c>
      <c r="AR618" s="16">
        <f t="shared" si="286"/>
        <v>349835.61599999998</v>
      </c>
      <c r="AS618" s="16">
        <f t="shared" si="267"/>
        <v>38481.917759999997</v>
      </c>
      <c r="AT618" s="16">
        <f t="shared" si="268"/>
        <v>-6996.7123199999996</v>
      </c>
      <c r="AU618" s="16">
        <f t="shared" si="269"/>
        <v>6173432.5036800001</v>
      </c>
      <c r="AV618" s="16">
        <f t="shared" si="270"/>
        <v>6180429.216</v>
      </c>
      <c r="AW618" s="16">
        <f t="shared" si="271"/>
        <v>211560</v>
      </c>
      <c r="AX618" s="16" t="s">
        <v>235</v>
      </c>
      <c r="AZ618" s="17">
        <f t="shared" si="279"/>
        <v>0</v>
      </c>
      <c r="BA618" s="16">
        <f t="shared" si="272"/>
        <v>5077440</v>
      </c>
      <c r="BB618" s="16">
        <f t="shared" si="273"/>
        <v>5077440</v>
      </c>
      <c r="BC618" s="15">
        <v>0.03</v>
      </c>
      <c r="BD618">
        <v>0.01</v>
      </c>
      <c r="BE618" s="37">
        <f t="shared" si="274"/>
        <v>488703.6</v>
      </c>
      <c r="BF618" s="38">
        <f t="shared" si="275"/>
        <v>301473</v>
      </c>
      <c r="BG618" s="37">
        <f t="shared" si="256"/>
        <v>248100</v>
      </c>
      <c r="BH618" s="37">
        <f t="shared" si="276"/>
        <v>264450</v>
      </c>
      <c r="BI618">
        <v>248100</v>
      </c>
      <c r="BL618" s="8">
        <f t="shared" si="277"/>
        <v>0</v>
      </c>
      <c r="BM618" s="7" t="str">
        <f t="shared" si="258"/>
        <v>Terdaftar BPJS Kes &amp; Naker</v>
      </c>
      <c r="BN618" s="11">
        <f t="shared" si="285"/>
        <v>301473</v>
      </c>
      <c r="BO618" s="11">
        <f t="shared" si="259"/>
        <v>240120.6</v>
      </c>
      <c r="BP618" s="9">
        <f t="shared" si="278"/>
        <v>0</v>
      </c>
      <c r="BQ618" t="s">
        <v>8</v>
      </c>
    </row>
    <row r="619" spans="1:69" x14ac:dyDescent="0.3">
      <c r="A619" s="2">
        <v>618</v>
      </c>
      <c r="B619" s="5" t="s">
        <v>445</v>
      </c>
      <c r="C619" s="6" t="s">
        <v>241</v>
      </c>
      <c r="D619" s="6"/>
      <c r="E619" s="6"/>
      <c r="F619" s="6" t="s">
        <v>73</v>
      </c>
      <c r="G619" s="6"/>
      <c r="H619" s="6"/>
      <c r="J619" t="s">
        <v>444</v>
      </c>
      <c r="K619" s="6">
        <v>800745</v>
      </c>
      <c r="L619" s="39"/>
      <c r="M619" s="6"/>
      <c r="N619" s="2" t="s">
        <v>450</v>
      </c>
      <c r="O619" s="6">
        <v>905312518</v>
      </c>
      <c r="P619" s="48" t="s">
        <v>449</v>
      </c>
      <c r="Q619" s="6">
        <v>99090</v>
      </c>
      <c r="R619" s="6">
        <v>27004</v>
      </c>
      <c r="S619" s="5" t="str">
        <f>VLOOKUP(T619,'[1]Kode Posisi'!$A$3:$B$45,2,)</f>
        <v>Outsourcing Penjualan</v>
      </c>
      <c r="T619" t="s">
        <v>21</v>
      </c>
      <c r="V619" s="18" t="s">
        <v>448</v>
      </c>
      <c r="W619" s="5" t="s">
        <v>447</v>
      </c>
      <c r="X619" s="36" t="s">
        <v>23</v>
      </c>
      <c r="Y619" t="s">
        <v>52</v>
      </c>
      <c r="Z619" s="46" t="s">
        <v>446</v>
      </c>
      <c r="AA619" t="s">
        <v>445</v>
      </c>
      <c r="AB619" s="3">
        <v>3825000</v>
      </c>
      <c r="AC619" s="3">
        <v>3825000</v>
      </c>
      <c r="AD619" s="52" t="s">
        <v>431</v>
      </c>
      <c r="AI619" s="16">
        <v>0</v>
      </c>
      <c r="AK619" s="16"/>
      <c r="AL619" s="11">
        <f t="shared" si="262"/>
        <v>3825000</v>
      </c>
      <c r="AM619" s="16">
        <f t="shared" si="263"/>
        <v>391680</v>
      </c>
      <c r="AN619" s="16">
        <f t="shared" si="264"/>
        <v>153000</v>
      </c>
      <c r="AO619" s="16">
        <f t="shared" si="284"/>
        <v>238680</v>
      </c>
      <c r="AP619" s="16">
        <f t="shared" si="265"/>
        <v>141525</v>
      </c>
      <c r="AQ619" s="16">
        <f t="shared" si="266"/>
        <v>4216680</v>
      </c>
      <c r="AR619" s="16">
        <f t="shared" si="286"/>
        <v>253000.8</v>
      </c>
      <c r="AS619" s="16">
        <f t="shared" si="267"/>
        <v>27830.088</v>
      </c>
      <c r="AT619" s="16">
        <f t="shared" si="268"/>
        <v>-5060.0159999999996</v>
      </c>
      <c r="AU619" s="16">
        <f t="shared" si="269"/>
        <v>4464620.784</v>
      </c>
      <c r="AV619" s="16">
        <f t="shared" si="270"/>
        <v>4469680.8</v>
      </c>
      <c r="AW619" s="16">
        <f t="shared" si="271"/>
        <v>153000</v>
      </c>
      <c r="AX619" s="16" t="s">
        <v>235</v>
      </c>
      <c r="AZ619" s="17">
        <f t="shared" si="279"/>
        <v>0</v>
      </c>
      <c r="BA619" s="16">
        <f t="shared" si="272"/>
        <v>3672000</v>
      </c>
      <c r="BB619" s="16">
        <f t="shared" si="273"/>
        <v>3672000</v>
      </c>
      <c r="BC619" s="15">
        <v>0.03</v>
      </c>
      <c r="BD619">
        <v>0.01</v>
      </c>
      <c r="BE619" s="37">
        <f t="shared" si="274"/>
        <v>353430</v>
      </c>
      <c r="BF619" s="38">
        <f t="shared" si="275"/>
        <v>218025</v>
      </c>
      <c r="BG619" s="37">
        <f t="shared" si="256"/>
        <v>191250</v>
      </c>
      <c r="BH619" s="37">
        <f t="shared" si="276"/>
        <v>191250</v>
      </c>
      <c r="BI619" t="e">
        <v>#N/A</v>
      </c>
      <c r="BL619" s="8">
        <f t="shared" si="277"/>
        <v>0</v>
      </c>
      <c r="BM619" s="7" t="str">
        <f t="shared" si="258"/>
        <v>Terdaftar BPJS Kes &amp; Naker</v>
      </c>
      <c r="BN619" s="11">
        <f t="shared" si="285"/>
        <v>218025</v>
      </c>
      <c r="BO619" s="11">
        <f t="shared" si="259"/>
        <v>173655</v>
      </c>
      <c r="BP619" s="9">
        <f t="shared" si="278"/>
        <v>0</v>
      </c>
      <c r="BQ619" t="str">
        <f>_xlfn.XLOOKUP(X619,'[2]NON TETAP'!$H:$H,'[2]NON TETAP'!$I:$I)</f>
        <v>GLOBAL LINTAS KARYA UTAMA</v>
      </c>
    </row>
    <row r="620" spans="1:69" x14ac:dyDescent="0.3">
      <c r="A620" s="2">
        <v>619</v>
      </c>
      <c r="B620" s="5" t="s">
        <v>438</v>
      </c>
      <c r="C620" s="6" t="s">
        <v>241</v>
      </c>
      <c r="D620" s="6"/>
      <c r="E620" s="6"/>
      <c r="F620" s="6" t="s">
        <v>73</v>
      </c>
      <c r="G620" s="6"/>
      <c r="H620" s="6"/>
      <c r="J620" t="s">
        <v>444</v>
      </c>
      <c r="K620" s="6">
        <v>800746</v>
      </c>
      <c r="L620" s="39"/>
      <c r="M620" s="6"/>
      <c r="N620" s="2" t="s">
        <v>443</v>
      </c>
      <c r="O620" s="6">
        <v>1145741319</v>
      </c>
      <c r="P620" s="48" t="s">
        <v>442</v>
      </c>
      <c r="Q620" s="6">
        <v>99090</v>
      </c>
      <c r="R620" s="6">
        <v>27004</v>
      </c>
      <c r="S620" s="5" t="str">
        <f>VLOOKUP(T620,'[1]Kode Posisi'!$A$3:$B$45,2,)</f>
        <v>Outsourcing Penjualan</v>
      </c>
      <c r="T620" t="s">
        <v>21</v>
      </c>
      <c r="V620" s="18" t="s">
        <v>441</v>
      </c>
      <c r="W620" s="5" t="s">
        <v>440</v>
      </c>
      <c r="X620" s="36" t="s">
        <v>23</v>
      </c>
      <c r="Y620" t="s">
        <v>52</v>
      </c>
      <c r="Z620" s="46" t="s">
        <v>439</v>
      </c>
      <c r="AA620" t="s">
        <v>438</v>
      </c>
      <c r="AB620" s="47">
        <v>3792000</v>
      </c>
      <c r="AC620" s="41">
        <v>3792000</v>
      </c>
      <c r="AD620" s="52" t="s">
        <v>437</v>
      </c>
      <c r="AI620" s="16">
        <v>0</v>
      </c>
      <c r="AK620" s="16"/>
      <c r="AL620" s="11">
        <f t="shared" si="262"/>
        <v>3792000</v>
      </c>
      <c r="AM620" s="16">
        <f t="shared" si="263"/>
        <v>388300.79999999999</v>
      </c>
      <c r="AN620" s="16">
        <f t="shared" si="264"/>
        <v>151680</v>
      </c>
      <c r="AO620" s="16">
        <f t="shared" si="284"/>
        <v>236620.79999999999</v>
      </c>
      <c r="AP620" s="16">
        <f t="shared" si="265"/>
        <v>140304</v>
      </c>
      <c r="AQ620" s="16">
        <f t="shared" si="266"/>
        <v>4180300.8</v>
      </c>
      <c r="AR620" s="16">
        <f t="shared" si="286"/>
        <v>250818.04799999998</v>
      </c>
      <c r="AS620" s="16">
        <f t="shared" si="267"/>
        <v>27589.985279999997</v>
      </c>
      <c r="AT620" s="16">
        <f t="shared" si="268"/>
        <v>-5016.36096</v>
      </c>
      <c r="AU620" s="16">
        <f t="shared" si="269"/>
        <v>4426102.48704</v>
      </c>
      <c r="AV620" s="16">
        <f t="shared" si="270"/>
        <v>4431118.8480000002</v>
      </c>
      <c r="AW620" s="16">
        <f t="shared" si="271"/>
        <v>151680</v>
      </c>
      <c r="AX620" s="16" t="s">
        <v>235</v>
      </c>
      <c r="AZ620" s="17">
        <f t="shared" si="279"/>
        <v>0</v>
      </c>
      <c r="BA620" s="16">
        <f t="shared" si="272"/>
        <v>3640320</v>
      </c>
      <c r="BB620" s="16">
        <f t="shared" si="273"/>
        <v>3640320</v>
      </c>
      <c r="BC620" s="15">
        <v>0.03</v>
      </c>
      <c r="BD620">
        <v>0.01</v>
      </c>
      <c r="BE620" s="37">
        <f t="shared" si="274"/>
        <v>350380.79999999999</v>
      </c>
      <c r="BF620" s="38">
        <f t="shared" si="275"/>
        <v>216144</v>
      </c>
      <c r="BG620" s="37">
        <f t="shared" si="256"/>
        <v>176750</v>
      </c>
      <c r="BH620" s="37">
        <f t="shared" si="276"/>
        <v>189600</v>
      </c>
      <c r="BI620" t="e">
        <v>#N/A</v>
      </c>
      <c r="BL620" s="8">
        <f t="shared" si="277"/>
        <v>0</v>
      </c>
      <c r="BM620" s="7" t="str">
        <f t="shared" si="258"/>
        <v>Terdaftar BPJS Kes &amp; Naker</v>
      </c>
      <c r="BN620" s="11">
        <f t="shared" si="285"/>
        <v>216144</v>
      </c>
      <c r="BO620" s="11">
        <f t="shared" si="259"/>
        <v>172156.80000000002</v>
      </c>
      <c r="BP620" s="9">
        <f t="shared" si="278"/>
        <v>0</v>
      </c>
      <c r="BQ620" t="str">
        <f>_xlfn.XLOOKUP(X620,'[2]NON TETAP'!$H:$H,'[2]NON TETAP'!$I:$I)</f>
        <v>GLOBAL LINTAS KARYA UTAMA</v>
      </c>
    </row>
    <row r="621" spans="1:69" x14ac:dyDescent="0.3">
      <c r="A621" s="2">
        <v>620</v>
      </c>
      <c r="B621" s="5" t="s">
        <v>432</v>
      </c>
      <c r="C621" s="6" t="s">
        <v>241</v>
      </c>
      <c r="D621" s="6"/>
      <c r="E621" s="6"/>
      <c r="F621" s="6" t="s">
        <v>73</v>
      </c>
      <c r="G621" s="6"/>
      <c r="H621" s="6"/>
      <c r="K621" s="6">
        <v>800750</v>
      </c>
      <c r="L621" s="39"/>
      <c r="M621" s="6"/>
      <c r="N621" s="2" t="s">
        <v>436</v>
      </c>
      <c r="O621" s="6">
        <v>2256442885</v>
      </c>
      <c r="P621" s="48" t="s">
        <v>435</v>
      </c>
      <c r="Q621" s="6">
        <v>10141</v>
      </c>
      <c r="R621" s="6">
        <v>27141</v>
      </c>
      <c r="S621" s="5" t="str">
        <f>VLOOKUP(T621,'[1]Kode Posisi'!$A$3:$B$45,2,)</f>
        <v>Outsourcing Keamanan</v>
      </c>
      <c r="T621" s="36" t="s">
        <v>37</v>
      </c>
      <c r="V621" s="18" t="s">
        <v>434</v>
      </c>
      <c r="W621" s="5" t="s">
        <v>123</v>
      </c>
      <c r="X621" s="5" t="s">
        <v>123</v>
      </c>
      <c r="Y621" t="s">
        <v>52</v>
      </c>
      <c r="Z621" s="46" t="s">
        <v>433</v>
      </c>
      <c r="AA621" t="s">
        <v>432</v>
      </c>
      <c r="AB621" s="3">
        <v>3825000</v>
      </c>
      <c r="AC621" s="3">
        <v>3825000</v>
      </c>
      <c r="AD621" s="52" t="s">
        <v>431</v>
      </c>
      <c r="AI621" s="16">
        <v>88439.306358381509</v>
      </c>
      <c r="AK621" s="16"/>
      <c r="AL621" s="11">
        <f t="shared" si="262"/>
        <v>3913439.3063583816</v>
      </c>
      <c r="AM621" s="16">
        <f t="shared" si="263"/>
        <v>391680</v>
      </c>
      <c r="AN621" s="16">
        <f t="shared" si="264"/>
        <v>153000</v>
      </c>
      <c r="AO621" s="16">
        <f t="shared" si="284"/>
        <v>238680</v>
      </c>
      <c r="AP621" s="16">
        <f t="shared" si="265"/>
        <v>141525</v>
      </c>
      <c r="AQ621" s="16">
        <f t="shared" si="266"/>
        <v>4305119.3063583821</v>
      </c>
      <c r="AR621" s="16">
        <f t="shared" si="286"/>
        <v>258307.15838150293</v>
      </c>
      <c r="AS621" s="16">
        <f t="shared" si="267"/>
        <v>28413.787421965324</v>
      </c>
      <c r="AT621" s="16">
        <f t="shared" si="268"/>
        <v>-5166.143167630059</v>
      </c>
      <c r="AU621" s="16">
        <f t="shared" si="269"/>
        <v>4558260.3215722553</v>
      </c>
      <c r="AV621" s="16">
        <f t="shared" si="270"/>
        <v>4563426.4647398852</v>
      </c>
      <c r="AW621" s="16">
        <f t="shared" si="271"/>
        <v>153000</v>
      </c>
      <c r="AX621" s="16" t="s">
        <v>235</v>
      </c>
      <c r="AZ621" s="17">
        <f t="shared" si="279"/>
        <v>0</v>
      </c>
      <c r="BA621" s="16">
        <f t="shared" si="272"/>
        <v>3760439.3063583816</v>
      </c>
      <c r="BB621" s="16">
        <f t="shared" si="273"/>
        <v>3760439.3063583816</v>
      </c>
      <c r="BC621" s="15">
        <v>0.03</v>
      </c>
      <c r="BD621">
        <v>0.01</v>
      </c>
      <c r="BE621" s="37">
        <f t="shared" si="274"/>
        <v>353430</v>
      </c>
      <c r="BF621" s="38">
        <f t="shared" si="275"/>
        <v>218025</v>
      </c>
      <c r="BG621" s="37">
        <f t="shared" si="256"/>
        <v>191250</v>
      </c>
      <c r="BH621" s="37">
        <f t="shared" si="276"/>
        <v>191250</v>
      </c>
      <c r="BI621" t="e">
        <v>#N/A</v>
      </c>
      <c r="BL621" s="8">
        <f t="shared" si="277"/>
        <v>88439.306358381509</v>
      </c>
      <c r="BM621" s="7" t="str">
        <f t="shared" si="258"/>
        <v>Terdaftar BPJS Kes &amp; Naker</v>
      </c>
      <c r="BN621" s="11">
        <f t="shared" si="285"/>
        <v>218025</v>
      </c>
      <c r="BO621" s="11">
        <f t="shared" si="259"/>
        <v>173655</v>
      </c>
      <c r="BP621" s="9">
        <f t="shared" si="278"/>
        <v>0</v>
      </c>
      <c r="BQ621" t="str">
        <f>_xlfn.XLOOKUP(X621,'[2]NON TETAP'!$H:$H,'[2]NON TETAP'!$I:$I)</f>
        <v>GRAMEDIA ASRI MEDIA</v>
      </c>
    </row>
    <row r="622" spans="1:69" x14ac:dyDescent="0.3">
      <c r="A622" s="2">
        <v>621</v>
      </c>
      <c r="B622" s="5" t="s">
        <v>425</v>
      </c>
      <c r="C622" s="6" t="s">
        <v>241</v>
      </c>
      <c r="K622" s="6">
        <v>800748</v>
      </c>
      <c r="L622" s="39">
        <v>45983</v>
      </c>
      <c r="M622" s="6"/>
      <c r="N622" s="2" t="s">
        <v>430</v>
      </c>
      <c r="O622" s="6"/>
      <c r="P622" s="48" t="s">
        <v>429</v>
      </c>
      <c r="Q622" s="6">
        <v>18108</v>
      </c>
      <c r="R622" s="6">
        <v>27190</v>
      </c>
      <c r="S622" s="5" t="str">
        <f>VLOOKUP(T622,'[1]Kode Posisi'!$A$3:$B$45,2,)</f>
        <v>Outsourcing Petugas Pemeliharaan Gedung</v>
      </c>
      <c r="T622" s="36" t="s">
        <v>247</v>
      </c>
      <c r="V622" t="s">
        <v>428</v>
      </c>
      <c r="W622" s="49" t="s">
        <v>427</v>
      </c>
      <c r="X622" s="36" t="s">
        <v>426</v>
      </c>
      <c r="Y622" t="s">
        <v>52</v>
      </c>
      <c r="Z622" s="2">
        <v>4730841481</v>
      </c>
      <c r="AA622" t="s">
        <v>425</v>
      </c>
      <c r="AB622" s="3">
        <v>4975000</v>
      </c>
      <c r="AC622" s="3">
        <v>4975000</v>
      </c>
      <c r="AD622" s="52" t="s">
        <v>276</v>
      </c>
      <c r="AI622" s="16">
        <v>704552.02312138723</v>
      </c>
      <c r="AK622" s="16"/>
      <c r="AL622" s="11">
        <f t="shared" si="262"/>
        <v>5679552.0231213868</v>
      </c>
      <c r="AM622" s="16">
        <f t="shared" si="263"/>
        <v>509440</v>
      </c>
      <c r="AN622" s="16">
        <f t="shared" si="264"/>
        <v>199000</v>
      </c>
      <c r="AO622" s="16">
        <f t="shared" si="284"/>
        <v>310440</v>
      </c>
      <c r="AP622" s="16">
        <f t="shared" si="265"/>
        <v>184075</v>
      </c>
      <c r="AQ622" s="16">
        <f t="shared" si="266"/>
        <v>6188992.0231213868</v>
      </c>
      <c r="AR622" s="16">
        <f t="shared" si="286"/>
        <v>371339.52138728317</v>
      </c>
      <c r="AS622" s="16">
        <f t="shared" si="267"/>
        <v>40847.347352601151</v>
      </c>
      <c r="AT622" s="16">
        <f t="shared" si="268"/>
        <v>-7426.7904277456637</v>
      </c>
      <c r="AU622" s="16">
        <f t="shared" si="269"/>
        <v>6552904.7540809242</v>
      </c>
      <c r="AV622" s="16">
        <f t="shared" si="270"/>
        <v>6560331.5445086695</v>
      </c>
      <c r="AW622" s="16">
        <f t="shared" si="271"/>
        <v>199000</v>
      </c>
      <c r="AX622" s="16" t="s">
        <v>235</v>
      </c>
      <c r="AZ622" s="17">
        <f t="shared" si="279"/>
        <v>0</v>
      </c>
      <c r="BA622" s="16">
        <f t="shared" si="272"/>
        <v>5480552.0231213868</v>
      </c>
      <c r="BB622" s="16">
        <f t="shared" si="273"/>
        <v>5480552.0231213868</v>
      </c>
      <c r="BC622" s="15">
        <v>0.03</v>
      </c>
      <c r="BD622">
        <v>0.01</v>
      </c>
      <c r="BE622" s="37">
        <f t="shared" si="274"/>
        <v>459690</v>
      </c>
      <c r="BF622" s="38">
        <f t="shared" si="275"/>
        <v>283575</v>
      </c>
      <c r="BG622" s="37">
        <f t="shared" ref="BG622:BG676" si="287">5%*AD622</f>
        <v>248750</v>
      </c>
      <c r="BH622" s="37">
        <f t="shared" si="276"/>
        <v>248750</v>
      </c>
      <c r="BL622" s="8">
        <f t="shared" si="277"/>
        <v>704552.02312138723</v>
      </c>
      <c r="BM622" s="7" t="str">
        <f t="shared" si="258"/>
        <v>Terdaftar BPJS Kes &amp; Naker</v>
      </c>
      <c r="BN622" s="11">
        <f t="shared" si="285"/>
        <v>283575</v>
      </c>
      <c r="BO622" s="11">
        <f t="shared" si="259"/>
        <v>225865</v>
      </c>
      <c r="BP622" s="9">
        <f t="shared" si="278"/>
        <v>0</v>
      </c>
      <c r="BQ622" t="s">
        <v>8</v>
      </c>
    </row>
    <row r="623" spans="1:69" x14ac:dyDescent="0.3">
      <c r="A623" s="2">
        <v>622</v>
      </c>
      <c r="B623" s="5" t="s">
        <v>424</v>
      </c>
      <c r="C623" s="6" t="s">
        <v>241</v>
      </c>
      <c r="K623" s="6">
        <v>800753</v>
      </c>
      <c r="L623" s="39">
        <v>45962</v>
      </c>
      <c r="M623" s="6"/>
      <c r="N623" s="2" t="s">
        <v>423</v>
      </c>
      <c r="O623" s="6"/>
      <c r="P623" s="48" t="s">
        <v>422</v>
      </c>
      <c r="Q623" s="6">
        <v>20526</v>
      </c>
      <c r="R623" s="6">
        <v>27051</v>
      </c>
      <c r="S623" s="5" t="s">
        <v>101</v>
      </c>
      <c r="T623" t="s">
        <v>421</v>
      </c>
      <c r="V623" t="s">
        <v>420</v>
      </c>
      <c r="W623" s="5" t="s">
        <v>264</v>
      </c>
      <c r="X623" s="5" t="s">
        <v>263</v>
      </c>
      <c r="Y623" t="s">
        <v>52</v>
      </c>
      <c r="Z623" s="18" t="s">
        <v>419</v>
      </c>
      <c r="AA623" t="s">
        <v>418</v>
      </c>
      <c r="AB623" s="47">
        <v>5730000</v>
      </c>
      <c r="AC623" s="41">
        <v>5730000</v>
      </c>
      <c r="AD623" s="52" t="s">
        <v>177</v>
      </c>
      <c r="AI623" s="16">
        <v>0</v>
      </c>
      <c r="AK623" s="16"/>
      <c r="AL623" s="11">
        <f t="shared" si="262"/>
        <v>5730000</v>
      </c>
      <c r="AM623" s="16">
        <f t="shared" si="263"/>
        <v>586752</v>
      </c>
      <c r="AN623" s="16">
        <f t="shared" si="264"/>
        <v>229200</v>
      </c>
      <c r="AO623" s="16">
        <f t="shared" si="284"/>
        <v>357552</v>
      </c>
      <c r="AP623" s="16">
        <f t="shared" si="265"/>
        <v>212010</v>
      </c>
      <c r="AQ623" s="16">
        <f t="shared" si="266"/>
        <v>6316752</v>
      </c>
      <c r="AR623" s="16">
        <f t="shared" si="286"/>
        <v>379005.12</v>
      </c>
      <c r="AS623" s="16">
        <f t="shared" si="267"/>
        <v>41690.563199999997</v>
      </c>
      <c r="AT623" s="16">
        <f t="shared" si="268"/>
        <v>-7580.1023999999998</v>
      </c>
      <c r="AU623" s="16">
        <f t="shared" si="269"/>
        <v>6688177.0175999999</v>
      </c>
      <c r="AV623" s="16">
        <f t="shared" si="270"/>
        <v>6695757.1200000001</v>
      </c>
      <c r="AW623" s="16">
        <f t="shared" si="271"/>
        <v>229200</v>
      </c>
      <c r="AX623" s="16" t="s">
        <v>319</v>
      </c>
      <c r="AZ623" s="17">
        <f t="shared" si="279"/>
        <v>0</v>
      </c>
      <c r="BA623" s="16">
        <f t="shared" si="272"/>
        <v>5500800</v>
      </c>
      <c r="BB623" s="16">
        <f t="shared" si="273"/>
        <v>5500800</v>
      </c>
      <c r="BC623" s="15">
        <v>0.03</v>
      </c>
      <c r="BD623">
        <v>0.01</v>
      </c>
      <c r="BE623" s="37">
        <f t="shared" si="274"/>
        <v>529452</v>
      </c>
      <c r="BF623" s="38">
        <f t="shared" si="275"/>
        <v>326610</v>
      </c>
      <c r="BG623" s="37">
        <f t="shared" si="287"/>
        <v>269850</v>
      </c>
      <c r="BH623" s="37">
        <f t="shared" si="276"/>
        <v>286500</v>
      </c>
      <c r="BL623" s="8">
        <f t="shared" si="277"/>
        <v>0</v>
      </c>
      <c r="BM623" s="7" t="str">
        <f t="shared" si="258"/>
        <v>Terdaftar BPJS Kes &amp; Naker</v>
      </c>
      <c r="BN623" s="11">
        <f t="shared" si="285"/>
        <v>326610</v>
      </c>
      <c r="BO623" s="11">
        <f t="shared" si="259"/>
        <v>260142.00000000003</v>
      </c>
      <c r="BP623" s="9">
        <f t="shared" si="278"/>
        <v>0</v>
      </c>
      <c r="BQ623" t="str">
        <f>_xlfn.XLOOKUP(X623,'[2]NON TETAP'!$H:$H,'[2]NON TETAP'!$I:$I)</f>
        <v>GRAMEDIA PUSTAKA UTAMA</v>
      </c>
    </row>
    <row r="624" spans="1:69" x14ac:dyDescent="0.3">
      <c r="A624" s="2">
        <v>623</v>
      </c>
      <c r="B624" s="5" t="s">
        <v>414</v>
      </c>
      <c r="C624" s="6" t="s">
        <v>309</v>
      </c>
      <c r="D624" t="s">
        <v>308</v>
      </c>
      <c r="E624" t="s">
        <v>0</v>
      </c>
      <c r="K624" s="6">
        <v>800754</v>
      </c>
      <c r="L624" s="39">
        <v>45962</v>
      </c>
      <c r="M624" s="6"/>
      <c r="N624" s="2" t="s">
        <v>417</v>
      </c>
      <c r="O624" s="6"/>
      <c r="P624" s="48" t="s">
        <v>416</v>
      </c>
      <c r="Q624" s="6">
        <v>33085</v>
      </c>
      <c r="R624" s="6">
        <v>27510</v>
      </c>
      <c r="S624" s="5" t="str">
        <f>VLOOKUP(T624,'[1]Kode Posisi'!$A$3:$B$45,2,)</f>
        <v>Outsourcing Pengemudi</v>
      </c>
      <c r="T624" t="s">
        <v>305</v>
      </c>
      <c r="V624" t="s">
        <v>415</v>
      </c>
      <c r="W624" s="5" t="s">
        <v>410</v>
      </c>
      <c r="X624" s="5" t="s">
        <v>409</v>
      </c>
      <c r="Y624" t="s">
        <v>52</v>
      </c>
      <c r="Z624" s="2">
        <v>2831584507</v>
      </c>
      <c r="AA624" t="s">
        <v>414</v>
      </c>
      <c r="AB624" s="47">
        <v>4738000</v>
      </c>
      <c r="AC624" s="41">
        <v>4738000</v>
      </c>
      <c r="AD624" s="52" t="s">
        <v>407</v>
      </c>
      <c r="AH624" s="16">
        <f t="shared" ref="AH624:AH649" si="288">IF(T624="Driver",350000,275000)</f>
        <v>350000</v>
      </c>
      <c r="AI624" s="16">
        <v>0</v>
      </c>
      <c r="AK624" s="16"/>
      <c r="AL624" s="11">
        <f t="shared" si="262"/>
        <v>5088000</v>
      </c>
      <c r="AM624" s="16">
        <f t="shared" si="263"/>
        <v>390411.2</v>
      </c>
      <c r="AN624" s="16">
        <f t="shared" si="264"/>
        <v>189520</v>
      </c>
      <c r="AO624" s="16">
        <f t="shared" ref="AO624:AO649" si="289">IF(BC624=0.02,AC624*0.0424,0)</f>
        <v>200891.2</v>
      </c>
      <c r="AP624" s="16">
        <f t="shared" si="265"/>
        <v>0</v>
      </c>
      <c r="AQ624" s="16">
        <f t="shared" si="266"/>
        <v>5478411.2000000002</v>
      </c>
      <c r="AR624" s="16">
        <f t="shared" si="286"/>
        <v>328704.67200000002</v>
      </c>
      <c r="AS624" s="16">
        <f t="shared" si="267"/>
        <v>36157.513920000005</v>
      </c>
      <c r="AT624" s="16">
        <f t="shared" si="268"/>
        <v>-6574.0934400000006</v>
      </c>
      <c r="AU624" s="16">
        <f t="shared" si="269"/>
        <v>5800541.7785600005</v>
      </c>
      <c r="AV624" s="16">
        <f t="shared" si="270"/>
        <v>5807115.8720000004</v>
      </c>
      <c r="AW624" s="16">
        <f t="shared" si="271"/>
        <v>142140</v>
      </c>
      <c r="AX624" s="16" t="s">
        <v>319</v>
      </c>
      <c r="AZ624" s="17">
        <f t="shared" si="279"/>
        <v>0</v>
      </c>
      <c r="BA624" s="16">
        <f t="shared" si="272"/>
        <v>4945860</v>
      </c>
      <c r="BB624" s="16">
        <f t="shared" si="273"/>
        <v>4945860</v>
      </c>
      <c r="BC624" s="15">
        <v>0.02</v>
      </c>
      <c r="BD624">
        <v>0.01</v>
      </c>
      <c r="BE624" s="37">
        <f t="shared" si="274"/>
        <v>0</v>
      </c>
      <c r="BF624" s="38">
        <f t="shared" si="275"/>
        <v>0</v>
      </c>
      <c r="BG624" s="37">
        <f t="shared" si="287"/>
        <v>224150</v>
      </c>
      <c r="BH624" s="37">
        <f t="shared" si="276"/>
        <v>236900</v>
      </c>
      <c r="BK624" s="48"/>
      <c r="BL624" s="8">
        <f t="shared" si="277"/>
        <v>350000</v>
      </c>
      <c r="BM624" s="7" t="str">
        <f t="shared" si="258"/>
        <v>Tidak Terdaftar</v>
      </c>
      <c r="BN624" s="11">
        <f>AC624*3.7%</f>
        <v>175306.00000000003</v>
      </c>
      <c r="BO624" s="11">
        <f t="shared" si="259"/>
        <v>215105.2</v>
      </c>
      <c r="BP624" s="9">
        <f t="shared" si="278"/>
        <v>0</v>
      </c>
      <c r="BQ624" t="s">
        <v>8</v>
      </c>
    </row>
    <row r="625" spans="1:69" x14ac:dyDescent="0.3">
      <c r="A625" s="2">
        <v>624</v>
      </c>
      <c r="B625" s="5" t="s">
        <v>408</v>
      </c>
      <c r="C625" s="6" t="s">
        <v>309</v>
      </c>
      <c r="D625" t="s">
        <v>308</v>
      </c>
      <c r="E625" t="s">
        <v>0</v>
      </c>
      <c r="K625" s="6">
        <v>800755</v>
      </c>
      <c r="L625" s="39">
        <v>45962</v>
      </c>
      <c r="M625" s="6"/>
      <c r="N625" s="2" t="s">
        <v>413</v>
      </c>
      <c r="O625" s="6"/>
      <c r="P625" s="48" t="s">
        <v>412</v>
      </c>
      <c r="Q625" s="6">
        <v>33085</v>
      </c>
      <c r="R625" s="6">
        <v>27510</v>
      </c>
      <c r="S625" s="5" t="str">
        <f>VLOOKUP(T625,'[1]Kode Posisi'!$A$3:$B$45,2,)</f>
        <v>Outsourcing Pengemudi</v>
      </c>
      <c r="T625" t="s">
        <v>305</v>
      </c>
      <c r="V625" t="s">
        <v>411</v>
      </c>
      <c r="W625" s="5" t="s">
        <v>410</v>
      </c>
      <c r="X625" s="5" t="s">
        <v>409</v>
      </c>
      <c r="Y625" t="s">
        <v>52</v>
      </c>
      <c r="Z625" s="2">
        <v>4491301192</v>
      </c>
      <c r="AA625" t="s">
        <v>408</v>
      </c>
      <c r="AB625" s="47">
        <v>4738000</v>
      </c>
      <c r="AC625" s="41">
        <v>4738000</v>
      </c>
      <c r="AD625" s="52" t="s">
        <v>407</v>
      </c>
      <c r="AH625" s="16">
        <f t="shared" si="288"/>
        <v>350000</v>
      </c>
      <c r="AI625" s="16">
        <v>0</v>
      </c>
      <c r="AK625" s="16"/>
      <c r="AL625" s="11">
        <f t="shared" si="262"/>
        <v>5088000</v>
      </c>
      <c r="AM625" s="16">
        <f t="shared" si="263"/>
        <v>390411.2</v>
      </c>
      <c r="AN625" s="16">
        <f t="shared" si="264"/>
        <v>189520</v>
      </c>
      <c r="AO625" s="16">
        <f t="shared" si="289"/>
        <v>200891.2</v>
      </c>
      <c r="AP625" s="16">
        <f t="shared" si="265"/>
        <v>0</v>
      </c>
      <c r="AQ625" s="16">
        <f t="shared" si="266"/>
        <v>5478411.2000000002</v>
      </c>
      <c r="AR625" s="16">
        <f t="shared" si="286"/>
        <v>328704.67200000002</v>
      </c>
      <c r="AS625" s="16">
        <f t="shared" si="267"/>
        <v>36157.513920000005</v>
      </c>
      <c r="AT625" s="16">
        <f t="shared" si="268"/>
        <v>-6574.0934400000006</v>
      </c>
      <c r="AU625" s="16">
        <f t="shared" si="269"/>
        <v>5800541.7785600005</v>
      </c>
      <c r="AV625" s="16">
        <f t="shared" si="270"/>
        <v>5807115.8720000004</v>
      </c>
      <c r="AW625" s="16">
        <f t="shared" si="271"/>
        <v>142140</v>
      </c>
      <c r="AX625" s="16" t="s">
        <v>319</v>
      </c>
      <c r="AZ625" s="17">
        <f t="shared" si="279"/>
        <v>0</v>
      </c>
      <c r="BA625" s="16">
        <f t="shared" si="272"/>
        <v>4945860</v>
      </c>
      <c r="BB625" s="16">
        <f t="shared" si="273"/>
        <v>4945860</v>
      </c>
      <c r="BC625" s="15">
        <v>0.02</v>
      </c>
      <c r="BD625">
        <v>0.01</v>
      </c>
      <c r="BE625" s="37">
        <f t="shared" si="274"/>
        <v>0</v>
      </c>
      <c r="BF625" s="38">
        <f t="shared" si="275"/>
        <v>0</v>
      </c>
      <c r="BG625" s="37">
        <f t="shared" si="287"/>
        <v>224150</v>
      </c>
      <c r="BH625" s="37">
        <f t="shared" si="276"/>
        <v>236900</v>
      </c>
      <c r="BK625" s="48"/>
      <c r="BL625" s="8">
        <f t="shared" si="277"/>
        <v>350000</v>
      </c>
      <c r="BM625" s="7" t="str">
        <f t="shared" si="258"/>
        <v>Tidak Terdaftar</v>
      </c>
      <c r="BN625" s="11">
        <f>AC625*3.7%</f>
        <v>175306.00000000003</v>
      </c>
      <c r="BO625" s="11">
        <f t="shared" si="259"/>
        <v>215105.2</v>
      </c>
      <c r="BP625" s="9">
        <f t="shared" si="278"/>
        <v>0</v>
      </c>
      <c r="BQ625" t="s">
        <v>8</v>
      </c>
    </row>
    <row r="626" spans="1:69" x14ac:dyDescent="0.3">
      <c r="A626" s="2">
        <v>625</v>
      </c>
      <c r="B626" s="5" t="s">
        <v>403</v>
      </c>
      <c r="C626" s="6" t="s">
        <v>309</v>
      </c>
      <c r="D626" t="s">
        <v>308</v>
      </c>
      <c r="E626" t="s">
        <v>0</v>
      </c>
      <c r="K626" s="6">
        <v>800756</v>
      </c>
      <c r="L626" s="39">
        <v>45962</v>
      </c>
      <c r="M626" s="6"/>
      <c r="N626" s="2" t="s">
        <v>406</v>
      </c>
      <c r="O626" s="6"/>
      <c r="P626" s="48" t="s">
        <v>405</v>
      </c>
      <c r="Q626" s="6">
        <v>11196</v>
      </c>
      <c r="R626" s="6">
        <v>27591</v>
      </c>
      <c r="S626" s="5" t="str">
        <f>VLOOKUP(T626,'[1]Kode Posisi'!$A$3:$B$45,2,)</f>
        <v>Outsourcing Pengemudi</v>
      </c>
      <c r="T626" t="s">
        <v>305</v>
      </c>
      <c r="V626" t="s">
        <v>404</v>
      </c>
      <c r="W626" s="5" t="s">
        <v>303</v>
      </c>
      <c r="X626" s="5" t="s">
        <v>302</v>
      </c>
      <c r="Y626" t="s">
        <v>52</v>
      </c>
      <c r="Z626" s="2">
        <v>5211239418</v>
      </c>
      <c r="AA626" t="s">
        <v>403</v>
      </c>
      <c r="AB626" s="47">
        <v>5730000</v>
      </c>
      <c r="AC626" s="41">
        <v>5730000</v>
      </c>
      <c r="AD626" s="52" t="s">
        <v>177</v>
      </c>
      <c r="AH626" s="16">
        <f t="shared" si="288"/>
        <v>350000</v>
      </c>
      <c r="AI626" s="16">
        <v>0</v>
      </c>
      <c r="AK626" s="16"/>
      <c r="AL626" s="11">
        <f t="shared" si="262"/>
        <v>6080000</v>
      </c>
      <c r="AM626" s="16">
        <f t="shared" si="263"/>
        <v>472152</v>
      </c>
      <c r="AN626" s="16">
        <f t="shared" si="264"/>
        <v>229200</v>
      </c>
      <c r="AO626" s="16">
        <f t="shared" si="289"/>
        <v>242952</v>
      </c>
      <c r="AP626" s="16">
        <f t="shared" si="265"/>
        <v>0</v>
      </c>
      <c r="AQ626" s="16">
        <f t="shared" si="266"/>
        <v>6552152</v>
      </c>
      <c r="AR626" s="16">
        <f t="shared" si="286"/>
        <v>393129.12</v>
      </c>
      <c r="AS626" s="16">
        <f t="shared" si="267"/>
        <v>43244.203199999996</v>
      </c>
      <c r="AT626" s="16">
        <f t="shared" si="268"/>
        <v>-7862.5824000000002</v>
      </c>
      <c r="AU626" s="16">
        <f t="shared" si="269"/>
        <v>6937418.5376000004</v>
      </c>
      <c r="AV626" s="16">
        <f t="shared" si="270"/>
        <v>6945281.1200000001</v>
      </c>
      <c r="AW626" s="16">
        <f t="shared" si="271"/>
        <v>171900</v>
      </c>
      <c r="AX626" s="16" t="s">
        <v>286</v>
      </c>
      <c r="AZ626" s="17">
        <f t="shared" si="279"/>
        <v>0</v>
      </c>
      <c r="BA626" s="16">
        <f t="shared" si="272"/>
        <v>5908100</v>
      </c>
      <c r="BB626" s="16">
        <f t="shared" si="273"/>
        <v>5908100</v>
      </c>
      <c r="BC626" s="15">
        <v>0.02</v>
      </c>
      <c r="BD626">
        <v>0.01</v>
      </c>
      <c r="BE626" s="37">
        <f t="shared" si="274"/>
        <v>0</v>
      </c>
      <c r="BF626" s="38">
        <f t="shared" si="275"/>
        <v>0</v>
      </c>
      <c r="BG626" s="37">
        <f t="shared" si="287"/>
        <v>269850</v>
      </c>
      <c r="BH626" s="37">
        <f t="shared" si="276"/>
        <v>286500</v>
      </c>
      <c r="BK626" s="48"/>
      <c r="BL626" s="8">
        <f t="shared" si="277"/>
        <v>350000</v>
      </c>
      <c r="BM626" s="7" t="str">
        <f t="shared" si="258"/>
        <v>Tidak Terdaftar</v>
      </c>
      <c r="BN626" s="11">
        <f>AC626*3.7%</f>
        <v>212010.00000000003</v>
      </c>
      <c r="BO626" s="11">
        <f t="shared" si="259"/>
        <v>260142.00000000003</v>
      </c>
      <c r="BP626" s="9">
        <f t="shared" si="278"/>
        <v>0</v>
      </c>
      <c r="BQ626" t="s">
        <v>8</v>
      </c>
    </row>
    <row r="627" spans="1:69" x14ac:dyDescent="0.3">
      <c r="A627" s="2">
        <v>626</v>
      </c>
      <c r="B627" s="5" t="s">
        <v>400</v>
      </c>
      <c r="C627" s="6" t="s">
        <v>309</v>
      </c>
      <c r="D627" t="s">
        <v>308</v>
      </c>
      <c r="E627" t="s">
        <v>0</v>
      </c>
      <c r="I627" t="s">
        <v>249</v>
      </c>
      <c r="K627" s="6">
        <v>800790</v>
      </c>
      <c r="L627" s="39">
        <v>45962</v>
      </c>
      <c r="M627" s="6"/>
      <c r="N627" s="2" t="e">
        <v>#N/A</v>
      </c>
      <c r="O627" s="6"/>
      <c r="P627" s="48" t="s">
        <v>402</v>
      </c>
      <c r="Q627" s="6">
        <v>11196</v>
      </c>
      <c r="R627" s="6">
        <v>27591</v>
      </c>
      <c r="S627" s="5" t="e">
        <f>VLOOKUP(T627,'[1]Kode Posisi'!$A$3:$B$45,2,)</f>
        <v>#N/A</v>
      </c>
      <c r="T627" t="s">
        <v>312</v>
      </c>
      <c r="V627" t="s">
        <v>401</v>
      </c>
      <c r="W627" s="5" t="s">
        <v>303</v>
      </c>
      <c r="X627" s="5" t="s">
        <v>302</v>
      </c>
      <c r="Y627" t="s">
        <v>52</v>
      </c>
      <c r="Z627" s="2">
        <v>6241028175</v>
      </c>
      <c r="AA627" t="s">
        <v>400</v>
      </c>
      <c r="AB627" s="47">
        <v>5730000</v>
      </c>
      <c r="AC627" s="41">
        <v>5730000</v>
      </c>
      <c r="AD627" s="52" t="s">
        <v>177</v>
      </c>
      <c r="AH627" s="16">
        <f t="shared" si="288"/>
        <v>275000</v>
      </c>
      <c r="AI627" s="16">
        <v>187179.19075144507</v>
      </c>
      <c r="AK627" s="16"/>
      <c r="AL627" s="11">
        <f t="shared" si="262"/>
        <v>6192179.1907514455</v>
      </c>
      <c r="AM627" s="16">
        <f t="shared" si="263"/>
        <v>242952</v>
      </c>
      <c r="AN627" s="16">
        <f t="shared" si="264"/>
        <v>0</v>
      </c>
      <c r="AO627" s="16">
        <f t="shared" si="289"/>
        <v>242952</v>
      </c>
      <c r="AP627" s="16">
        <f t="shared" si="265"/>
        <v>0</v>
      </c>
      <c r="AQ627" s="16">
        <f t="shared" si="266"/>
        <v>6435131.1907514455</v>
      </c>
      <c r="AR627" s="16">
        <f t="shared" si="286"/>
        <v>386107.87144508673</v>
      </c>
      <c r="AS627" s="16">
        <f t="shared" si="267"/>
        <v>42471.865858959543</v>
      </c>
      <c r="AT627" s="16">
        <f t="shared" si="268"/>
        <v>-7722.1574289017344</v>
      </c>
      <c r="AU627" s="16">
        <f t="shared" si="269"/>
        <v>6813516.9047676306</v>
      </c>
      <c r="AV627" s="16">
        <f t="shared" si="270"/>
        <v>6821239.0621965323</v>
      </c>
      <c r="AW627" s="16">
        <f t="shared" si="271"/>
        <v>114600</v>
      </c>
      <c r="AX627" s="16" t="s">
        <v>319</v>
      </c>
      <c r="AZ627" s="17">
        <f t="shared" si="279"/>
        <v>0</v>
      </c>
      <c r="BA627" s="16">
        <f t="shared" si="272"/>
        <v>6077579.1907514455</v>
      </c>
      <c r="BB627" s="16">
        <f t="shared" si="273"/>
        <v>6077579.1907514455</v>
      </c>
      <c r="BC627" s="15">
        <v>0.02</v>
      </c>
      <c r="BE627" s="37">
        <f t="shared" si="274"/>
        <v>0</v>
      </c>
      <c r="BF627" s="38">
        <f t="shared" si="275"/>
        <v>0</v>
      </c>
      <c r="BG627" s="37">
        <f t="shared" si="287"/>
        <v>269850</v>
      </c>
      <c r="BH627" s="37">
        <f t="shared" si="276"/>
        <v>0</v>
      </c>
      <c r="BK627" s="48">
        <f>(BC627*AB627)+AO627</f>
        <v>357552</v>
      </c>
      <c r="BL627" s="8">
        <f t="shared" si="277"/>
        <v>462179.19075144507</v>
      </c>
      <c r="BM627" s="7" t="s">
        <v>242</v>
      </c>
      <c r="BN627" s="56">
        <f>AB627*3.7%</f>
        <v>212010.00000000003</v>
      </c>
      <c r="BO627" s="10">
        <f>AB627*0.54%</f>
        <v>30942</v>
      </c>
      <c r="BP627" s="9">
        <f t="shared" si="278"/>
        <v>-2.9103830456733704E-11</v>
      </c>
      <c r="BQ627" t="s">
        <v>8</v>
      </c>
    </row>
    <row r="628" spans="1:69" x14ac:dyDescent="0.3">
      <c r="A628" s="2">
        <v>627</v>
      </c>
      <c r="B628" s="5" t="s">
        <v>396</v>
      </c>
      <c r="C628" s="6" t="s">
        <v>309</v>
      </c>
      <c r="D628" t="s">
        <v>308</v>
      </c>
      <c r="E628" t="s">
        <v>0</v>
      </c>
      <c r="K628" s="6">
        <v>800758</v>
      </c>
      <c r="L628" s="39">
        <v>45962</v>
      </c>
      <c r="M628" s="6"/>
      <c r="N628" s="2" t="s">
        <v>399</v>
      </c>
      <c r="O628" s="6"/>
      <c r="P628" s="48" t="s">
        <v>398</v>
      </c>
      <c r="Q628" s="6">
        <v>11196</v>
      </c>
      <c r="R628" s="6">
        <v>27591</v>
      </c>
      <c r="S628" s="5" t="str">
        <f>VLOOKUP(T628,'[1]Kode Posisi'!$A$3:$B$45,2,)</f>
        <v>Outsourcing Pengemudi</v>
      </c>
      <c r="T628" t="s">
        <v>305</v>
      </c>
      <c r="V628" t="s">
        <v>397</v>
      </c>
      <c r="W628" s="5" t="s">
        <v>303</v>
      </c>
      <c r="X628" s="5" t="s">
        <v>302</v>
      </c>
      <c r="Y628" t="s">
        <v>52</v>
      </c>
      <c r="Z628" s="2">
        <v>6300381993</v>
      </c>
      <c r="AA628" t="s">
        <v>396</v>
      </c>
      <c r="AB628" s="47">
        <v>5730000</v>
      </c>
      <c r="AC628" s="41">
        <v>5730000</v>
      </c>
      <c r="AD628" s="52" t="s">
        <v>177</v>
      </c>
      <c r="AH628" s="16">
        <f t="shared" si="288"/>
        <v>350000</v>
      </c>
      <c r="AI628" s="16">
        <v>0</v>
      </c>
      <c r="AK628" s="16"/>
      <c r="AL628" s="11">
        <f t="shared" si="262"/>
        <v>6080000</v>
      </c>
      <c r="AM628" s="16">
        <f t="shared" si="263"/>
        <v>472152</v>
      </c>
      <c r="AN628" s="16">
        <f t="shared" si="264"/>
        <v>229200</v>
      </c>
      <c r="AO628" s="16">
        <f t="shared" si="289"/>
        <v>242952</v>
      </c>
      <c r="AP628" s="16">
        <f t="shared" si="265"/>
        <v>0</v>
      </c>
      <c r="AQ628" s="16">
        <f t="shared" si="266"/>
        <v>6552152</v>
      </c>
      <c r="AR628" s="16">
        <f t="shared" si="286"/>
        <v>393129.12</v>
      </c>
      <c r="AS628" s="16">
        <f t="shared" si="267"/>
        <v>43244.203199999996</v>
      </c>
      <c r="AT628" s="16">
        <f t="shared" si="268"/>
        <v>-7862.5824000000002</v>
      </c>
      <c r="AU628" s="16">
        <f t="shared" si="269"/>
        <v>6937418.5376000004</v>
      </c>
      <c r="AV628" s="16">
        <f t="shared" si="270"/>
        <v>6945281.1200000001</v>
      </c>
      <c r="AW628" s="16">
        <f t="shared" si="271"/>
        <v>171900</v>
      </c>
      <c r="AX628" s="16" t="s">
        <v>235</v>
      </c>
      <c r="AZ628" s="17">
        <f t="shared" si="279"/>
        <v>0</v>
      </c>
      <c r="BA628" s="16">
        <f t="shared" si="272"/>
        <v>5908100</v>
      </c>
      <c r="BB628" s="16">
        <f t="shared" si="273"/>
        <v>5908100</v>
      </c>
      <c r="BC628" s="15">
        <v>0.02</v>
      </c>
      <c r="BD628">
        <v>0.01</v>
      </c>
      <c r="BE628" s="37">
        <f t="shared" si="274"/>
        <v>0</v>
      </c>
      <c r="BF628" s="38">
        <f t="shared" si="275"/>
        <v>0</v>
      </c>
      <c r="BG628" s="37">
        <f t="shared" si="287"/>
        <v>269850</v>
      </c>
      <c r="BH628" s="37">
        <f t="shared" si="276"/>
        <v>286500</v>
      </c>
      <c r="BK628" s="48"/>
      <c r="BL628" s="8">
        <f t="shared" si="277"/>
        <v>350000</v>
      </c>
      <c r="BM628" s="7" t="str">
        <f>IF(AND(BC628=0.03,BD628=0.01),"Terdaftar BPJS Kes &amp; Naker","Tidak Terdaftar")</f>
        <v>Tidak Terdaftar</v>
      </c>
      <c r="BN628" s="11">
        <f>AC628*3.7%</f>
        <v>212010.00000000003</v>
      </c>
      <c r="BO628" s="11">
        <f>AC628*4.54%</f>
        <v>260142.00000000003</v>
      </c>
      <c r="BP628" s="9">
        <f t="shared" si="278"/>
        <v>0</v>
      </c>
      <c r="BQ628" t="s">
        <v>8</v>
      </c>
    </row>
    <row r="629" spans="1:69" x14ac:dyDescent="0.3">
      <c r="A629" s="2">
        <v>628</v>
      </c>
      <c r="B629" s="5" t="s">
        <v>392</v>
      </c>
      <c r="C629" s="6" t="s">
        <v>309</v>
      </c>
      <c r="D629" t="s">
        <v>308</v>
      </c>
      <c r="E629" t="s">
        <v>0</v>
      </c>
      <c r="I629" t="s">
        <v>249</v>
      </c>
      <c r="K629" s="6">
        <v>800759</v>
      </c>
      <c r="L629" s="39">
        <v>45962</v>
      </c>
      <c r="M629" s="6"/>
      <c r="N629" s="2" t="e">
        <v>#N/A</v>
      </c>
      <c r="O629" s="6"/>
      <c r="P629" s="48" t="s">
        <v>395</v>
      </c>
      <c r="Q629" s="6">
        <v>11196</v>
      </c>
      <c r="R629" s="6">
        <v>27591</v>
      </c>
      <c r="S629" s="5" t="str">
        <f>VLOOKUP(T629,'[1]Kode Posisi'!$A$3:$B$45,2,)</f>
        <v>Outsourcing Pengemudi</v>
      </c>
      <c r="T629" t="s">
        <v>305</v>
      </c>
      <c r="V629" t="s">
        <v>394</v>
      </c>
      <c r="W629" s="5" t="s">
        <v>303</v>
      </c>
      <c r="X629" s="5" t="s">
        <v>302</v>
      </c>
      <c r="Y629" t="s">
        <v>52</v>
      </c>
      <c r="Z629" s="55" t="s">
        <v>393</v>
      </c>
      <c r="AA629" t="s">
        <v>392</v>
      </c>
      <c r="AB629" s="47">
        <v>5730000</v>
      </c>
      <c r="AC629" s="41">
        <v>5730000</v>
      </c>
      <c r="AD629" s="52" t="s">
        <v>177</v>
      </c>
      <c r="AH629" s="16">
        <f t="shared" si="288"/>
        <v>350000</v>
      </c>
      <c r="AI629" s="16">
        <v>0</v>
      </c>
      <c r="AK629" s="16"/>
      <c r="AL629" s="11">
        <f t="shared" si="262"/>
        <v>6080000</v>
      </c>
      <c r="AM629" s="16">
        <f t="shared" si="263"/>
        <v>242952</v>
      </c>
      <c r="AN629" s="16">
        <f t="shared" si="264"/>
        <v>0</v>
      </c>
      <c r="AO629" s="16">
        <f t="shared" si="289"/>
        <v>242952</v>
      </c>
      <c r="AP629" s="16">
        <f t="shared" si="265"/>
        <v>0</v>
      </c>
      <c r="AQ629" s="16">
        <f t="shared" si="266"/>
        <v>6322952</v>
      </c>
      <c r="AR629" s="16">
        <f t="shared" si="286"/>
        <v>379377.12</v>
      </c>
      <c r="AS629" s="16">
        <f t="shared" si="267"/>
        <v>41731.483200000002</v>
      </c>
      <c r="AT629" s="16">
        <f t="shared" si="268"/>
        <v>-7587.5424000000003</v>
      </c>
      <c r="AU629" s="16">
        <f t="shared" si="269"/>
        <v>6694741.5776000004</v>
      </c>
      <c r="AV629" s="16">
        <f t="shared" si="270"/>
        <v>6702329.1200000001</v>
      </c>
      <c r="AW629" s="16">
        <f t="shared" si="271"/>
        <v>114600</v>
      </c>
      <c r="AX629" s="16" t="s">
        <v>235</v>
      </c>
      <c r="AZ629" s="17">
        <f t="shared" si="279"/>
        <v>0</v>
      </c>
      <c r="BA629" s="16">
        <f t="shared" si="272"/>
        <v>5965400</v>
      </c>
      <c r="BB629" s="16">
        <f t="shared" si="273"/>
        <v>5965400</v>
      </c>
      <c r="BC629" s="15">
        <v>0.02</v>
      </c>
      <c r="BE629" s="37">
        <f t="shared" si="274"/>
        <v>0</v>
      </c>
      <c r="BF629" s="38">
        <f t="shared" si="275"/>
        <v>0</v>
      </c>
      <c r="BG629" s="37">
        <f t="shared" si="287"/>
        <v>269850</v>
      </c>
      <c r="BH629" s="37">
        <f t="shared" si="276"/>
        <v>0</v>
      </c>
      <c r="BK629" s="48">
        <f>(BC629*AB629)+AO629</f>
        <v>357552</v>
      </c>
      <c r="BL629" s="8">
        <f t="shared" si="277"/>
        <v>350000</v>
      </c>
      <c r="BM629" s="7" t="s">
        <v>242</v>
      </c>
      <c r="BN629" s="56">
        <f>AB629*3.7%</f>
        <v>212010.00000000003</v>
      </c>
      <c r="BO629" s="10">
        <f>AB629*0.54%</f>
        <v>30942</v>
      </c>
      <c r="BP629" s="9">
        <f t="shared" si="278"/>
        <v>-2.9103830456733704E-11</v>
      </c>
      <c r="BQ629" t="s">
        <v>8</v>
      </c>
    </row>
    <row r="630" spans="1:69" x14ac:dyDescent="0.3">
      <c r="A630" s="2">
        <v>629</v>
      </c>
      <c r="B630" s="5" t="s">
        <v>387</v>
      </c>
      <c r="C630" s="6" t="s">
        <v>309</v>
      </c>
      <c r="D630" t="s">
        <v>308</v>
      </c>
      <c r="E630" t="s">
        <v>0</v>
      </c>
      <c r="K630" s="6">
        <v>800760</v>
      </c>
      <c r="L630" s="39">
        <v>45962</v>
      </c>
      <c r="M630" s="6"/>
      <c r="N630" s="2" t="s">
        <v>391</v>
      </c>
      <c r="O630" s="6"/>
      <c r="P630" s="48" t="s">
        <v>390</v>
      </c>
      <c r="Q630" s="6">
        <v>11196</v>
      </c>
      <c r="R630" s="6">
        <v>27591</v>
      </c>
      <c r="S630" s="5" t="e">
        <f>VLOOKUP(T630,'[1]Kode Posisi'!$A$3:$B$45,2,)</f>
        <v>#N/A</v>
      </c>
      <c r="T630" t="s">
        <v>312</v>
      </c>
      <c r="V630" t="s">
        <v>389</v>
      </c>
      <c r="W630" s="5" t="s">
        <v>303</v>
      </c>
      <c r="X630" s="5" t="s">
        <v>302</v>
      </c>
      <c r="Y630" t="s">
        <v>63</v>
      </c>
      <c r="Z630" s="46" t="s">
        <v>388</v>
      </c>
      <c r="AA630" t="s">
        <v>387</v>
      </c>
      <c r="AB630" s="47">
        <v>5730000</v>
      </c>
      <c r="AC630" s="41">
        <v>5730000</v>
      </c>
      <c r="AD630" s="52" t="s">
        <v>177</v>
      </c>
      <c r="AH630" s="16">
        <f t="shared" si="288"/>
        <v>275000</v>
      </c>
      <c r="AI630" s="16">
        <v>0</v>
      </c>
      <c r="AK630" s="16"/>
      <c r="AL630" s="11">
        <f t="shared" si="262"/>
        <v>6005000</v>
      </c>
      <c r="AM630" s="16">
        <f t="shared" si="263"/>
        <v>472152</v>
      </c>
      <c r="AN630" s="16">
        <f t="shared" si="264"/>
        <v>229200</v>
      </c>
      <c r="AO630" s="16">
        <f t="shared" si="289"/>
        <v>242952</v>
      </c>
      <c r="AP630" s="16">
        <f t="shared" si="265"/>
        <v>0</v>
      </c>
      <c r="AQ630" s="16">
        <f t="shared" si="266"/>
        <v>6477152</v>
      </c>
      <c r="AR630" s="16">
        <f t="shared" si="286"/>
        <v>388629.12</v>
      </c>
      <c r="AS630" s="16">
        <f t="shared" si="267"/>
        <v>42749.203199999996</v>
      </c>
      <c r="AT630" s="16">
        <f t="shared" si="268"/>
        <v>-7772.5824000000002</v>
      </c>
      <c r="AU630" s="16">
        <f t="shared" si="269"/>
        <v>6858008.5376000004</v>
      </c>
      <c r="AV630" s="16">
        <f t="shared" si="270"/>
        <v>6865781.1200000001</v>
      </c>
      <c r="AW630" s="16">
        <f t="shared" si="271"/>
        <v>171900</v>
      </c>
      <c r="AX630" s="16" t="s">
        <v>319</v>
      </c>
      <c r="AZ630" s="17">
        <f t="shared" si="279"/>
        <v>2900</v>
      </c>
      <c r="BA630" s="16">
        <f t="shared" si="272"/>
        <v>5833100</v>
      </c>
      <c r="BB630" s="16">
        <f t="shared" si="273"/>
        <v>5830200</v>
      </c>
      <c r="BC630" s="15">
        <v>0.02</v>
      </c>
      <c r="BD630">
        <v>0.01</v>
      </c>
      <c r="BE630" s="37">
        <f t="shared" si="274"/>
        <v>0</v>
      </c>
      <c r="BF630" s="38">
        <f t="shared" si="275"/>
        <v>0</v>
      </c>
      <c r="BG630" s="37">
        <f t="shared" si="287"/>
        <v>269850</v>
      </c>
      <c r="BH630" s="37">
        <f t="shared" si="276"/>
        <v>286500</v>
      </c>
      <c r="BK630" s="48"/>
      <c r="BL630" s="8">
        <f t="shared" si="277"/>
        <v>275000</v>
      </c>
      <c r="BM630" s="7" t="str">
        <f t="shared" ref="BM630:BM636" si="290">IF(AND(BC630=0.03,BD630=0.01),"Terdaftar BPJS Kes &amp; Naker","Tidak Terdaftar")</f>
        <v>Tidak Terdaftar</v>
      </c>
      <c r="BN630" s="11">
        <f t="shared" ref="BN630:BN636" si="291">AC630*3.7%</f>
        <v>212010.00000000003</v>
      </c>
      <c r="BO630" s="11">
        <f t="shared" ref="BO630:BO636" si="292">AC630*4.54%</f>
        <v>260142.00000000003</v>
      </c>
      <c r="BP630" s="9">
        <f t="shared" si="278"/>
        <v>0</v>
      </c>
      <c r="BQ630" t="s">
        <v>8</v>
      </c>
    </row>
    <row r="631" spans="1:69" x14ac:dyDescent="0.3">
      <c r="A631" s="2">
        <v>630</v>
      </c>
      <c r="B631" s="5" t="s">
        <v>383</v>
      </c>
      <c r="C631" s="6" t="s">
        <v>309</v>
      </c>
      <c r="D631" t="s">
        <v>308</v>
      </c>
      <c r="E631" t="s">
        <v>0</v>
      </c>
      <c r="K631" s="6">
        <v>800761</v>
      </c>
      <c r="L631" s="39">
        <v>45962</v>
      </c>
      <c r="M631" s="6"/>
      <c r="N631" s="2" t="s">
        <v>386</v>
      </c>
      <c r="O631" s="6"/>
      <c r="P631" s="48" t="s">
        <v>385</v>
      </c>
      <c r="Q631" s="6">
        <v>11196</v>
      </c>
      <c r="R631" s="6">
        <v>27591</v>
      </c>
      <c r="S631" s="5" t="e">
        <f>VLOOKUP(T631,'[1]Kode Posisi'!$A$3:$B$45,2,)</f>
        <v>#N/A</v>
      </c>
      <c r="T631" t="s">
        <v>312</v>
      </c>
      <c r="V631" t="s">
        <v>384</v>
      </c>
      <c r="W631" s="5" t="s">
        <v>303</v>
      </c>
      <c r="X631" s="5" t="s">
        <v>302</v>
      </c>
      <c r="Y631" t="s">
        <v>52</v>
      </c>
      <c r="Z631" s="2">
        <v>6631223041</v>
      </c>
      <c r="AA631" t="s">
        <v>383</v>
      </c>
      <c r="AB631" s="47">
        <v>5730000</v>
      </c>
      <c r="AC631" s="41">
        <v>5730000</v>
      </c>
      <c r="AD631" s="52" t="s">
        <v>177</v>
      </c>
      <c r="AH631" s="16">
        <f t="shared" si="288"/>
        <v>275000</v>
      </c>
      <c r="AI631" s="16">
        <v>0</v>
      </c>
      <c r="AK631" s="16"/>
      <c r="AL631" s="11">
        <f t="shared" si="262"/>
        <v>6005000</v>
      </c>
      <c r="AM631" s="16">
        <f t="shared" si="263"/>
        <v>472152</v>
      </c>
      <c r="AN631" s="16">
        <f t="shared" si="264"/>
        <v>229200</v>
      </c>
      <c r="AO631" s="16">
        <f t="shared" si="289"/>
        <v>242952</v>
      </c>
      <c r="AP631" s="16">
        <f t="shared" si="265"/>
        <v>0</v>
      </c>
      <c r="AQ631" s="16">
        <f t="shared" si="266"/>
        <v>6477152</v>
      </c>
      <c r="AR631" s="16">
        <f t="shared" si="286"/>
        <v>388629.12</v>
      </c>
      <c r="AS631" s="16">
        <f t="shared" si="267"/>
        <v>42749.203199999996</v>
      </c>
      <c r="AT631" s="16">
        <f t="shared" si="268"/>
        <v>-7772.5824000000002</v>
      </c>
      <c r="AU631" s="16">
        <f t="shared" si="269"/>
        <v>6858008.5376000004</v>
      </c>
      <c r="AV631" s="16">
        <f t="shared" si="270"/>
        <v>6865781.1200000001</v>
      </c>
      <c r="AW631" s="16">
        <f t="shared" si="271"/>
        <v>171900</v>
      </c>
      <c r="AX631" s="16" t="s">
        <v>235</v>
      </c>
      <c r="AZ631" s="17">
        <f t="shared" si="279"/>
        <v>0</v>
      </c>
      <c r="BA631" s="16">
        <f t="shared" si="272"/>
        <v>5833100</v>
      </c>
      <c r="BB631" s="16">
        <f t="shared" si="273"/>
        <v>5833100</v>
      </c>
      <c r="BC631" s="15">
        <v>0.02</v>
      </c>
      <c r="BD631">
        <v>0.01</v>
      </c>
      <c r="BE631" s="37">
        <f t="shared" si="274"/>
        <v>0</v>
      </c>
      <c r="BF631" s="38">
        <f t="shared" si="275"/>
        <v>0</v>
      </c>
      <c r="BG631" s="37">
        <f t="shared" si="287"/>
        <v>269850</v>
      </c>
      <c r="BH631" s="37">
        <f t="shared" si="276"/>
        <v>286500</v>
      </c>
      <c r="BK631" s="48"/>
      <c r="BL631" s="8">
        <f t="shared" si="277"/>
        <v>275000</v>
      </c>
      <c r="BM631" s="7" t="str">
        <f t="shared" si="290"/>
        <v>Tidak Terdaftar</v>
      </c>
      <c r="BN631" s="11">
        <f t="shared" si="291"/>
        <v>212010.00000000003</v>
      </c>
      <c r="BO631" s="11">
        <f t="shared" si="292"/>
        <v>260142.00000000003</v>
      </c>
      <c r="BP631" s="9">
        <f t="shared" si="278"/>
        <v>0</v>
      </c>
      <c r="BQ631" t="s">
        <v>8</v>
      </c>
    </row>
    <row r="632" spans="1:69" x14ac:dyDescent="0.3">
      <c r="A632" s="2">
        <v>631</v>
      </c>
      <c r="B632" s="5" t="s">
        <v>382</v>
      </c>
      <c r="C632" s="6" t="s">
        <v>309</v>
      </c>
      <c r="D632" t="s">
        <v>308</v>
      </c>
      <c r="E632" t="s">
        <v>0</v>
      </c>
      <c r="K632" s="6">
        <v>800762</v>
      </c>
      <c r="L632" s="39">
        <v>45962</v>
      </c>
      <c r="M632" s="6"/>
      <c r="N632" s="2" t="s">
        <v>381</v>
      </c>
      <c r="O632" s="6"/>
      <c r="P632" s="48" t="s">
        <v>380</v>
      </c>
      <c r="Q632" s="6">
        <v>11196</v>
      </c>
      <c r="R632" s="6">
        <v>27591</v>
      </c>
      <c r="S632" s="5" t="str">
        <f>VLOOKUP(T632,'[1]Kode Posisi'!$A$3:$B$45,2,)</f>
        <v>Outsourcing Pengemudi</v>
      </c>
      <c r="T632" t="s">
        <v>305</v>
      </c>
      <c r="V632" t="s">
        <v>379</v>
      </c>
      <c r="W632" s="5" t="s">
        <v>303</v>
      </c>
      <c r="X632" s="5" t="s">
        <v>302</v>
      </c>
      <c r="Y632" t="s">
        <v>52</v>
      </c>
      <c r="Z632" s="2">
        <v>6872032351</v>
      </c>
      <c r="AA632" t="s">
        <v>378</v>
      </c>
      <c r="AB632" s="47">
        <v>5730000</v>
      </c>
      <c r="AC632" s="41">
        <v>5730000</v>
      </c>
      <c r="AD632" s="52" t="s">
        <v>177</v>
      </c>
      <c r="AH632" s="16">
        <f t="shared" si="288"/>
        <v>350000</v>
      </c>
      <c r="AI632" s="16">
        <v>0</v>
      </c>
      <c r="AK632" s="16"/>
      <c r="AL632" s="11">
        <f t="shared" si="262"/>
        <v>6080000</v>
      </c>
      <c r="AM632" s="16">
        <f t="shared" si="263"/>
        <v>472152</v>
      </c>
      <c r="AN632" s="16">
        <f t="shared" si="264"/>
        <v>229200</v>
      </c>
      <c r="AO632" s="16">
        <f t="shared" si="289"/>
        <v>242952</v>
      </c>
      <c r="AP632" s="16">
        <f t="shared" si="265"/>
        <v>0</v>
      </c>
      <c r="AQ632" s="16">
        <f t="shared" si="266"/>
        <v>6552152</v>
      </c>
      <c r="AR632" s="16">
        <f t="shared" si="286"/>
        <v>393129.12</v>
      </c>
      <c r="AS632" s="16">
        <f t="shared" si="267"/>
        <v>43244.203199999996</v>
      </c>
      <c r="AT632" s="16">
        <f t="shared" si="268"/>
        <v>-7862.5824000000002</v>
      </c>
      <c r="AU632" s="16">
        <f t="shared" si="269"/>
        <v>6937418.5376000004</v>
      </c>
      <c r="AV632" s="16">
        <f t="shared" si="270"/>
        <v>6945281.1200000001</v>
      </c>
      <c r="AW632" s="16">
        <f t="shared" si="271"/>
        <v>171900</v>
      </c>
      <c r="AX632" s="16" t="s">
        <v>235</v>
      </c>
      <c r="AZ632" s="17">
        <f t="shared" si="279"/>
        <v>0</v>
      </c>
      <c r="BA632" s="16">
        <f t="shared" si="272"/>
        <v>5908100</v>
      </c>
      <c r="BB632" s="16">
        <f t="shared" si="273"/>
        <v>5908100</v>
      </c>
      <c r="BC632" s="15">
        <v>0.02</v>
      </c>
      <c r="BD632">
        <v>0.01</v>
      </c>
      <c r="BE632" s="37">
        <f t="shared" si="274"/>
        <v>0</v>
      </c>
      <c r="BF632" s="38">
        <f t="shared" si="275"/>
        <v>0</v>
      </c>
      <c r="BG632" s="37">
        <f t="shared" si="287"/>
        <v>269850</v>
      </c>
      <c r="BH632" s="37">
        <f t="shared" si="276"/>
        <v>286500</v>
      </c>
      <c r="BK632" s="48"/>
      <c r="BL632" s="8">
        <f t="shared" si="277"/>
        <v>350000</v>
      </c>
      <c r="BM632" s="7" t="str">
        <f t="shared" si="290"/>
        <v>Tidak Terdaftar</v>
      </c>
      <c r="BN632" s="11">
        <f t="shared" si="291"/>
        <v>212010.00000000003</v>
      </c>
      <c r="BO632" s="11">
        <f t="shared" si="292"/>
        <v>260142.00000000003</v>
      </c>
      <c r="BP632" s="9">
        <f t="shared" si="278"/>
        <v>0</v>
      </c>
      <c r="BQ632" t="s">
        <v>8</v>
      </c>
    </row>
    <row r="633" spans="1:69" x14ac:dyDescent="0.3">
      <c r="A633" s="2">
        <v>632</v>
      </c>
      <c r="B633" s="5" t="s">
        <v>374</v>
      </c>
      <c r="C633" s="6" t="s">
        <v>309</v>
      </c>
      <c r="D633" t="s">
        <v>308</v>
      </c>
      <c r="E633" t="s">
        <v>0</v>
      </c>
      <c r="K633" s="6">
        <v>800763</v>
      </c>
      <c r="L633" s="39">
        <v>45962</v>
      </c>
      <c r="M633" s="6"/>
      <c r="N633" s="2" t="s">
        <v>377</v>
      </c>
      <c r="O633" s="6"/>
      <c r="P633" s="48" t="s">
        <v>376</v>
      </c>
      <c r="Q633" s="6">
        <v>11196</v>
      </c>
      <c r="R633" s="6">
        <v>27591</v>
      </c>
      <c r="S633" s="5" t="e">
        <f>VLOOKUP(T633,'[1]Kode Posisi'!$A$3:$B$45,2,)</f>
        <v>#N/A</v>
      </c>
      <c r="T633" t="s">
        <v>312</v>
      </c>
      <c r="V633" t="s">
        <v>375</v>
      </c>
      <c r="W633" s="5" t="s">
        <v>303</v>
      </c>
      <c r="X633" s="5" t="s">
        <v>302</v>
      </c>
      <c r="Y633" t="s">
        <v>52</v>
      </c>
      <c r="Z633" s="2">
        <v>8710309664</v>
      </c>
      <c r="AA633" t="s">
        <v>374</v>
      </c>
      <c r="AB633" s="47">
        <v>5730000</v>
      </c>
      <c r="AC633" s="41">
        <v>5730000</v>
      </c>
      <c r="AD633" s="52" t="s">
        <v>177</v>
      </c>
      <c r="AH633" s="16">
        <f t="shared" si="288"/>
        <v>275000</v>
      </c>
      <c r="AI633" s="16">
        <v>62393.063583815027</v>
      </c>
      <c r="AK633" s="16"/>
      <c r="AL633" s="11">
        <f t="shared" si="262"/>
        <v>6067393.0635838155</v>
      </c>
      <c r="AM633" s="16">
        <f t="shared" si="263"/>
        <v>472152</v>
      </c>
      <c r="AN633" s="16">
        <f t="shared" si="264"/>
        <v>229200</v>
      </c>
      <c r="AO633" s="16">
        <f t="shared" si="289"/>
        <v>242952</v>
      </c>
      <c r="AP633" s="16">
        <f t="shared" si="265"/>
        <v>0</v>
      </c>
      <c r="AQ633" s="16">
        <f t="shared" si="266"/>
        <v>6539545.0635838155</v>
      </c>
      <c r="AR633" s="16">
        <f t="shared" si="286"/>
        <v>392372.70381502889</v>
      </c>
      <c r="AS633" s="16">
        <f t="shared" si="267"/>
        <v>43160.997419653177</v>
      </c>
      <c r="AT633" s="16">
        <f t="shared" si="268"/>
        <v>-7847.454076300578</v>
      </c>
      <c r="AU633" s="16">
        <f t="shared" si="269"/>
        <v>6924070.3133225441</v>
      </c>
      <c r="AV633" s="16">
        <f t="shared" si="270"/>
        <v>6931917.7673988445</v>
      </c>
      <c r="AW633" s="16">
        <f t="shared" si="271"/>
        <v>171900</v>
      </c>
      <c r="AX633" s="16" t="s">
        <v>235</v>
      </c>
      <c r="AZ633" s="17">
        <f t="shared" si="279"/>
        <v>0</v>
      </c>
      <c r="BA633" s="16">
        <f t="shared" si="272"/>
        <v>5895493.0635838155</v>
      </c>
      <c r="BB633" s="16">
        <f t="shared" si="273"/>
        <v>5895493.0635838155</v>
      </c>
      <c r="BC633" s="15">
        <v>0.02</v>
      </c>
      <c r="BD633">
        <v>0.01</v>
      </c>
      <c r="BE633" s="37">
        <f t="shared" si="274"/>
        <v>0</v>
      </c>
      <c r="BF633" s="38">
        <f t="shared" si="275"/>
        <v>0</v>
      </c>
      <c r="BG633" s="37">
        <f t="shared" si="287"/>
        <v>269850</v>
      </c>
      <c r="BH633" s="37">
        <f t="shared" si="276"/>
        <v>286500</v>
      </c>
      <c r="BK633" s="48"/>
      <c r="BL633" s="8">
        <f t="shared" si="277"/>
        <v>337393.063583815</v>
      </c>
      <c r="BM633" s="7" t="str">
        <f t="shared" si="290"/>
        <v>Tidak Terdaftar</v>
      </c>
      <c r="BN633" s="11">
        <f t="shared" si="291"/>
        <v>212010.00000000003</v>
      </c>
      <c r="BO633" s="11">
        <f t="shared" si="292"/>
        <v>260142.00000000003</v>
      </c>
      <c r="BP633" s="9">
        <f t="shared" si="278"/>
        <v>0</v>
      </c>
      <c r="BQ633" t="s">
        <v>8</v>
      </c>
    </row>
    <row r="634" spans="1:69" x14ac:dyDescent="0.3">
      <c r="A634" s="2">
        <v>633</v>
      </c>
      <c r="B634" s="5" t="s">
        <v>370</v>
      </c>
      <c r="C634" s="6" t="s">
        <v>309</v>
      </c>
      <c r="D634" t="s">
        <v>308</v>
      </c>
      <c r="E634" t="s">
        <v>0</v>
      </c>
      <c r="K634" s="6">
        <v>800764</v>
      </c>
      <c r="L634" s="39">
        <v>45962</v>
      </c>
      <c r="M634" s="6"/>
      <c r="N634" s="2" t="s">
        <v>373</v>
      </c>
      <c r="O634" s="6"/>
      <c r="P634" s="48" t="s">
        <v>372</v>
      </c>
      <c r="Q634" s="6">
        <v>11196</v>
      </c>
      <c r="R634" s="6">
        <v>27591</v>
      </c>
      <c r="S634" s="5" t="e">
        <f>VLOOKUP(T634,'[1]Kode Posisi'!$A$3:$B$45,2,)</f>
        <v>#N/A</v>
      </c>
      <c r="T634" t="s">
        <v>312</v>
      </c>
      <c r="V634" t="s">
        <v>371</v>
      </c>
      <c r="W634" s="5" t="s">
        <v>303</v>
      </c>
      <c r="X634" s="5" t="s">
        <v>302</v>
      </c>
      <c r="Y634" t="s">
        <v>52</v>
      </c>
      <c r="Z634" s="2">
        <v>6241187541</v>
      </c>
      <c r="AA634" t="s">
        <v>370</v>
      </c>
      <c r="AB634" s="47">
        <v>5730000</v>
      </c>
      <c r="AC634" s="41">
        <v>5730000</v>
      </c>
      <c r="AD634" s="52" t="s">
        <v>177</v>
      </c>
      <c r="AH634" s="16">
        <f t="shared" si="288"/>
        <v>275000</v>
      </c>
      <c r="AI634" s="16">
        <v>0</v>
      </c>
      <c r="AK634" s="16"/>
      <c r="AL634" s="11">
        <f t="shared" si="262"/>
        <v>6005000</v>
      </c>
      <c r="AM634" s="16">
        <f t="shared" si="263"/>
        <v>472152</v>
      </c>
      <c r="AN634" s="16">
        <f t="shared" si="264"/>
        <v>229200</v>
      </c>
      <c r="AO634" s="16">
        <f t="shared" si="289"/>
        <v>242952</v>
      </c>
      <c r="AP634" s="16">
        <f t="shared" si="265"/>
        <v>0</v>
      </c>
      <c r="AQ634" s="16">
        <f t="shared" si="266"/>
        <v>6477152</v>
      </c>
      <c r="AR634" s="16">
        <f t="shared" si="286"/>
        <v>388629.12</v>
      </c>
      <c r="AS634" s="16">
        <f t="shared" si="267"/>
        <v>42749.203199999996</v>
      </c>
      <c r="AT634" s="16">
        <f t="shared" si="268"/>
        <v>-7772.5824000000002</v>
      </c>
      <c r="AU634" s="16">
        <f t="shared" si="269"/>
        <v>6858008.5376000004</v>
      </c>
      <c r="AV634" s="16">
        <f t="shared" si="270"/>
        <v>6865781.1200000001</v>
      </c>
      <c r="AW634" s="16">
        <f t="shared" si="271"/>
        <v>171900</v>
      </c>
      <c r="AX634" s="16" t="s">
        <v>286</v>
      </c>
      <c r="AZ634" s="17">
        <f t="shared" si="279"/>
        <v>0</v>
      </c>
      <c r="BA634" s="16">
        <f t="shared" si="272"/>
        <v>5833100</v>
      </c>
      <c r="BB634" s="16">
        <f t="shared" si="273"/>
        <v>5833100</v>
      </c>
      <c r="BC634" s="15">
        <v>0.02</v>
      </c>
      <c r="BD634">
        <v>0.01</v>
      </c>
      <c r="BE634" s="37">
        <f t="shared" si="274"/>
        <v>0</v>
      </c>
      <c r="BF634" s="38">
        <f t="shared" si="275"/>
        <v>0</v>
      </c>
      <c r="BG634" s="37">
        <f t="shared" si="287"/>
        <v>269850</v>
      </c>
      <c r="BH634" s="37">
        <f t="shared" si="276"/>
        <v>286500</v>
      </c>
      <c r="BK634" s="48"/>
      <c r="BL634" s="8">
        <f t="shared" si="277"/>
        <v>275000</v>
      </c>
      <c r="BM634" s="7" t="str">
        <f t="shared" si="290"/>
        <v>Tidak Terdaftar</v>
      </c>
      <c r="BN634" s="11">
        <f t="shared" si="291"/>
        <v>212010.00000000003</v>
      </c>
      <c r="BO634" s="11">
        <f t="shared" si="292"/>
        <v>260142.00000000003</v>
      </c>
      <c r="BP634" s="9">
        <f t="shared" si="278"/>
        <v>0</v>
      </c>
      <c r="BQ634" t="s">
        <v>8</v>
      </c>
    </row>
    <row r="635" spans="1:69" x14ac:dyDescent="0.3">
      <c r="A635" s="2">
        <v>634</v>
      </c>
      <c r="B635" s="5" t="s">
        <v>366</v>
      </c>
      <c r="C635" s="6" t="s">
        <v>309</v>
      </c>
      <c r="D635" t="s">
        <v>308</v>
      </c>
      <c r="E635" t="s">
        <v>0</v>
      </c>
      <c r="K635" s="6">
        <v>800765</v>
      </c>
      <c r="L635" s="39">
        <v>45962</v>
      </c>
      <c r="M635" s="6"/>
      <c r="N635" s="2" t="s">
        <v>369</v>
      </c>
      <c r="O635" s="6"/>
      <c r="P635" s="48" t="s">
        <v>368</v>
      </c>
      <c r="Q635" s="6">
        <v>11196</v>
      </c>
      <c r="R635" s="6">
        <v>27591</v>
      </c>
      <c r="S635" s="5" t="e">
        <f>VLOOKUP(T635,'[1]Kode Posisi'!$A$3:$B$45,2,)</f>
        <v>#N/A</v>
      </c>
      <c r="T635" t="s">
        <v>312</v>
      </c>
      <c r="V635" t="s">
        <v>367</v>
      </c>
      <c r="W635" s="5" t="s">
        <v>303</v>
      </c>
      <c r="X635" s="5" t="s">
        <v>302</v>
      </c>
      <c r="Y635" t="s">
        <v>52</v>
      </c>
      <c r="Z635" s="2">
        <v>2270200969</v>
      </c>
      <c r="AA635" t="s">
        <v>366</v>
      </c>
      <c r="AB635" s="47">
        <v>5730000</v>
      </c>
      <c r="AC635" s="41">
        <v>5730000</v>
      </c>
      <c r="AD635" s="52" t="s">
        <v>177</v>
      </c>
      <c r="AH635" s="16">
        <f t="shared" si="288"/>
        <v>275000</v>
      </c>
      <c r="AI635" s="16">
        <v>0</v>
      </c>
      <c r="AK635" s="16"/>
      <c r="AL635" s="11">
        <f t="shared" si="262"/>
        <v>6005000</v>
      </c>
      <c r="AM635" s="16">
        <f t="shared" si="263"/>
        <v>472152</v>
      </c>
      <c r="AN635" s="16">
        <f t="shared" si="264"/>
        <v>229200</v>
      </c>
      <c r="AO635" s="16">
        <f t="shared" si="289"/>
        <v>242952</v>
      </c>
      <c r="AP635" s="16">
        <f t="shared" si="265"/>
        <v>0</v>
      </c>
      <c r="AQ635" s="16">
        <f t="shared" si="266"/>
        <v>6477152</v>
      </c>
      <c r="AR635" s="16">
        <f t="shared" si="286"/>
        <v>388629.12</v>
      </c>
      <c r="AS635" s="16">
        <f t="shared" si="267"/>
        <v>42749.203199999996</v>
      </c>
      <c r="AT635" s="16">
        <f t="shared" si="268"/>
        <v>-7772.5824000000002</v>
      </c>
      <c r="AU635" s="16">
        <f t="shared" si="269"/>
        <v>6858008.5376000004</v>
      </c>
      <c r="AV635" s="16">
        <f t="shared" si="270"/>
        <v>6865781.1200000001</v>
      </c>
      <c r="AW635" s="16">
        <f t="shared" si="271"/>
        <v>171900</v>
      </c>
      <c r="AX635" s="16" t="s">
        <v>235</v>
      </c>
      <c r="AZ635" s="17">
        <f t="shared" si="279"/>
        <v>0</v>
      </c>
      <c r="BA635" s="16">
        <f t="shared" si="272"/>
        <v>5833100</v>
      </c>
      <c r="BB635" s="16">
        <f t="shared" si="273"/>
        <v>5833100</v>
      </c>
      <c r="BC635" s="15">
        <v>0.02</v>
      </c>
      <c r="BD635">
        <v>0.01</v>
      </c>
      <c r="BE635" s="37">
        <f t="shared" si="274"/>
        <v>0</v>
      </c>
      <c r="BF635" s="38">
        <f t="shared" si="275"/>
        <v>0</v>
      </c>
      <c r="BG635" s="37">
        <f t="shared" si="287"/>
        <v>269850</v>
      </c>
      <c r="BH635" s="37">
        <f t="shared" si="276"/>
        <v>286500</v>
      </c>
      <c r="BK635" s="48"/>
      <c r="BL635" s="8">
        <f t="shared" si="277"/>
        <v>275000</v>
      </c>
      <c r="BM635" s="7" t="str">
        <f t="shared" si="290"/>
        <v>Tidak Terdaftar</v>
      </c>
      <c r="BN635" s="11">
        <f t="shared" si="291"/>
        <v>212010.00000000003</v>
      </c>
      <c r="BO635" s="11">
        <f t="shared" si="292"/>
        <v>260142.00000000003</v>
      </c>
      <c r="BP635" s="9">
        <f t="shared" si="278"/>
        <v>0</v>
      </c>
      <c r="BQ635" t="s">
        <v>8</v>
      </c>
    </row>
    <row r="636" spans="1:69" x14ac:dyDescent="0.3">
      <c r="A636" s="2">
        <v>635</v>
      </c>
      <c r="B636" s="5" t="s">
        <v>362</v>
      </c>
      <c r="C636" s="6" t="s">
        <v>309</v>
      </c>
      <c r="D636" t="s">
        <v>308</v>
      </c>
      <c r="E636" t="s">
        <v>0</v>
      </c>
      <c r="K636" s="6">
        <v>800766</v>
      </c>
      <c r="L636" s="39">
        <v>45962</v>
      </c>
      <c r="M636" s="6"/>
      <c r="N636" s="2" t="s">
        <v>365</v>
      </c>
      <c r="O636" s="6"/>
      <c r="P636" s="48" t="s">
        <v>364</v>
      </c>
      <c r="Q636" s="6">
        <v>11196</v>
      </c>
      <c r="R636" s="6">
        <v>27591</v>
      </c>
      <c r="S636" s="5" t="str">
        <f>VLOOKUP(T636,'[1]Kode Posisi'!$A$3:$B$45,2,)</f>
        <v>Outsourcing Pengemudi</v>
      </c>
      <c r="T636" t="s">
        <v>305</v>
      </c>
      <c r="V636" t="s">
        <v>363</v>
      </c>
      <c r="W636" s="5" t="s">
        <v>303</v>
      </c>
      <c r="X636" s="5" t="s">
        <v>302</v>
      </c>
      <c r="Y636" t="s">
        <v>52</v>
      </c>
      <c r="Z636" s="2">
        <v>4142169464</v>
      </c>
      <c r="AA636" t="s">
        <v>362</v>
      </c>
      <c r="AB636" s="47">
        <v>5730000</v>
      </c>
      <c r="AC636" s="41">
        <v>5730000</v>
      </c>
      <c r="AD636" s="52" t="s">
        <v>177</v>
      </c>
      <c r="AH636" s="16">
        <f t="shared" si="288"/>
        <v>350000</v>
      </c>
      <c r="AI636" s="16">
        <v>62393.063583815027</v>
      </c>
      <c r="AK636" s="16"/>
      <c r="AL636" s="11">
        <f t="shared" si="262"/>
        <v>6142393.0635838155</v>
      </c>
      <c r="AM636" s="16">
        <f t="shared" si="263"/>
        <v>472152</v>
      </c>
      <c r="AN636" s="16">
        <f t="shared" si="264"/>
        <v>229200</v>
      </c>
      <c r="AO636" s="16">
        <f t="shared" si="289"/>
        <v>242952</v>
      </c>
      <c r="AP636" s="16">
        <f t="shared" si="265"/>
        <v>0</v>
      </c>
      <c r="AQ636" s="16">
        <f t="shared" si="266"/>
        <v>6614545.0635838155</v>
      </c>
      <c r="AR636" s="16">
        <f t="shared" si="286"/>
        <v>396872.70381502889</v>
      </c>
      <c r="AS636" s="16">
        <f t="shared" si="267"/>
        <v>43655.997419653177</v>
      </c>
      <c r="AT636" s="16">
        <f t="shared" si="268"/>
        <v>-7937.454076300578</v>
      </c>
      <c r="AU636" s="16">
        <f t="shared" si="269"/>
        <v>7003480.3133225441</v>
      </c>
      <c r="AV636" s="16">
        <f t="shared" si="270"/>
        <v>7011417.7673988445</v>
      </c>
      <c r="AW636" s="16">
        <f t="shared" si="271"/>
        <v>171900</v>
      </c>
      <c r="AX636" s="16" t="s">
        <v>319</v>
      </c>
      <c r="AZ636" s="17">
        <f t="shared" si="279"/>
        <v>0</v>
      </c>
      <c r="BA636" s="16">
        <f t="shared" si="272"/>
        <v>5970493.0635838155</v>
      </c>
      <c r="BB636" s="16">
        <f t="shared" si="273"/>
        <v>5970493.0635838155</v>
      </c>
      <c r="BC636" s="15">
        <v>0.02</v>
      </c>
      <c r="BD636">
        <v>0.01</v>
      </c>
      <c r="BE636" s="37">
        <f t="shared" si="274"/>
        <v>0</v>
      </c>
      <c r="BF636" s="38">
        <f t="shared" si="275"/>
        <v>0</v>
      </c>
      <c r="BG636" s="37">
        <f t="shared" si="287"/>
        <v>269850</v>
      </c>
      <c r="BH636" s="37">
        <f t="shared" si="276"/>
        <v>286500</v>
      </c>
      <c r="BK636" s="48"/>
      <c r="BL636" s="8">
        <f t="shared" si="277"/>
        <v>412393.063583815</v>
      </c>
      <c r="BM636" s="7" t="str">
        <f t="shared" si="290"/>
        <v>Tidak Terdaftar</v>
      </c>
      <c r="BN636" s="11">
        <f t="shared" si="291"/>
        <v>212010.00000000003</v>
      </c>
      <c r="BO636" s="11">
        <f t="shared" si="292"/>
        <v>260142.00000000003</v>
      </c>
      <c r="BP636" s="9">
        <f t="shared" si="278"/>
        <v>0</v>
      </c>
      <c r="BQ636" t="s">
        <v>8</v>
      </c>
    </row>
    <row r="637" spans="1:69" x14ac:dyDescent="0.3">
      <c r="A637" s="2">
        <v>636</v>
      </c>
      <c r="B637" s="5" t="s">
        <v>358</v>
      </c>
      <c r="C637" s="6" t="s">
        <v>309</v>
      </c>
      <c r="D637" t="s">
        <v>308</v>
      </c>
      <c r="E637" t="s">
        <v>0</v>
      </c>
      <c r="I637" t="s">
        <v>249</v>
      </c>
      <c r="K637" s="6">
        <v>800767</v>
      </c>
      <c r="L637" s="39">
        <v>45962</v>
      </c>
      <c r="M637" s="6"/>
      <c r="N637" s="2" t="e">
        <v>#N/A</v>
      </c>
      <c r="O637" s="6"/>
      <c r="P637" s="48" t="s">
        <v>361</v>
      </c>
      <c r="Q637" s="6">
        <v>11196</v>
      </c>
      <c r="R637" s="6">
        <v>27591</v>
      </c>
      <c r="S637" s="5" t="str">
        <f>VLOOKUP(T637,'[1]Kode Posisi'!$A$3:$B$45,2,)</f>
        <v>Outsourcing Pengemudi</v>
      </c>
      <c r="T637" t="s">
        <v>305</v>
      </c>
      <c r="V637" t="s">
        <v>360</v>
      </c>
      <c r="W637" s="5" t="s">
        <v>303</v>
      </c>
      <c r="X637" s="5" t="s">
        <v>302</v>
      </c>
      <c r="Y637" t="s">
        <v>63</v>
      </c>
      <c r="Z637" s="55" t="s">
        <v>359</v>
      </c>
      <c r="AA637" s="18" t="s">
        <v>358</v>
      </c>
      <c r="AB637" s="47">
        <v>5730000</v>
      </c>
      <c r="AC637" s="41">
        <v>5730000</v>
      </c>
      <c r="AD637" s="52" t="s">
        <v>177</v>
      </c>
      <c r="AH637" s="16">
        <f t="shared" si="288"/>
        <v>350000</v>
      </c>
      <c r="AI637" s="16">
        <v>0</v>
      </c>
      <c r="AK637" s="16"/>
      <c r="AL637" s="11">
        <f t="shared" si="262"/>
        <v>6080000</v>
      </c>
      <c r="AM637" s="16">
        <f t="shared" si="263"/>
        <v>242952</v>
      </c>
      <c r="AN637" s="16">
        <f t="shared" si="264"/>
        <v>0</v>
      </c>
      <c r="AO637" s="16">
        <f t="shared" si="289"/>
        <v>242952</v>
      </c>
      <c r="AP637" s="16">
        <f t="shared" si="265"/>
        <v>0</v>
      </c>
      <c r="AQ637" s="16">
        <f t="shared" si="266"/>
        <v>6322952</v>
      </c>
      <c r="AR637" s="16">
        <f t="shared" si="286"/>
        <v>379377.12</v>
      </c>
      <c r="AS637" s="16">
        <f t="shared" si="267"/>
        <v>41731.483200000002</v>
      </c>
      <c r="AT637" s="16">
        <f t="shared" si="268"/>
        <v>-7587.5424000000003</v>
      </c>
      <c r="AU637" s="16">
        <f t="shared" si="269"/>
        <v>6694741.5776000004</v>
      </c>
      <c r="AV637" s="16">
        <f t="shared" si="270"/>
        <v>6702329.1200000001</v>
      </c>
      <c r="AW637" s="16">
        <f t="shared" si="271"/>
        <v>114600</v>
      </c>
      <c r="AX637" s="16" t="s">
        <v>243</v>
      </c>
      <c r="AZ637" s="17">
        <f t="shared" si="279"/>
        <v>2900</v>
      </c>
      <c r="BA637" s="16">
        <f t="shared" si="272"/>
        <v>5965400</v>
      </c>
      <c r="BB637" s="16">
        <f t="shared" si="273"/>
        <v>5962500</v>
      </c>
      <c r="BC637" s="15">
        <v>0.02</v>
      </c>
      <c r="BE637" s="37">
        <f t="shared" si="274"/>
        <v>0</v>
      </c>
      <c r="BF637" s="38">
        <f t="shared" si="275"/>
        <v>0</v>
      </c>
      <c r="BG637" s="37">
        <f t="shared" si="287"/>
        <v>269850</v>
      </c>
      <c r="BH637" s="37">
        <f t="shared" si="276"/>
        <v>0</v>
      </c>
      <c r="BK637" s="48">
        <f>(BC637*AB637)+AO637</f>
        <v>357552</v>
      </c>
      <c r="BL637" s="8">
        <f t="shared" si="277"/>
        <v>350000</v>
      </c>
      <c r="BM637" s="7" t="s">
        <v>242</v>
      </c>
      <c r="BN637" s="56">
        <f>AB637*3.7%</f>
        <v>212010.00000000003</v>
      </c>
      <c r="BO637" s="10">
        <f>AB637*0.54%</f>
        <v>30942</v>
      </c>
      <c r="BP637" s="9">
        <f t="shared" si="278"/>
        <v>-2.9103830456733704E-11</v>
      </c>
      <c r="BQ637" t="s">
        <v>8</v>
      </c>
    </row>
    <row r="638" spans="1:69" x14ac:dyDescent="0.3">
      <c r="A638" s="2">
        <v>637</v>
      </c>
      <c r="B638" s="5" t="s">
        <v>354</v>
      </c>
      <c r="C638" s="6" t="s">
        <v>309</v>
      </c>
      <c r="D638" t="s">
        <v>308</v>
      </c>
      <c r="E638" t="s">
        <v>0</v>
      </c>
      <c r="K638" s="6">
        <v>800768</v>
      </c>
      <c r="L638" s="39">
        <v>45962</v>
      </c>
      <c r="M638" s="6"/>
      <c r="N638" s="2" t="s">
        <v>357</v>
      </c>
      <c r="O638" s="6"/>
      <c r="P638" s="48" t="s">
        <v>356</v>
      </c>
      <c r="Q638" s="6">
        <v>11196</v>
      </c>
      <c r="R638" s="6">
        <v>27591</v>
      </c>
      <c r="S638" s="5" t="str">
        <f>VLOOKUP(T638,'[1]Kode Posisi'!$A$3:$B$45,2,)</f>
        <v>Outsourcing Pengemudi</v>
      </c>
      <c r="T638" t="s">
        <v>305</v>
      </c>
      <c r="V638" t="s">
        <v>355</v>
      </c>
      <c r="W638" s="5" t="s">
        <v>303</v>
      </c>
      <c r="X638" s="5" t="s">
        <v>302</v>
      </c>
      <c r="Y638" t="s">
        <v>52</v>
      </c>
      <c r="Z638" s="2">
        <v>6630749211</v>
      </c>
      <c r="AA638" t="s">
        <v>354</v>
      </c>
      <c r="AB638" s="47">
        <v>5730000</v>
      </c>
      <c r="AC638" s="41">
        <v>5730000</v>
      </c>
      <c r="AD638" s="52" t="s">
        <v>177</v>
      </c>
      <c r="AH638" s="16">
        <f t="shared" si="288"/>
        <v>350000</v>
      </c>
      <c r="AI638" s="16">
        <v>0</v>
      </c>
      <c r="AK638" s="16"/>
      <c r="AL638" s="11">
        <f t="shared" si="262"/>
        <v>6080000</v>
      </c>
      <c r="AM638" s="16">
        <f t="shared" si="263"/>
        <v>472152</v>
      </c>
      <c r="AN638" s="16">
        <f t="shared" si="264"/>
        <v>229200</v>
      </c>
      <c r="AO638" s="16">
        <f t="shared" si="289"/>
        <v>242952</v>
      </c>
      <c r="AP638" s="16">
        <f t="shared" si="265"/>
        <v>0</v>
      </c>
      <c r="AQ638" s="16">
        <f t="shared" si="266"/>
        <v>6552152</v>
      </c>
      <c r="AR638" s="16">
        <f t="shared" si="286"/>
        <v>393129.12</v>
      </c>
      <c r="AS638" s="16">
        <f t="shared" si="267"/>
        <v>43244.203199999996</v>
      </c>
      <c r="AT638" s="16">
        <f t="shared" si="268"/>
        <v>-7862.5824000000002</v>
      </c>
      <c r="AU638" s="16">
        <f t="shared" si="269"/>
        <v>6937418.5376000004</v>
      </c>
      <c r="AV638" s="16">
        <f t="shared" si="270"/>
        <v>6945281.1200000001</v>
      </c>
      <c r="AW638" s="16">
        <f t="shared" si="271"/>
        <v>171900</v>
      </c>
      <c r="AX638" s="16" t="s">
        <v>235</v>
      </c>
      <c r="AZ638" s="17">
        <f t="shared" si="279"/>
        <v>0</v>
      </c>
      <c r="BA638" s="16">
        <f t="shared" si="272"/>
        <v>5908100</v>
      </c>
      <c r="BB638" s="16">
        <f t="shared" si="273"/>
        <v>5908100</v>
      </c>
      <c r="BC638" s="15">
        <v>0.02</v>
      </c>
      <c r="BD638">
        <v>0.01</v>
      </c>
      <c r="BE638" s="37">
        <f t="shared" si="274"/>
        <v>0</v>
      </c>
      <c r="BF638" s="38">
        <f t="shared" si="275"/>
        <v>0</v>
      </c>
      <c r="BG638" s="37">
        <f t="shared" si="287"/>
        <v>269850</v>
      </c>
      <c r="BH638" s="37">
        <f t="shared" si="276"/>
        <v>286500</v>
      </c>
      <c r="BK638" s="48"/>
      <c r="BL638" s="8">
        <f t="shared" si="277"/>
        <v>350000</v>
      </c>
      <c r="BM638" s="7" t="str">
        <f t="shared" ref="BM638:BM647" si="293">IF(AND(BC638=0.03,BD638=0.01),"Terdaftar BPJS Kes &amp; Naker","Tidak Terdaftar")</f>
        <v>Tidak Terdaftar</v>
      </c>
      <c r="BN638" s="11">
        <f t="shared" ref="BN638:BN647" si="294">AC638*3.7%</f>
        <v>212010.00000000003</v>
      </c>
      <c r="BO638" s="11">
        <f t="shared" ref="BO638:BO647" si="295">AC638*4.54%</f>
        <v>260142.00000000003</v>
      </c>
      <c r="BP638" s="9">
        <f t="shared" si="278"/>
        <v>0</v>
      </c>
      <c r="BQ638" t="s">
        <v>8</v>
      </c>
    </row>
    <row r="639" spans="1:69" x14ac:dyDescent="0.3">
      <c r="A639" s="2">
        <v>638</v>
      </c>
      <c r="B639" s="5" t="s">
        <v>350</v>
      </c>
      <c r="C639" s="6" t="s">
        <v>309</v>
      </c>
      <c r="D639" t="s">
        <v>308</v>
      </c>
      <c r="E639" t="s">
        <v>0</v>
      </c>
      <c r="K639" s="6">
        <v>800769</v>
      </c>
      <c r="L639" s="39">
        <v>45962</v>
      </c>
      <c r="M639" s="6"/>
      <c r="N639" s="2" t="s">
        <v>353</v>
      </c>
      <c r="O639" s="6"/>
      <c r="P639" s="48" t="s">
        <v>352</v>
      </c>
      <c r="Q639" s="6">
        <v>11196</v>
      </c>
      <c r="R639" s="6">
        <v>27591</v>
      </c>
      <c r="S639" s="5" t="e">
        <f>VLOOKUP(T639,'[1]Kode Posisi'!$A$3:$B$45,2,)</f>
        <v>#N/A</v>
      </c>
      <c r="T639" t="s">
        <v>312</v>
      </c>
      <c r="V639" t="s">
        <v>351</v>
      </c>
      <c r="W639" s="5" t="s">
        <v>303</v>
      </c>
      <c r="X639" s="5" t="s">
        <v>302</v>
      </c>
      <c r="Y639" t="s">
        <v>52</v>
      </c>
      <c r="Z639" s="2">
        <v>6240888244</v>
      </c>
      <c r="AA639" t="s">
        <v>350</v>
      </c>
      <c r="AB639" s="47">
        <v>5730000</v>
      </c>
      <c r="AC639" s="41">
        <v>5730000</v>
      </c>
      <c r="AD639" s="52" t="s">
        <v>177</v>
      </c>
      <c r="AH639" s="16">
        <f t="shared" si="288"/>
        <v>275000</v>
      </c>
      <c r="AI639" s="16">
        <v>0</v>
      </c>
      <c r="AK639" s="16"/>
      <c r="AL639" s="11">
        <f t="shared" si="262"/>
        <v>6005000</v>
      </c>
      <c r="AM639" s="16">
        <f t="shared" si="263"/>
        <v>472152</v>
      </c>
      <c r="AN639" s="16">
        <f t="shared" si="264"/>
        <v>229200</v>
      </c>
      <c r="AO639" s="16">
        <f t="shared" si="289"/>
        <v>242952</v>
      </c>
      <c r="AP639" s="16">
        <f t="shared" si="265"/>
        <v>0</v>
      </c>
      <c r="AQ639" s="16">
        <f t="shared" si="266"/>
        <v>6477152</v>
      </c>
      <c r="AR639" s="16">
        <f t="shared" si="286"/>
        <v>388629.12</v>
      </c>
      <c r="AS639" s="16">
        <f t="shared" si="267"/>
        <v>42749.203199999996</v>
      </c>
      <c r="AT639" s="16">
        <f t="shared" si="268"/>
        <v>-7772.5824000000002</v>
      </c>
      <c r="AU639" s="16">
        <f t="shared" si="269"/>
        <v>6858008.5376000004</v>
      </c>
      <c r="AV639" s="16">
        <f t="shared" si="270"/>
        <v>6865781.1200000001</v>
      </c>
      <c r="AW639" s="16">
        <f t="shared" si="271"/>
        <v>171900</v>
      </c>
      <c r="AX639" s="16" t="s">
        <v>235</v>
      </c>
      <c r="AZ639" s="17">
        <f t="shared" si="279"/>
        <v>0</v>
      </c>
      <c r="BA639" s="16">
        <f t="shared" si="272"/>
        <v>5833100</v>
      </c>
      <c r="BB639" s="16">
        <f t="shared" si="273"/>
        <v>5833100</v>
      </c>
      <c r="BC639" s="15">
        <v>0.02</v>
      </c>
      <c r="BD639">
        <v>0.01</v>
      </c>
      <c r="BE639" s="37">
        <f t="shared" si="274"/>
        <v>0</v>
      </c>
      <c r="BF639" s="38">
        <f t="shared" si="275"/>
        <v>0</v>
      </c>
      <c r="BG639" s="37">
        <f t="shared" si="287"/>
        <v>269850</v>
      </c>
      <c r="BH639" s="37">
        <f t="shared" si="276"/>
        <v>286500</v>
      </c>
      <c r="BK639" s="48"/>
      <c r="BL639" s="8">
        <f t="shared" si="277"/>
        <v>275000</v>
      </c>
      <c r="BM639" s="7" t="str">
        <f t="shared" si="293"/>
        <v>Tidak Terdaftar</v>
      </c>
      <c r="BN639" s="11">
        <f t="shared" si="294"/>
        <v>212010.00000000003</v>
      </c>
      <c r="BO639" s="11">
        <f t="shared" si="295"/>
        <v>260142.00000000003</v>
      </c>
      <c r="BP639" s="9">
        <f t="shared" si="278"/>
        <v>0</v>
      </c>
      <c r="BQ639" t="s">
        <v>8</v>
      </c>
    </row>
    <row r="640" spans="1:69" x14ac:dyDescent="0.3">
      <c r="A640" s="2">
        <v>639</v>
      </c>
      <c r="B640" s="5" t="s">
        <v>346</v>
      </c>
      <c r="C640" s="6" t="s">
        <v>309</v>
      </c>
      <c r="D640" t="s">
        <v>308</v>
      </c>
      <c r="E640" t="s">
        <v>0</v>
      </c>
      <c r="K640" s="6">
        <v>800770</v>
      </c>
      <c r="L640" s="39">
        <v>45962</v>
      </c>
      <c r="M640" s="6"/>
      <c r="N640" s="2" t="s">
        <v>349</v>
      </c>
      <c r="O640" s="6"/>
      <c r="P640" s="45" t="s">
        <v>348</v>
      </c>
      <c r="Q640" s="6">
        <v>11196</v>
      </c>
      <c r="R640" s="6">
        <v>27591</v>
      </c>
      <c r="S640" s="5" t="e">
        <f>VLOOKUP(T640,'[1]Kode Posisi'!$A$3:$B$45,2,)</f>
        <v>#N/A</v>
      </c>
      <c r="T640" t="s">
        <v>312</v>
      </c>
      <c r="V640" t="s">
        <v>347</v>
      </c>
      <c r="W640" s="5" t="s">
        <v>303</v>
      </c>
      <c r="X640" s="5" t="s">
        <v>302</v>
      </c>
      <c r="Y640" t="s">
        <v>52</v>
      </c>
      <c r="Z640" s="2">
        <v>3450821127</v>
      </c>
      <c r="AA640" t="s">
        <v>346</v>
      </c>
      <c r="AB640" s="47">
        <v>5730000</v>
      </c>
      <c r="AC640" s="41">
        <v>5730000</v>
      </c>
      <c r="AD640" s="52" t="s">
        <v>177</v>
      </c>
      <c r="AH640" s="16">
        <f t="shared" si="288"/>
        <v>275000</v>
      </c>
      <c r="AI640" s="16">
        <v>0</v>
      </c>
      <c r="AK640" s="16"/>
      <c r="AL640" s="11">
        <f t="shared" si="262"/>
        <v>6005000</v>
      </c>
      <c r="AM640" s="16">
        <f t="shared" si="263"/>
        <v>472152</v>
      </c>
      <c r="AN640" s="16">
        <f t="shared" si="264"/>
        <v>229200</v>
      </c>
      <c r="AO640" s="16">
        <f t="shared" si="289"/>
        <v>242952</v>
      </c>
      <c r="AP640" s="16">
        <f t="shared" si="265"/>
        <v>0</v>
      </c>
      <c r="AQ640" s="16">
        <f t="shared" si="266"/>
        <v>6477152</v>
      </c>
      <c r="AR640" s="16">
        <f t="shared" si="286"/>
        <v>388629.12</v>
      </c>
      <c r="AS640" s="16">
        <f t="shared" si="267"/>
        <v>42749.203199999996</v>
      </c>
      <c r="AT640" s="16">
        <f t="shared" si="268"/>
        <v>-7772.5824000000002</v>
      </c>
      <c r="AU640" s="16">
        <f t="shared" si="269"/>
        <v>6858008.5376000004</v>
      </c>
      <c r="AV640" s="16">
        <f t="shared" si="270"/>
        <v>6865781.1200000001</v>
      </c>
      <c r="AW640" s="16">
        <f t="shared" si="271"/>
        <v>171900</v>
      </c>
      <c r="AX640" s="16" t="s">
        <v>235</v>
      </c>
      <c r="AZ640" s="17">
        <f t="shared" si="279"/>
        <v>0</v>
      </c>
      <c r="BA640" s="16">
        <f t="shared" si="272"/>
        <v>5833100</v>
      </c>
      <c r="BB640" s="16">
        <f t="shared" si="273"/>
        <v>5833100</v>
      </c>
      <c r="BC640" s="15">
        <v>0.02</v>
      </c>
      <c r="BD640">
        <v>0.01</v>
      </c>
      <c r="BE640" s="37">
        <f t="shared" si="274"/>
        <v>0</v>
      </c>
      <c r="BF640" s="38">
        <f t="shared" si="275"/>
        <v>0</v>
      </c>
      <c r="BG640" s="37">
        <f t="shared" si="287"/>
        <v>269850</v>
      </c>
      <c r="BH640" s="37">
        <f t="shared" si="276"/>
        <v>286500</v>
      </c>
      <c r="BK640" s="48"/>
      <c r="BL640" s="8">
        <f t="shared" si="277"/>
        <v>275000</v>
      </c>
      <c r="BM640" s="7" t="str">
        <f t="shared" si="293"/>
        <v>Tidak Terdaftar</v>
      </c>
      <c r="BN640" s="11">
        <f t="shared" si="294"/>
        <v>212010.00000000003</v>
      </c>
      <c r="BO640" s="11">
        <f t="shared" si="295"/>
        <v>260142.00000000003</v>
      </c>
      <c r="BP640" s="9">
        <f t="shared" si="278"/>
        <v>0</v>
      </c>
      <c r="BQ640" t="s">
        <v>8</v>
      </c>
    </row>
    <row r="641" spans="1:69" x14ac:dyDescent="0.3">
      <c r="A641" s="2">
        <v>640</v>
      </c>
      <c r="B641" s="5" t="s">
        <v>342</v>
      </c>
      <c r="C641" s="6" t="s">
        <v>309</v>
      </c>
      <c r="D641" t="s">
        <v>308</v>
      </c>
      <c r="E641" t="s">
        <v>0</v>
      </c>
      <c r="K641" s="6">
        <v>800771</v>
      </c>
      <c r="L641" s="39">
        <v>45962</v>
      </c>
      <c r="M641" s="6"/>
      <c r="N641" s="2" t="s">
        <v>345</v>
      </c>
      <c r="O641" s="6"/>
      <c r="P641" s="48" t="s">
        <v>344</v>
      </c>
      <c r="Q641" s="6">
        <v>11196</v>
      </c>
      <c r="R641" s="6">
        <v>27591</v>
      </c>
      <c r="S641" s="5" t="str">
        <f>VLOOKUP(T641,'[1]Kode Posisi'!$A$3:$B$45,2,)</f>
        <v>Outsourcing Pengemudi</v>
      </c>
      <c r="T641" t="s">
        <v>305</v>
      </c>
      <c r="V641" t="s">
        <v>343</v>
      </c>
      <c r="W641" s="5" t="s">
        <v>303</v>
      </c>
      <c r="X641" s="5" t="s">
        <v>302</v>
      </c>
      <c r="Y641" t="s">
        <v>52</v>
      </c>
      <c r="Z641" s="2">
        <v>8710107816</v>
      </c>
      <c r="AA641" t="s">
        <v>342</v>
      </c>
      <c r="AB641" s="47">
        <v>5730000</v>
      </c>
      <c r="AC641" s="41">
        <v>5730000</v>
      </c>
      <c r="AD641" s="52" t="s">
        <v>177</v>
      </c>
      <c r="AH641" s="16">
        <f t="shared" si="288"/>
        <v>350000</v>
      </c>
      <c r="AI641" s="16">
        <v>124786.12716763005</v>
      </c>
      <c r="AK641" s="16"/>
      <c r="AL641" s="11">
        <f t="shared" si="262"/>
        <v>6204786.12716763</v>
      </c>
      <c r="AM641" s="16">
        <f t="shared" si="263"/>
        <v>472152</v>
      </c>
      <c r="AN641" s="16">
        <f t="shared" si="264"/>
        <v>229200</v>
      </c>
      <c r="AO641" s="16">
        <f t="shared" si="289"/>
        <v>242952</v>
      </c>
      <c r="AP641" s="16">
        <f t="shared" si="265"/>
        <v>0</v>
      </c>
      <c r="AQ641" s="16">
        <f t="shared" si="266"/>
        <v>6676938.12716763</v>
      </c>
      <c r="AR641" s="16">
        <f t="shared" si="286"/>
        <v>400616.28763005778</v>
      </c>
      <c r="AS641" s="16">
        <f t="shared" si="267"/>
        <v>44067.791639306357</v>
      </c>
      <c r="AT641" s="16">
        <f t="shared" si="268"/>
        <v>-8012.3257526011557</v>
      </c>
      <c r="AU641" s="16">
        <f t="shared" si="269"/>
        <v>7069542.0890450869</v>
      </c>
      <c r="AV641" s="16">
        <f t="shared" si="270"/>
        <v>7077554.4147976879</v>
      </c>
      <c r="AW641" s="16">
        <f t="shared" si="271"/>
        <v>171900</v>
      </c>
      <c r="AX641" s="16" t="s">
        <v>235</v>
      </c>
      <c r="AZ641" s="17">
        <f t="shared" si="279"/>
        <v>0</v>
      </c>
      <c r="BA641" s="16">
        <f t="shared" si="272"/>
        <v>6032886.12716763</v>
      </c>
      <c r="BB641" s="16">
        <f t="shared" si="273"/>
        <v>6032886.12716763</v>
      </c>
      <c r="BC641" s="15">
        <v>0.02</v>
      </c>
      <c r="BD641">
        <v>0.01</v>
      </c>
      <c r="BE641" s="37">
        <f t="shared" si="274"/>
        <v>0</v>
      </c>
      <c r="BF641" s="38">
        <f t="shared" si="275"/>
        <v>0</v>
      </c>
      <c r="BG641" s="37">
        <f t="shared" si="287"/>
        <v>269850</v>
      </c>
      <c r="BH641" s="37">
        <f t="shared" si="276"/>
        <v>286500</v>
      </c>
      <c r="BK641" s="48"/>
      <c r="BL641" s="8">
        <f t="shared" si="277"/>
        <v>474786.12716763007</v>
      </c>
      <c r="BM641" s="7" t="str">
        <f t="shared" si="293"/>
        <v>Tidak Terdaftar</v>
      </c>
      <c r="BN641" s="11">
        <f t="shared" si="294"/>
        <v>212010.00000000003</v>
      </c>
      <c r="BO641" s="11">
        <f t="shared" si="295"/>
        <v>260142.00000000003</v>
      </c>
      <c r="BP641" s="9">
        <f t="shared" si="278"/>
        <v>0</v>
      </c>
      <c r="BQ641" t="s">
        <v>8</v>
      </c>
    </row>
    <row r="642" spans="1:69" x14ac:dyDescent="0.3">
      <c r="A642" s="2">
        <v>641</v>
      </c>
      <c r="B642" s="5" t="s">
        <v>341</v>
      </c>
      <c r="C642" s="6" t="s">
        <v>309</v>
      </c>
      <c r="D642" t="s">
        <v>308</v>
      </c>
      <c r="E642" t="s">
        <v>0</v>
      </c>
      <c r="K642" s="6">
        <v>800772</v>
      </c>
      <c r="L642" s="39">
        <v>45962</v>
      </c>
      <c r="M642" s="6"/>
      <c r="N642" s="2" t="s">
        <v>340</v>
      </c>
      <c r="O642" s="6"/>
      <c r="P642" s="48" t="s">
        <v>339</v>
      </c>
      <c r="Q642" s="6">
        <v>11196</v>
      </c>
      <c r="R642" s="6">
        <v>27591</v>
      </c>
      <c r="S642" s="5" t="str">
        <f>VLOOKUP(T642,'[1]Kode Posisi'!$A$3:$B$45,2,)</f>
        <v>Outsourcing Pengemudi</v>
      </c>
      <c r="T642" t="s">
        <v>305</v>
      </c>
      <c r="V642" t="s">
        <v>338</v>
      </c>
      <c r="W642" s="5" t="s">
        <v>303</v>
      </c>
      <c r="X642" s="5" t="s">
        <v>302</v>
      </c>
      <c r="Y642" t="s">
        <v>52</v>
      </c>
      <c r="Z642" s="2">
        <v>8710295426</v>
      </c>
      <c r="AA642" t="s">
        <v>337</v>
      </c>
      <c r="AB642" s="47">
        <v>5730000</v>
      </c>
      <c r="AC642" s="41">
        <v>5730000</v>
      </c>
      <c r="AD642" s="52" t="s">
        <v>177</v>
      </c>
      <c r="AH642" s="16">
        <f t="shared" si="288"/>
        <v>350000</v>
      </c>
      <c r="AI642" s="16">
        <v>0</v>
      </c>
      <c r="AK642" s="16"/>
      <c r="AL642" s="11">
        <f t="shared" ref="AL642:AL696" si="296">SUM(AB642,AF642,AG642:AJ642)-AK642</f>
        <v>6080000</v>
      </c>
      <c r="AM642" s="16">
        <f t="shared" ref="AM642:AM696" si="297">SUM(AN642:AO642)</f>
        <v>472152</v>
      </c>
      <c r="AN642" s="16">
        <f t="shared" ref="AN642:AN696" si="298">IF(BD642=0.01,AC642*0.04,0)</f>
        <v>229200</v>
      </c>
      <c r="AO642" s="16">
        <f t="shared" si="289"/>
        <v>242952</v>
      </c>
      <c r="AP642" s="16">
        <f t="shared" ref="AP642:AP687" si="299">IF(BC642=0.03,0.037*(AB642+AF642),0)</f>
        <v>0</v>
      </c>
      <c r="AQ642" s="16">
        <f t="shared" ref="AQ642:AQ696" si="300">SUM(AL642:AM642)</f>
        <v>6552152</v>
      </c>
      <c r="AR642" s="16">
        <f t="shared" ref="AR642:AR673" si="301">SUM(AQ642*0.06)</f>
        <v>393129.12</v>
      </c>
      <c r="AS642" s="16">
        <f t="shared" ref="AS642:AS696" si="302">SUM(AR642*0.11)</f>
        <v>43244.203199999996</v>
      </c>
      <c r="AT642" s="16">
        <f t="shared" ref="AT642:AT696" si="303">SUM(AR642*-0.02)</f>
        <v>-7862.5824000000002</v>
      </c>
      <c r="AU642" s="16">
        <f t="shared" ref="AU642:AU696" si="304">(AQ642+AR642)+AT642</f>
        <v>6937418.5376000004</v>
      </c>
      <c r="AV642" s="16">
        <f t="shared" ref="AV642:AV696" si="305">SUM(AQ642+AR642)</f>
        <v>6945281.1200000001</v>
      </c>
      <c r="AW642" s="16">
        <f t="shared" ref="AW642:AW696" si="306">SUM(AC642)*SUM(BC642,BD642)</f>
        <v>171900</v>
      </c>
      <c r="AX642" s="16" t="s">
        <v>286</v>
      </c>
      <c r="AZ642" s="17">
        <f t="shared" si="279"/>
        <v>0</v>
      </c>
      <c r="BA642" s="16">
        <f t="shared" ref="BA642:BA696" si="307">SUM(AL642-AW642,AY642)</f>
        <v>5908100</v>
      </c>
      <c r="BB642" s="16">
        <f t="shared" ref="BB642:BB690" si="308">SUM(AL642-AW642,AY642)-AZ642</f>
        <v>5908100</v>
      </c>
      <c r="BC642" s="15">
        <v>0.02</v>
      </c>
      <c r="BD642">
        <v>0.01</v>
      </c>
      <c r="BE642" s="37">
        <f t="shared" ref="BE642:BE685" si="309">IF(BC642=0.03,AC642*9.24%,0)</f>
        <v>0</v>
      </c>
      <c r="BF642" s="38">
        <f t="shared" ref="BF642:BF685" si="310">IF(BC642=0.03,0.057/0.0924*BE642,0)</f>
        <v>0</v>
      </c>
      <c r="BG642" s="37">
        <f t="shared" si="287"/>
        <v>269850</v>
      </c>
      <c r="BH642" s="37">
        <f t="shared" ref="BH642:BH685" si="311">IF(BD642=0.01,AC642*5%,0)</f>
        <v>286500</v>
      </c>
      <c r="BK642" s="48"/>
      <c r="BL642" s="8">
        <f t="shared" ref="BL642:BL696" si="312">SUM(AF642:AJ642)-AK642</f>
        <v>350000</v>
      </c>
      <c r="BM642" s="7" t="str">
        <f t="shared" si="293"/>
        <v>Tidak Terdaftar</v>
      </c>
      <c r="BN642" s="11">
        <f t="shared" si="294"/>
        <v>212010.00000000003</v>
      </c>
      <c r="BO642" s="11">
        <f t="shared" si="295"/>
        <v>260142.00000000003</v>
      </c>
      <c r="BP642" s="9">
        <f t="shared" ref="BP642:BP696" si="313">AM642-BN642-BO642</f>
        <v>0</v>
      </c>
      <c r="BQ642" t="s">
        <v>8</v>
      </c>
    </row>
    <row r="643" spans="1:69" x14ac:dyDescent="0.3">
      <c r="A643" s="2">
        <v>642</v>
      </c>
      <c r="B643" s="5" t="s">
        <v>333</v>
      </c>
      <c r="C643" s="6" t="s">
        <v>309</v>
      </c>
      <c r="D643" t="s">
        <v>308</v>
      </c>
      <c r="E643" t="s">
        <v>0</v>
      </c>
      <c r="K643" s="6">
        <v>800773</v>
      </c>
      <c r="L643" s="39">
        <v>45962</v>
      </c>
      <c r="M643" s="6"/>
      <c r="N643" s="2" t="s">
        <v>336</v>
      </c>
      <c r="O643" s="6"/>
      <c r="P643" s="48" t="s">
        <v>335</v>
      </c>
      <c r="Q643" s="6">
        <v>11196</v>
      </c>
      <c r="R643" s="6">
        <v>27591</v>
      </c>
      <c r="S643" s="5" t="str">
        <f>VLOOKUP(T643,'[1]Kode Posisi'!$A$3:$B$45,2,)</f>
        <v>Outsourcing Pengemudi</v>
      </c>
      <c r="T643" t="s">
        <v>305</v>
      </c>
      <c r="V643" t="s">
        <v>334</v>
      </c>
      <c r="W643" s="5" t="s">
        <v>303</v>
      </c>
      <c r="X643" s="5" t="s">
        <v>302</v>
      </c>
      <c r="Y643" t="s">
        <v>52</v>
      </c>
      <c r="Z643" s="2">
        <v>8710074128</v>
      </c>
      <c r="AA643" t="s">
        <v>333</v>
      </c>
      <c r="AB643" s="47">
        <v>5730000</v>
      </c>
      <c r="AC643" s="41">
        <v>5730000</v>
      </c>
      <c r="AD643" s="52" t="s">
        <v>177</v>
      </c>
      <c r="AH643" s="16">
        <f t="shared" si="288"/>
        <v>350000</v>
      </c>
      <c r="AI643" s="16">
        <v>187179.19075144507</v>
      </c>
      <c r="AK643" s="16"/>
      <c r="AL643" s="11">
        <f t="shared" si="296"/>
        <v>6267179.1907514455</v>
      </c>
      <c r="AM643" s="16">
        <f t="shared" si="297"/>
        <v>472152</v>
      </c>
      <c r="AN643" s="16">
        <f t="shared" si="298"/>
        <v>229200</v>
      </c>
      <c r="AO643" s="16">
        <f t="shared" si="289"/>
        <v>242952</v>
      </c>
      <c r="AP643" s="16">
        <f t="shared" si="299"/>
        <v>0</v>
      </c>
      <c r="AQ643" s="16">
        <f t="shared" si="300"/>
        <v>6739331.1907514455</v>
      </c>
      <c r="AR643" s="16">
        <f t="shared" si="301"/>
        <v>404359.87144508673</v>
      </c>
      <c r="AS643" s="16">
        <f t="shared" si="302"/>
        <v>44479.585858959537</v>
      </c>
      <c r="AT643" s="16">
        <f t="shared" si="303"/>
        <v>-8087.1974289017344</v>
      </c>
      <c r="AU643" s="16">
        <f t="shared" si="304"/>
        <v>7135603.8647676306</v>
      </c>
      <c r="AV643" s="16">
        <f t="shared" si="305"/>
        <v>7143691.0621965323</v>
      </c>
      <c r="AW643" s="16">
        <f t="shared" si="306"/>
        <v>171900</v>
      </c>
      <c r="AX643" s="16" t="s">
        <v>243</v>
      </c>
      <c r="AZ643" s="17">
        <f t="shared" si="279"/>
        <v>0</v>
      </c>
      <c r="BA643" s="16">
        <f t="shared" si="307"/>
        <v>6095279.1907514455</v>
      </c>
      <c r="BB643" s="16">
        <f t="shared" si="308"/>
        <v>6095279.1907514455</v>
      </c>
      <c r="BC643" s="15">
        <v>0.02</v>
      </c>
      <c r="BD643">
        <v>0.01</v>
      </c>
      <c r="BE643" s="37">
        <f t="shared" si="309"/>
        <v>0</v>
      </c>
      <c r="BF643" s="38">
        <f t="shared" si="310"/>
        <v>0</v>
      </c>
      <c r="BG643" s="37">
        <f t="shared" si="287"/>
        <v>269850</v>
      </c>
      <c r="BH643" s="37">
        <f t="shared" si="311"/>
        <v>286500</v>
      </c>
      <c r="BK643" s="48"/>
      <c r="BL643" s="8">
        <f t="shared" si="312"/>
        <v>537179.19075144501</v>
      </c>
      <c r="BM643" s="7" t="str">
        <f t="shared" si="293"/>
        <v>Tidak Terdaftar</v>
      </c>
      <c r="BN643" s="11">
        <f t="shared" si="294"/>
        <v>212010.00000000003</v>
      </c>
      <c r="BO643" s="11">
        <f t="shared" si="295"/>
        <v>260142.00000000003</v>
      </c>
      <c r="BP643" s="9">
        <f t="shared" si="313"/>
        <v>0</v>
      </c>
      <c r="BQ643" t="s">
        <v>8</v>
      </c>
    </row>
    <row r="644" spans="1:69" x14ac:dyDescent="0.3">
      <c r="A644" s="2">
        <v>643</v>
      </c>
      <c r="B644" s="5" t="s">
        <v>332</v>
      </c>
      <c r="C644" s="6" t="s">
        <v>309</v>
      </c>
      <c r="D644" t="s">
        <v>308</v>
      </c>
      <c r="E644" t="s">
        <v>0</v>
      </c>
      <c r="K644" s="6">
        <v>800774</v>
      </c>
      <c r="L644" s="39">
        <v>45962</v>
      </c>
      <c r="M644" s="6"/>
      <c r="N644" s="2" t="s">
        <v>331</v>
      </c>
      <c r="O644" s="6"/>
      <c r="P644" s="48" t="s">
        <v>330</v>
      </c>
      <c r="Q644" s="6">
        <v>11196</v>
      </c>
      <c r="R644" s="6">
        <v>27591</v>
      </c>
      <c r="S644" s="5" t="e">
        <f>VLOOKUP(T644,'[1]Kode Posisi'!$A$3:$B$45,2,)</f>
        <v>#N/A</v>
      </c>
      <c r="T644" t="s">
        <v>312</v>
      </c>
      <c r="V644" t="s">
        <v>329</v>
      </c>
      <c r="W644" s="5" t="s">
        <v>303</v>
      </c>
      <c r="X644" s="5" t="s">
        <v>302</v>
      </c>
      <c r="Y644" t="s">
        <v>63</v>
      </c>
      <c r="Z644" s="2">
        <v>60013675685</v>
      </c>
      <c r="AA644" t="s">
        <v>328</v>
      </c>
      <c r="AB644" s="47">
        <v>5730000</v>
      </c>
      <c r="AC644" s="41">
        <v>5730000</v>
      </c>
      <c r="AD644" s="52" t="s">
        <v>177</v>
      </c>
      <c r="AH644" s="16">
        <f t="shared" si="288"/>
        <v>275000</v>
      </c>
      <c r="AI644" s="16">
        <v>0</v>
      </c>
      <c r="AK644" s="16"/>
      <c r="AL644" s="11">
        <f t="shared" si="296"/>
        <v>6005000</v>
      </c>
      <c r="AM644" s="16">
        <f t="shared" si="297"/>
        <v>472152</v>
      </c>
      <c r="AN644" s="16">
        <f t="shared" si="298"/>
        <v>229200</v>
      </c>
      <c r="AO644" s="16">
        <f t="shared" si="289"/>
        <v>242952</v>
      </c>
      <c r="AP644" s="16">
        <f t="shared" si="299"/>
        <v>0</v>
      </c>
      <c r="AQ644" s="16">
        <f t="shared" si="300"/>
        <v>6477152</v>
      </c>
      <c r="AR644" s="16">
        <f t="shared" si="301"/>
        <v>388629.12</v>
      </c>
      <c r="AS644" s="16">
        <f t="shared" si="302"/>
        <v>42749.203199999996</v>
      </c>
      <c r="AT644" s="16">
        <f t="shared" si="303"/>
        <v>-7772.5824000000002</v>
      </c>
      <c r="AU644" s="16">
        <f t="shared" si="304"/>
        <v>6858008.5376000004</v>
      </c>
      <c r="AV644" s="16">
        <f t="shared" si="305"/>
        <v>6865781.1200000001</v>
      </c>
      <c r="AW644" s="16">
        <f t="shared" si="306"/>
        <v>171900</v>
      </c>
      <c r="AX644" s="16" t="s">
        <v>235</v>
      </c>
      <c r="AZ644" s="17">
        <f t="shared" si="279"/>
        <v>2900</v>
      </c>
      <c r="BA644" s="16">
        <f t="shared" si="307"/>
        <v>5833100</v>
      </c>
      <c r="BB644" s="16">
        <f t="shared" si="308"/>
        <v>5830200</v>
      </c>
      <c r="BC644" s="15">
        <v>0.02</v>
      </c>
      <c r="BD644">
        <v>0.01</v>
      </c>
      <c r="BE644" s="37">
        <f t="shared" si="309"/>
        <v>0</v>
      </c>
      <c r="BF644" s="38">
        <f t="shared" si="310"/>
        <v>0</v>
      </c>
      <c r="BG644" s="37">
        <f t="shared" si="287"/>
        <v>269850</v>
      </c>
      <c r="BH644" s="37">
        <f t="shared" si="311"/>
        <v>286500</v>
      </c>
      <c r="BK644" s="48"/>
      <c r="BL644" s="8">
        <f t="shared" si="312"/>
        <v>275000</v>
      </c>
      <c r="BM644" s="7" t="str">
        <f t="shared" si="293"/>
        <v>Tidak Terdaftar</v>
      </c>
      <c r="BN644" s="11">
        <f t="shared" si="294"/>
        <v>212010.00000000003</v>
      </c>
      <c r="BO644" s="11">
        <f t="shared" si="295"/>
        <v>260142.00000000003</v>
      </c>
      <c r="BP644" s="9">
        <f t="shared" si="313"/>
        <v>0</v>
      </c>
      <c r="BQ644" t="s">
        <v>8</v>
      </c>
    </row>
    <row r="645" spans="1:69" x14ac:dyDescent="0.3">
      <c r="A645" s="2">
        <v>644</v>
      </c>
      <c r="B645" s="5" t="s">
        <v>324</v>
      </c>
      <c r="C645" s="6" t="s">
        <v>309</v>
      </c>
      <c r="D645" t="s">
        <v>308</v>
      </c>
      <c r="E645" t="s">
        <v>0</v>
      </c>
      <c r="K645" s="6">
        <v>800775</v>
      </c>
      <c r="L645" s="39">
        <v>45962</v>
      </c>
      <c r="M645" s="6"/>
      <c r="N645" s="2" t="s">
        <v>327</v>
      </c>
      <c r="O645" s="6"/>
      <c r="P645" s="48" t="s">
        <v>326</v>
      </c>
      <c r="Q645" s="6">
        <v>11196</v>
      </c>
      <c r="R645" s="6">
        <v>27591</v>
      </c>
      <c r="S645" s="5" t="e">
        <f>VLOOKUP(T645,'[1]Kode Posisi'!$A$3:$B$45,2,)</f>
        <v>#N/A</v>
      </c>
      <c r="T645" t="s">
        <v>312</v>
      </c>
      <c r="V645" t="s">
        <v>325</v>
      </c>
      <c r="W645" s="5" t="s">
        <v>303</v>
      </c>
      <c r="X645" s="5" t="s">
        <v>302</v>
      </c>
      <c r="Y645" t="s">
        <v>52</v>
      </c>
      <c r="Z645" s="2">
        <v>1651950347</v>
      </c>
      <c r="AA645" t="s">
        <v>324</v>
      </c>
      <c r="AB645" s="47">
        <v>5730000</v>
      </c>
      <c r="AC645" s="41">
        <v>5730000</v>
      </c>
      <c r="AD645" s="52" t="s">
        <v>177</v>
      </c>
      <c r="AH645" s="16">
        <f t="shared" si="288"/>
        <v>275000</v>
      </c>
      <c r="AI645" s="16">
        <v>124786.12716763005</v>
      </c>
      <c r="AK645" s="16"/>
      <c r="AL645" s="11">
        <f t="shared" si="296"/>
        <v>6129786.12716763</v>
      </c>
      <c r="AM645" s="16">
        <f t="shared" si="297"/>
        <v>472152</v>
      </c>
      <c r="AN645" s="16">
        <f t="shared" si="298"/>
        <v>229200</v>
      </c>
      <c r="AO645" s="16">
        <f t="shared" si="289"/>
        <v>242952</v>
      </c>
      <c r="AP645" s="16">
        <f t="shared" si="299"/>
        <v>0</v>
      </c>
      <c r="AQ645" s="16">
        <f t="shared" si="300"/>
        <v>6601938.12716763</v>
      </c>
      <c r="AR645" s="16">
        <f t="shared" si="301"/>
        <v>396116.28763005778</v>
      </c>
      <c r="AS645" s="16">
        <f t="shared" si="302"/>
        <v>43572.791639306357</v>
      </c>
      <c r="AT645" s="16">
        <f t="shared" si="303"/>
        <v>-7922.3257526011557</v>
      </c>
      <c r="AU645" s="16">
        <f t="shared" si="304"/>
        <v>6990132.0890450869</v>
      </c>
      <c r="AV645" s="16">
        <f t="shared" si="305"/>
        <v>6998054.4147976879</v>
      </c>
      <c r="AW645" s="16">
        <f t="shared" si="306"/>
        <v>171900</v>
      </c>
      <c r="AX645" s="16" t="s">
        <v>286</v>
      </c>
      <c r="AZ645" s="17">
        <f t="shared" si="279"/>
        <v>0</v>
      </c>
      <c r="BA645" s="16">
        <f t="shared" si="307"/>
        <v>5957886.12716763</v>
      </c>
      <c r="BB645" s="16">
        <f t="shared" si="308"/>
        <v>5957886.12716763</v>
      </c>
      <c r="BC645" s="15">
        <v>0.02</v>
      </c>
      <c r="BD645">
        <v>0.01</v>
      </c>
      <c r="BE645" s="37">
        <f t="shared" si="309"/>
        <v>0</v>
      </c>
      <c r="BF645" s="38">
        <f t="shared" si="310"/>
        <v>0</v>
      </c>
      <c r="BG645" s="37">
        <f t="shared" si="287"/>
        <v>269850</v>
      </c>
      <c r="BH645" s="37">
        <f t="shared" si="311"/>
        <v>286500</v>
      </c>
      <c r="BK645" s="48"/>
      <c r="BL645" s="8">
        <f t="shared" si="312"/>
        <v>399786.12716763007</v>
      </c>
      <c r="BM645" s="7" t="str">
        <f t="shared" si="293"/>
        <v>Tidak Terdaftar</v>
      </c>
      <c r="BN645" s="11">
        <f t="shared" si="294"/>
        <v>212010.00000000003</v>
      </c>
      <c r="BO645" s="11">
        <f t="shared" si="295"/>
        <v>260142.00000000003</v>
      </c>
      <c r="BP645" s="9">
        <f t="shared" si="313"/>
        <v>0</v>
      </c>
      <c r="BQ645" t="s">
        <v>8</v>
      </c>
    </row>
    <row r="646" spans="1:69" x14ac:dyDescent="0.3">
      <c r="A646" s="2">
        <v>645</v>
      </c>
      <c r="B646" s="5" t="s">
        <v>320</v>
      </c>
      <c r="C646" s="6" t="s">
        <v>309</v>
      </c>
      <c r="D646" t="s">
        <v>308</v>
      </c>
      <c r="E646" t="s">
        <v>0</v>
      </c>
      <c r="K646" s="6">
        <v>800776</v>
      </c>
      <c r="L646" s="39">
        <v>45962</v>
      </c>
      <c r="M646" s="6"/>
      <c r="N646" s="2" t="s">
        <v>323</v>
      </c>
      <c r="O646" s="6"/>
      <c r="P646" s="48" t="s">
        <v>322</v>
      </c>
      <c r="Q646" s="6">
        <v>11196</v>
      </c>
      <c r="R646" s="6">
        <v>27591</v>
      </c>
      <c r="S646" s="5" t="str">
        <f>VLOOKUP(T646,'[1]Kode Posisi'!$A$3:$B$45,2,)</f>
        <v>Outsourcing Pengemudi</v>
      </c>
      <c r="T646" t="s">
        <v>305</v>
      </c>
      <c r="V646" t="s">
        <v>321</v>
      </c>
      <c r="W646" s="5" t="s">
        <v>303</v>
      </c>
      <c r="X646" s="5" t="s">
        <v>302</v>
      </c>
      <c r="Y646" t="s">
        <v>52</v>
      </c>
      <c r="Z646" s="2">
        <v>8710262757</v>
      </c>
      <c r="AA646" t="s">
        <v>320</v>
      </c>
      <c r="AB646" s="47">
        <v>5730000</v>
      </c>
      <c r="AC646" s="41">
        <v>5730000</v>
      </c>
      <c r="AD646" s="52" t="s">
        <v>177</v>
      </c>
      <c r="AH646" s="16">
        <f t="shared" si="288"/>
        <v>350000</v>
      </c>
      <c r="AI646" s="16">
        <v>0</v>
      </c>
      <c r="AK646" s="16"/>
      <c r="AL646" s="11">
        <f t="shared" si="296"/>
        <v>6080000</v>
      </c>
      <c r="AM646" s="16">
        <f t="shared" si="297"/>
        <v>472152</v>
      </c>
      <c r="AN646" s="16">
        <f t="shared" si="298"/>
        <v>229200</v>
      </c>
      <c r="AO646" s="16">
        <f t="shared" si="289"/>
        <v>242952</v>
      </c>
      <c r="AP646" s="16">
        <f t="shared" si="299"/>
        <v>0</v>
      </c>
      <c r="AQ646" s="16">
        <f t="shared" si="300"/>
        <v>6552152</v>
      </c>
      <c r="AR646" s="16">
        <f t="shared" si="301"/>
        <v>393129.12</v>
      </c>
      <c r="AS646" s="16">
        <f t="shared" si="302"/>
        <v>43244.203199999996</v>
      </c>
      <c r="AT646" s="16">
        <f t="shared" si="303"/>
        <v>-7862.5824000000002</v>
      </c>
      <c r="AU646" s="16">
        <f t="shared" si="304"/>
        <v>6937418.5376000004</v>
      </c>
      <c r="AV646" s="16">
        <f t="shared" si="305"/>
        <v>6945281.1200000001</v>
      </c>
      <c r="AW646" s="16">
        <f t="shared" si="306"/>
        <v>171900</v>
      </c>
      <c r="AX646" s="16" t="s">
        <v>319</v>
      </c>
      <c r="AZ646" s="17">
        <f t="shared" si="279"/>
        <v>0</v>
      </c>
      <c r="BA646" s="16">
        <f t="shared" si="307"/>
        <v>5908100</v>
      </c>
      <c r="BB646" s="16">
        <f t="shared" si="308"/>
        <v>5908100</v>
      </c>
      <c r="BC646" s="15">
        <v>0.02</v>
      </c>
      <c r="BD646">
        <v>0.01</v>
      </c>
      <c r="BE646" s="37">
        <f t="shared" si="309"/>
        <v>0</v>
      </c>
      <c r="BF646" s="38">
        <f t="shared" si="310"/>
        <v>0</v>
      </c>
      <c r="BG646" s="37">
        <f t="shared" si="287"/>
        <v>269850</v>
      </c>
      <c r="BH646" s="37">
        <f t="shared" si="311"/>
        <v>286500</v>
      </c>
      <c r="BK646" s="48"/>
      <c r="BL646" s="8">
        <f t="shared" si="312"/>
        <v>350000</v>
      </c>
      <c r="BM646" s="7" t="str">
        <f t="shared" si="293"/>
        <v>Tidak Terdaftar</v>
      </c>
      <c r="BN646" s="11">
        <f t="shared" si="294"/>
        <v>212010.00000000003</v>
      </c>
      <c r="BO646" s="11">
        <f t="shared" si="295"/>
        <v>260142.00000000003</v>
      </c>
      <c r="BP646" s="9">
        <f t="shared" si="313"/>
        <v>0</v>
      </c>
      <c r="BQ646" t="s">
        <v>8</v>
      </c>
    </row>
    <row r="647" spans="1:69" x14ac:dyDescent="0.3">
      <c r="A647" s="2">
        <v>646</v>
      </c>
      <c r="B647" s="5" t="s">
        <v>318</v>
      </c>
      <c r="C647" s="6" t="s">
        <v>309</v>
      </c>
      <c r="D647" t="s">
        <v>308</v>
      </c>
      <c r="E647" t="s">
        <v>0</v>
      </c>
      <c r="K647" s="6">
        <v>800777</v>
      </c>
      <c r="L647" s="39">
        <v>45962</v>
      </c>
      <c r="M647" s="6"/>
      <c r="N647" s="2" t="s">
        <v>317</v>
      </c>
      <c r="O647" s="6"/>
      <c r="P647" s="48" t="s">
        <v>316</v>
      </c>
      <c r="Q647" s="6">
        <v>11196</v>
      </c>
      <c r="R647" s="6">
        <v>27591</v>
      </c>
      <c r="S647" s="5" t="e">
        <f>VLOOKUP(T647,'[1]Kode Posisi'!$A$3:$B$45,2,)</f>
        <v>#N/A</v>
      </c>
      <c r="T647" t="s">
        <v>312</v>
      </c>
      <c r="V647" t="s">
        <v>315</v>
      </c>
      <c r="W647" s="5" t="s">
        <v>303</v>
      </c>
      <c r="X647" s="5" t="s">
        <v>302</v>
      </c>
      <c r="Y647" t="s">
        <v>52</v>
      </c>
      <c r="Z647" s="2">
        <v>8710270423</v>
      </c>
      <c r="AA647" t="s">
        <v>314</v>
      </c>
      <c r="AB647" s="47">
        <v>5730000</v>
      </c>
      <c r="AC647" s="41">
        <v>5730000</v>
      </c>
      <c r="AD647" s="52" t="s">
        <v>177</v>
      </c>
      <c r="AH647" s="16">
        <f t="shared" si="288"/>
        <v>275000</v>
      </c>
      <c r="AI647" s="16">
        <v>0</v>
      </c>
      <c r="AK647" s="16"/>
      <c r="AL647" s="11">
        <f t="shared" si="296"/>
        <v>6005000</v>
      </c>
      <c r="AM647" s="16">
        <f t="shared" si="297"/>
        <v>472152</v>
      </c>
      <c r="AN647" s="16">
        <f t="shared" si="298"/>
        <v>229200</v>
      </c>
      <c r="AO647" s="16">
        <f t="shared" si="289"/>
        <v>242952</v>
      </c>
      <c r="AP647" s="16">
        <f t="shared" si="299"/>
        <v>0</v>
      </c>
      <c r="AQ647" s="16">
        <f t="shared" si="300"/>
        <v>6477152</v>
      </c>
      <c r="AR647" s="16">
        <f t="shared" si="301"/>
        <v>388629.12</v>
      </c>
      <c r="AS647" s="16">
        <f t="shared" si="302"/>
        <v>42749.203199999996</v>
      </c>
      <c r="AT647" s="16">
        <f t="shared" si="303"/>
        <v>-7772.5824000000002</v>
      </c>
      <c r="AU647" s="16">
        <f t="shared" si="304"/>
        <v>6858008.5376000004</v>
      </c>
      <c r="AV647" s="16">
        <f t="shared" si="305"/>
        <v>6865781.1200000001</v>
      </c>
      <c r="AW647" s="16">
        <f t="shared" si="306"/>
        <v>171900</v>
      </c>
      <c r="AX647" s="16" t="s">
        <v>235</v>
      </c>
      <c r="AZ647" s="17">
        <f t="shared" si="279"/>
        <v>0</v>
      </c>
      <c r="BA647" s="16">
        <f t="shared" si="307"/>
        <v>5833100</v>
      </c>
      <c r="BB647" s="16">
        <f t="shared" si="308"/>
        <v>5833100</v>
      </c>
      <c r="BC647" s="15">
        <v>0.02</v>
      </c>
      <c r="BD647">
        <v>0.01</v>
      </c>
      <c r="BE647" s="37">
        <f t="shared" si="309"/>
        <v>0</v>
      </c>
      <c r="BF647" s="38">
        <f t="shared" si="310"/>
        <v>0</v>
      </c>
      <c r="BG647" s="37">
        <f t="shared" si="287"/>
        <v>269850</v>
      </c>
      <c r="BH647" s="37">
        <f t="shared" si="311"/>
        <v>286500</v>
      </c>
      <c r="BK647" s="48"/>
      <c r="BL647" s="8">
        <f t="shared" si="312"/>
        <v>275000</v>
      </c>
      <c r="BM647" s="7" t="str">
        <f t="shared" si="293"/>
        <v>Tidak Terdaftar</v>
      </c>
      <c r="BN647" s="11">
        <f t="shared" si="294"/>
        <v>212010.00000000003</v>
      </c>
      <c r="BO647" s="11">
        <f t="shared" si="295"/>
        <v>260142.00000000003</v>
      </c>
      <c r="BP647" s="9">
        <f t="shared" si="313"/>
        <v>0</v>
      </c>
      <c r="BQ647" t="s">
        <v>8</v>
      </c>
    </row>
    <row r="648" spans="1:69" x14ac:dyDescent="0.3">
      <c r="A648" s="2">
        <v>647</v>
      </c>
      <c r="B648" s="5" t="s">
        <v>310</v>
      </c>
      <c r="C648" s="6" t="s">
        <v>309</v>
      </c>
      <c r="D648" t="s">
        <v>308</v>
      </c>
      <c r="E648" t="s">
        <v>0</v>
      </c>
      <c r="I648" t="s">
        <v>249</v>
      </c>
      <c r="K648" s="6">
        <v>800778</v>
      </c>
      <c r="L648" s="39">
        <v>45962</v>
      </c>
      <c r="M648" s="6"/>
      <c r="N648" s="2" t="e">
        <v>#N/A</v>
      </c>
      <c r="O648" s="6"/>
      <c r="P648" s="48" t="s">
        <v>313</v>
      </c>
      <c r="Q648" s="6">
        <v>11196</v>
      </c>
      <c r="R648" s="6">
        <v>27591</v>
      </c>
      <c r="S648" s="5" t="e">
        <f>VLOOKUP(T648,'[1]Kode Posisi'!$A$3:$B$45,2,)</f>
        <v>#N/A</v>
      </c>
      <c r="T648" t="s">
        <v>312</v>
      </c>
      <c r="V648" t="s">
        <v>311</v>
      </c>
      <c r="W648" s="5" t="s">
        <v>303</v>
      </c>
      <c r="X648" s="5" t="s">
        <v>302</v>
      </c>
      <c r="Y648" t="s">
        <v>52</v>
      </c>
      <c r="Z648" s="2">
        <v>3450179361</v>
      </c>
      <c r="AA648" t="s">
        <v>310</v>
      </c>
      <c r="AB648" s="47">
        <v>5730000</v>
      </c>
      <c r="AC648" s="41">
        <v>5730000</v>
      </c>
      <c r="AD648" s="52" t="s">
        <v>177</v>
      </c>
      <c r="AH648" s="16">
        <f t="shared" si="288"/>
        <v>275000</v>
      </c>
      <c r="AI648" s="16">
        <v>0</v>
      </c>
      <c r="AK648" s="16"/>
      <c r="AL648" s="11">
        <f t="shared" si="296"/>
        <v>6005000</v>
      </c>
      <c r="AM648" s="16">
        <f t="shared" si="297"/>
        <v>242952</v>
      </c>
      <c r="AN648" s="16">
        <f t="shared" si="298"/>
        <v>0</v>
      </c>
      <c r="AO648" s="16">
        <f t="shared" si="289"/>
        <v>242952</v>
      </c>
      <c r="AP648" s="16">
        <f t="shared" si="299"/>
        <v>0</v>
      </c>
      <c r="AQ648" s="16">
        <f t="shared" si="300"/>
        <v>6247952</v>
      </c>
      <c r="AR648" s="16">
        <f t="shared" si="301"/>
        <v>374877.12</v>
      </c>
      <c r="AS648" s="16">
        <f t="shared" si="302"/>
        <v>41236.483200000002</v>
      </c>
      <c r="AT648" s="16">
        <f t="shared" si="303"/>
        <v>-7497.5424000000003</v>
      </c>
      <c r="AU648" s="16">
        <f t="shared" si="304"/>
        <v>6615331.5776000004</v>
      </c>
      <c r="AV648" s="16">
        <f t="shared" si="305"/>
        <v>6622829.1200000001</v>
      </c>
      <c r="AW648" s="16">
        <f t="shared" si="306"/>
        <v>114600</v>
      </c>
      <c r="AX648" s="16" t="s">
        <v>243</v>
      </c>
      <c r="AZ648" s="17">
        <f t="shared" ref="AZ648:AZ696" si="314">IF(Y648="BCA",0,2900)</f>
        <v>0</v>
      </c>
      <c r="BA648" s="16">
        <f t="shared" si="307"/>
        <v>5890400</v>
      </c>
      <c r="BB648" s="16">
        <f t="shared" si="308"/>
        <v>5890400</v>
      </c>
      <c r="BC648" s="15">
        <v>0.02</v>
      </c>
      <c r="BE648" s="37">
        <f t="shared" si="309"/>
        <v>0</v>
      </c>
      <c r="BF648" s="38">
        <f t="shared" si="310"/>
        <v>0</v>
      </c>
      <c r="BG648" s="37">
        <f t="shared" si="287"/>
        <v>269850</v>
      </c>
      <c r="BH648" s="37">
        <f t="shared" si="311"/>
        <v>0</v>
      </c>
      <c r="BK648" s="48">
        <f>(BC648*AB648)+AO648</f>
        <v>357552</v>
      </c>
      <c r="BL648" s="8">
        <f t="shared" si="312"/>
        <v>275000</v>
      </c>
      <c r="BM648" s="7" t="s">
        <v>242</v>
      </c>
      <c r="BN648" s="56">
        <f>AB648*3.7%</f>
        <v>212010.00000000003</v>
      </c>
      <c r="BO648" s="10">
        <f>AB648*0.54%</f>
        <v>30942</v>
      </c>
      <c r="BP648" s="9">
        <f t="shared" si="313"/>
        <v>-2.9103830456733704E-11</v>
      </c>
      <c r="BQ648" t="s">
        <v>8</v>
      </c>
    </row>
    <row r="649" spans="1:69" x14ac:dyDescent="0.3">
      <c r="A649" s="2">
        <v>648</v>
      </c>
      <c r="B649" s="5" t="s">
        <v>301</v>
      </c>
      <c r="C649" s="6" t="s">
        <v>309</v>
      </c>
      <c r="D649" t="s">
        <v>308</v>
      </c>
      <c r="E649" t="s">
        <v>0</v>
      </c>
      <c r="K649" s="6">
        <v>800779</v>
      </c>
      <c r="L649" s="39">
        <v>45962</v>
      </c>
      <c r="M649" s="6"/>
      <c r="N649" s="2" t="s">
        <v>307</v>
      </c>
      <c r="O649" s="6"/>
      <c r="P649" s="48" t="s">
        <v>306</v>
      </c>
      <c r="Q649" s="6">
        <v>11196</v>
      </c>
      <c r="R649" s="6">
        <v>27591</v>
      </c>
      <c r="S649" s="5" t="str">
        <f>VLOOKUP(T649,'[1]Kode Posisi'!$A$3:$B$45,2,)</f>
        <v>Outsourcing Pengemudi</v>
      </c>
      <c r="T649" t="s">
        <v>305</v>
      </c>
      <c r="V649" t="s">
        <v>304</v>
      </c>
      <c r="W649" s="5" t="s">
        <v>303</v>
      </c>
      <c r="X649" s="5" t="s">
        <v>302</v>
      </c>
      <c r="Y649" t="s">
        <v>52</v>
      </c>
      <c r="Z649" s="2">
        <v>2170014165</v>
      </c>
      <c r="AA649" t="s">
        <v>301</v>
      </c>
      <c r="AB649" s="47">
        <v>5730000</v>
      </c>
      <c r="AC649" s="41">
        <v>5730000</v>
      </c>
      <c r="AD649" s="52" t="s">
        <v>177</v>
      </c>
      <c r="AH649" s="16">
        <f t="shared" si="288"/>
        <v>350000</v>
      </c>
      <c r="AI649" s="16">
        <v>0</v>
      </c>
      <c r="AK649" s="16"/>
      <c r="AL649" s="11">
        <f t="shared" si="296"/>
        <v>6080000</v>
      </c>
      <c r="AM649" s="16">
        <f t="shared" si="297"/>
        <v>472152</v>
      </c>
      <c r="AN649" s="16">
        <f t="shared" si="298"/>
        <v>229200</v>
      </c>
      <c r="AO649" s="16">
        <f t="shared" si="289"/>
        <v>242952</v>
      </c>
      <c r="AP649" s="16">
        <f t="shared" si="299"/>
        <v>0</v>
      </c>
      <c r="AQ649" s="16">
        <f t="shared" si="300"/>
        <v>6552152</v>
      </c>
      <c r="AR649" s="16">
        <f t="shared" si="301"/>
        <v>393129.12</v>
      </c>
      <c r="AS649" s="16">
        <f t="shared" si="302"/>
        <v>43244.203199999996</v>
      </c>
      <c r="AT649" s="16">
        <f t="shared" si="303"/>
        <v>-7862.5824000000002</v>
      </c>
      <c r="AU649" s="16">
        <f t="shared" si="304"/>
        <v>6937418.5376000004</v>
      </c>
      <c r="AV649" s="16">
        <f t="shared" si="305"/>
        <v>6945281.1200000001</v>
      </c>
      <c r="AW649" s="16">
        <f t="shared" si="306"/>
        <v>171900</v>
      </c>
      <c r="AX649" s="16" t="s">
        <v>286</v>
      </c>
      <c r="AZ649" s="17">
        <f t="shared" si="314"/>
        <v>0</v>
      </c>
      <c r="BA649" s="16">
        <f t="shared" si="307"/>
        <v>5908100</v>
      </c>
      <c r="BB649" s="16">
        <f t="shared" si="308"/>
        <v>5908100</v>
      </c>
      <c r="BC649" s="15">
        <v>0.02</v>
      </c>
      <c r="BD649">
        <v>0.01</v>
      </c>
      <c r="BE649" s="37">
        <f t="shared" si="309"/>
        <v>0</v>
      </c>
      <c r="BF649" s="38">
        <f t="shared" si="310"/>
        <v>0</v>
      </c>
      <c r="BG649" s="37">
        <f t="shared" si="287"/>
        <v>269850</v>
      </c>
      <c r="BH649" s="37">
        <f t="shared" si="311"/>
        <v>286500</v>
      </c>
      <c r="BK649" s="48"/>
      <c r="BL649" s="8">
        <f t="shared" si="312"/>
        <v>350000</v>
      </c>
      <c r="BM649" s="7" t="str">
        <f>IF(AND(BC649=0.03,BD649=0.01),"Terdaftar BPJS Kes &amp; Naker","Tidak Terdaftar")</f>
        <v>Tidak Terdaftar</v>
      </c>
      <c r="BN649" s="11">
        <f>AC649*3.7%</f>
        <v>212010.00000000003</v>
      </c>
      <c r="BO649" s="11">
        <f>AC649*4.54%</f>
        <v>260142.00000000003</v>
      </c>
      <c r="BP649" s="9">
        <f t="shared" si="313"/>
        <v>0</v>
      </c>
      <c r="BQ649" t="s">
        <v>8</v>
      </c>
    </row>
    <row r="650" spans="1:69" x14ac:dyDescent="0.3">
      <c r="A650" s="2">
        <v>649</v>
      </c>
      <c r="B650" s="5" t="s">
        <v>296</v>
      </c>
      <c r="C650" s="6" t="s">
        <v>241</v>
      </c>
      <c r="E650" t="s">
        <v>0</v>
      </c>
      <c r="K650" s="6">
        <v>800780</v>
      </c>
      <c r="L650" s="39">
        <v>45962</v>
      </c>
      <c r="M650" s="6"/>
      <c r="N650" s="2" t="s">
        <v>300</v>
      </c>
      <c r="O650" s="6"/>
      <c r="P650" s="48" t="s">
        <v>299</v>
      </c>
      <c r="Q650" s="6">
        <v>11197</v>
      </c>
      <c r="R650" s="6">
        <v>27197</v>
      </c>
      <c r="S650" s="4" t="s">
        <v>259</v>
      </c>
      <c r="T650" t="s">
        <v>258</v>
      </c>
      <c r="V650" t="s">
        <v>298</v>
      </c>
      <c r="W650" s="5" t="s">
        <v>232</v>
      </c>
      <c r="X650" s="5" t="s">
        <v>17</v>
      </c>
      <c r="Y650" t="s">
        <v>52</v>
      </c>
      <c r="Z650" s="55" t="s">
        <v>297</v>
      </c>
      <c r="AA650" t="s">
        <v>296</v>
      </c>
      <c r="AB650" s="47">
        <v>2828000</v>
      </c>
      <c r="AC650" s="41">
        <v>2828000</v>
      </c>
      <c r="AD650" s="52" t="s">
        <v>229</v>
      </c>
      <c r="AI650" s="16">
        <v>276346.82080924854</v>
      </c>
      <c r="AK650" s="16"/>
      <c r="AL650" s="11">
        <f t="shared" si="296"/>
        <v>3104346.8208092484</v>
      </c>
      <c r="AM650" s="16">
        <f t="shared" si="297"/>
        <v>289587.19999999995</v>
      </c>
      <c r="AN650" s="16">
        <f t="shared" si="298"/>
        <v>113120</v>
      </c>
      <c r="AO650" s="16">
        <f t="shared" ref="AO650:AO696" si="315">IF(BC650=0.03,AC650*0.0624,0)</f>
        <v>176467.19999999998</v>
      </c>
      <c r="AP650" s="16">
        <f t="shared" si="299"/>
        <v>104636</v>
      </c>
      <c r="AQ650" s="16">
        <f t="shared" si="300"/>
        <v>3393934.0208092481</v>
      </c>
      <c r="AR650" s="16">
        <f t="shared" si="301"/>
        <v>203636.04124855489</v>
      </c>
      <c r="AS650" s="16">
        <f t="shared" si="302"/>
        <v>22399.964537341039</v>
      </c>
      <c r="AT650" s="16">
        <f t="shared" si="303"/>
        <v>-4072.720824971098</v>
      </c>
      <c r="AU650" s="16">
        <f t="shared" si="304"/>
        <v>3593497.3412328316</v>
      </c>
      <c r="AV650" s="16">
        <f t="shared" si="305"/>
        <v>3597570.0620578029</v>
      </c>
      <c r="AW650" s="16">
        <f t="shared" si="306"/>
        <v>113120</v>
      </c>
      <c r="AX650" s="16" t="s">
        <v>235</v>
      </c>
      <c r="AZ650" s="17">
        <f t="shared" si="314"/>
        <v>0</v>
      </c>
      <c r="BA650" s="16">
        <f t="shared" si="307"/>
        <v>2991226.8208092484</v>
      </c>
      <c r="BB650" s="16">
        <f t="shared" si="308"/>
        <v>2991226.8208092484</v>
      </c>
      <c r="BC650" s="15">
        <v>0.03</v>
      </c>
      <c r="BD650">
        <v>0.01</v>
      </c>
      <c r="BE650" s="37">
        <f t="shared" si="309"/>
        <v>261307.19999999998</v>
      </c>
      <c r="BF650" s="38">
        <f t="shared" si="310"/>
        <v>161196</v>
      </c>
      <c r="BG650" s="37">
        <f t="shared" si="287"/>
        <v>132800</v>
      </c>
      <c r="BH650" s="37">
        <f t="shared" si="311"/>
        <v>141400</v>
      </c>
      <c r="BL650" s="8">
        <f t="shared" si="312"/>
        <v>276346.82080924854</v>
      </c>
      <c r="BM650" s="7" t="str">
        <f>IF(AND(BC650=0.03,BD650=0.01),"Terdaftar BPJS Kes &amp; Naker","Tidak Terdaftar")</f>
        <v>Terdaftar BPJS Kes &amp; Naker</v>
      </c>
      <c r="BN650" s="11">
        <f t="shared" ref="BN650:BN685" si="316">AC650*5.7%</f>
        <v>161196</v>
      </c>
      <c r="BO650" s="11">
        <f>AC650*4.54%</f>
        <v>128391.20000000001</v>
      </c>
      <c r="BP650" s="9">
        <f t="shared" si="313"/>
        <v>0</v>
      </c>
      <c r="BQ650" t="s">
        <v>8</v>
      </c>
    </row>
    <row r="651" spans="1:69" x14ac:dyDescent="0.3">
      <c r="A651" s="2">
        <v>650</v>
      </c>
      <c r="B651" s="5" t="s">
        <v>295</v>
      </c>
      <c r="C651" s="6" t="s">
        <v>241</v>
      </c>
      <c r="E651" t="s">
        <v>0</v>
      </c>
      <c r="K651" s="6">
        <v>800781</v>
      </c>
      <c r="L651" s="39">
        <v>45962</v>
      </c>
      <c r="M651" s="6"/>
      <c r="N651" s="2" t="s">
        <v>294</v>
      </c>
      <c r="O651" s="6"/>
      <c r="P651" s="48" t="s">
        <v>293</v>
      </c>
      <c r="Q651" s="6">
        <v>11197</v>
      </c>
      <c r="R651" s="6">
        <v>27197</v>
      </c>
      <c r="S651" s="4" t="s">
        <v>259</v>
      </c>
      <c r="T651" t="s">
        <v>258</v>
      </c>
      <c r="V651" t="s">
        <v>292</v>
      </c>
      <c r="W651" s="5" t="s">
        <v>232</v>
      </c>
      <c r="X651" s="5" t="s">
        <v>17</v>
      </c>
      <c r="Y651" s="36" t="s">
        <v>52</v>
      </c>
      <c r="Z651" s="2">
        <v>6975675657</v>
      </c>
      <c r="AA651" t="s">
        <v>291</v>
      </c>
      <c r="AB651" s="47">
        <v>2828000</v>
      </c>
      <c r="AC651" s="41">
        <v>2828000</v>
      </c>
      <c r="AD651" s="52" t="s">
        <v>229</v>
      </c>
      <c r="AI651" s="16">
        <v>207260.11560693642</v>
      </c>
      <c r="AK651" s="16"/>
      <c r="AL651" s="11">
        <f t="shared" si="296"/>
        <v>3035260.1156069366</v>
      </c>
      <c r="AM651" s="16">
        <f t="shared" si="297"/>
        <v>289587.19999999995</v>
      </c>
      <c r="AN651" s="16">
        <f t="shared" si="298"/>
        <v>113120</v>
      </c>
      <c r="AO651" s="16">
        <f t="shared" si="315"/>
        <v>176467.19999999998</v>
      </c>
      <c r="AP651" s="16">
        <f t="shared" si="299"/>
        <v>104636</v>
      </c>
      <c r="AQ651" s="16">
        <f t="shared" si="300"/>
        <v>3324847.3156069368</v>
      </c>
      <c r="AR651" s="16">
        <f t="shared" si="301"/>
        <v>199490.8389364162</v>
      </c>
      <c r="AS651" s="16">
        <f t="shared" si="302"/>
        <v>21943.99228300578</v>
      </c>
      <c r="AT651" s="16">
        <f t="shared" si="303"/>
        <v>-3989.8167787283242</v>
      </c>
      <c r="AU651" s="16">
        <f t="shared" si="304"/>
        <v>3520348.337764625</v>
      </c>
      <c r="AV651" s="16">
        <f t="shared" si="305"/>
        <v>3524338.1545433532</v>
      </c>
      <c r="AW651" s="16">
        <f t="shared" si="306"/>
        <v>113120</v>
      </c>
      <c r="AX651" s="16" t="s">
        <v>235</v>
      </c>
      <c r="AZ651" s="17">
        <f t="shared" si="314"/>
        <v>0</v>
      </c>
      <c r="BA651" s="16">
        <f t="shared" si="307"/>
        <v>2922140.1156069366</v>
      </c>
      <c r="BB651" s="16">
        <f t="shared" si="308"/>
        <v>2922140.1156069366</v>
      </c>
      <c r="BC651" s="15">
        <v>0.03</v>
      </c>
      <c r="BD651">
        <v>0.01</v>
      </c>
      <c r="BE651" s="37">
        <f t="shared" si="309"/>
        <v>261307.19999999998</v>
      </c>
      <c r="BF651" s="38">
        <f t="shared" si="310"/>
        <v>161196</v>
      </c>
      <c r="BG651" s="37">
        <f t="shared" si="287"/>
        <v>132800</v>
      </c>
      <c r="BH651" s="37">
        <f t="shared" si="311"/>
        <v>141400</v>
      </c>
      <c r="BL651" s="8">
        <f t="shared" si="312"/>
        <v>207260.11560693642</v>
      </c>
      <c r="BM651" s="7" t="str">
        <f>IF(AND(BC651=0.03,BD651=0.01),"Terdaftar BPJS Kes &amp; Naker","Tidak Terdaftar")</f>
        <v>Terdaftar BPJS Kes &amp; Naker</v>
      </c>
      <c r="BN651" s="11">
        <f t="shared" si="316"/>
        <v>161196</v>
      </c>
      <c r="BO651" s="11">
        <f>AC651*4.54%</f>
        <v>128391.20000000001</v>
      </c>
      <c r="BP651" s="9">
        <f t="shared" si="313"/>
        <v>0</v>
      </c>
      <c r="BQ651" t="s">
        <v>8</v>
      </c>
    </row>
    <row r="652" spans="1:69" x14ac:dyDescent="0.3">
      <c r="A652" s="2">
        <v>651</v>
      </c>
      <c r="B652" s="5" t="s">
        <v>290</v>
      </c>
      <c r="C652" s="6" t="s">
        <v>241</v>
      </c>
      <c r="E652" t="s">
        <v>0</v>
      </c>
      <c r="I652" t="s">
        <v>249</v>
      </c>
      <c r="K652" s="6">
        <v>800782</v>
      </c>
      <c r="L652" s="39">
        <v>45962</v>
      </c>
      <c r="M652" s="6"/>
      <c r="N652" s="2" t="e">
        <v>#N/A</v>
      </c>
      <c r="O652" s="6"/>
      <c r="P652" s="48" t="s">
        <v>289</v>
      </c>
      <c r="Q652" s="6">
        <v>11197</v>
      </c>
      <c r="R652" s="6">
        <v>27197</v>
      </c>
      <c r="S652" s="4" t="s">
        <v>259</v>
      </c>
      <c r="T652" t="s">
        <v>258</v>
      </c>
      <c r="V652" t="s">
        <v>288</v>
      </c>
      <c r="W652" s="5" t="s">
        <v>232</v>
      </c>
      <c r="X652" s="5" t="s">
        <v>17</v>
      </c>
      <c r="Y652" t="s">
        <v>52</v>
      </c>
      <c r="Z652" s="2">
        <v>4561454641</v>
      </c>
      <c r="AA652" t="s">
        <v>287</v>
      </c>
      <c r="AB652" s="47">
        <v>2828000</v>
      </c>
      <c r="AC652" s="41">
        <v>2828000</v>
      </c>
      <c r="AD652" s="52" t="s">
        <v>229</v>
      </c>
      <c r="AI652" s="16">
        <v>207260.11560693642</v>
      </c>
      <c r="AK652" s="16"/>
      <c r="AL652" s="11">
        <f t="shared" si="296"/>
        <v>3035260.1156069366</v>
      </c>
      <c r="AM652" s="16">
        <f t="shared" si="297"/>
        <v>176467.19999999998</v>
      </c>
      <c r="AN652" s="16">
        <f t="shared" si="298"/>
        <v>0</v>
      </c>
      <c r="AO652" s="16">
        <f t="shared" si="315"/>
        <v>176467.19999999998</v>
      </c>
      <c r="AP652" s="16">
        <f t="shared" si="299"/>
        <v>104636</v>
      </c>
      <c r="AQ652" s="16">
        <f t="shared" si="300"/>
        <v>3211727.3156069368</v>
      </c>
      <c r="AR652" s="16">
        <f t="shared" si="301"/>
        <v>192703.63893641619</v>
      </c>
      <c r="AS652" s="16">
        <f t="shared" si="302"/>
        <v>21197.40028300578</v>
      </c>
      <c r="AT652" s="16">
        <f t="shared" si="303"/>
        <v>-3854.072778728324</v>
      </c>
      <c r="AU652" s="16">
        <f t="shared" si="304"/>
        <v>3400576.8817646247</v>
      </c>
      <c r="AV652" s="16">
        <f t="shared" si="305"/>
        <v>3404430.9545433531</v>
      </c>
      <c r="AW652" s="16">
        <f t="shared" si="306"/>
        <v>84840</v>
      </c>
      <c r="AX652" s="16" t="s">
        <v>286</v>
      </c>
      <c r="AZ652" s="17">
        <f t="shared" si="314"/>
        <v>0</v>
      </c>
      <c r="BA652" s="16">
        <f t="shared" si="307"/>
        <v>2950420.1156069366</v>
      </c>
      <c r="BB652" s="16">
        <f t="shared" si="308"/>
        <v>2950420.1156069366</v>
      </c>
      <c r="BC652" s="15">
        <v>0.03</v>
      </c>
      <c r="BE652" s="37">
        <f t="shared" si="309"/>
        <v>261307.19999999998</v>
      </c>
      <c r="BF652" s="38">
        <f t="shared" si="310"/>
        <v>161196</v>
      </c>
      <c r="BG652" s="37">
        <f t="shared" si="287"/>
        <v>132800</v>
      </c>
      <c r="BH652" s="37">
        <f t="shared" si="311"/>
        <v>0</v>
      </c>
      <c r="BL652" s="8">
        <f t="shared" si="312"/>
        <v>207260.11560693642</v>
      </c>
      <c r="BM652" s="7" t="s">
        <v>242</v>
      </c>
      <c r="BN652" s="11">
        <f t="shared" si="316"/>
        <v>161196</v>
      </c>
      <c r="BO652" s="10">
        <f>AB652*0.54%</f>
        <v>15271.2</v>
      </c>
      <c r="BP652" s="9">
        <f t="shared" si="313"/>
        <v>-1.8189894035458565E-11</v>
      </c>
      <c r="BQ652" t="s">
        <v>8</v>
      </c>
    </row>
    <row r="653" spans="1:69" x14ac:dyDescent="0.3">
      <c r="A653" s="2">
        <v>652</v>
      </c>
      <c r="B653" s="5" t="s">
        <v>281</v>
      </c>
      <c r="C653" s="6" t="s">
        <v>241</v>
      </c>
      <c r="E653" t="s">
        <v>0</v>
      </c>
      <c r="K653" s="6">
        <v>800784</v>
      </c>
      <c r="L653" s="39">
        <v>45962</v>
      </c>
      <c r="M653" s="6"/>
      <c r="N653" s="2" t="s">
        <v>285</v>
      </c>
      <c r="O653" s="6"/>
      <c r="P653" s="48" t="s">
        <v>284</v>
      </c>
      <c r="Q653" s="6">
        <v>11197</v>
      </c>
      <c r="R653" s="6">
        <v>27197</v>
      </c>
      <c r="S653" s="4" t="s">
        <v>259</v>
      </c>
      <c r="T653" t="s">
        <v>258</v>
      </c>
      <c r="V653" t="s">
        <v>283</v>
      </c>
      <c r="W653" s="5" t="s">
        <v>232</v>
      </c>
      <c r="X653" s="5" t="s">
        <v>17</v>
      </c>
      <c r="Y653" t="s">
        <v>52</v>
      </c>
      <c r="Z653" s="55" t="s">
        <v>282</v>
      </c>
      <c r="AA653" t="s">
        <v>281</v>
      </c>
      <c r="AB653" s="47">
        <v>2828000</v>
      </c>
      <c r="AC653" s="41">
        <v>2828000</v>
      </c>
      <c r="AD653" s="52" t="s">
        <v>229</v>
      </c>
      <c r="AI653" s="16">
        <v>61410.404624277457</v>
      </c>
      <c r="AK653" s="16"/>
      <c r="AL653" s="11">
        <f t="shared" si="296"/>
        <v>2889410.4046242773</v>
      </c>
      <c r="AM653" s="16">
        <f t="shared" si="297"/>
        <v>289587.19999999995</v>
      </c>
      <c r="AN653" s="16">
        <f t="shared" si="298"/>
        <v>113120</v>
      </c>
      <c r="AO653" s="16">
        <f t="shared" si="315"/>
        <v>176467.19999999998</v>
      </c>
      <c r="AP653" s="16">
        <f t="shared" si="299"/>
        <v>104636</v>
      </c>
      <c r="AQ653" s="16">
        <f t="shared" si="300"/>
        <v>3178997.604624277</v>
      </c>
      <c r="AR653" s="16">
        <f t="shared" si="301"/>
        <v>190739.85627745662</v>
      </c>
      <c r="AS653" s="16">
        <f t="shared" si="302"/>
        <v>20981.384190520228</v>
      </c>
      <c r="AT653" s="16">
        <f t="shared" si="303"/>
        <v>-3814.7971255491325</v>
      </c>
      <c r="AU653" s="16">
        <f t="shared" si="304"/>
        <v>3365922.6637761844</v>
      </c>
      <c r="AV653" s="16">
        <f t="shared" si="305"/>
        <v>3369737.4609017335</v>
      </c>
      <c r="AW653" s="16">
        <f t="shared" si="306"/>
        <v>113120</v>
      </c>
      <c r="AX653" s="16" t="s">
        <v>235</v>
      </c>
      <c r="AZ653" s="17">
        <f t="shared" si="314"/>
        <v>0</v>
      </c>
      <c r="BA653" s="16">
        <f t="shared" si="307"/>
        <v>2776290.4046242773</v>
      </c>
      <c r="BB653" s="16">
        <f t="shared" si="308"/>
        <v>2776290.4046242773</v>
      </c>
      <c r="BC653" s="15">
        <v>0.03</v>
      </c>
      <c r="BD653">
        <v>0.01</v>
      </c>
      <c r="BE653" s="37">
        <f t="shared" si="309"/>
        <v>261307.19999999998</v>
      </c>
      <c r="BF653" s="38">
        <f t="shared" si="310"/>
        <v>161196</v>
      </c>
      <c r="BG653" s="37">
        <f t="shared" si="287"/>
        <v>132800</v>
      </c>
      <c r="BH653" s="37">
        <f t="shared" si="311"/>
        <v>141400</v>
      </c>
      <c r="BL653" s="8">
        <f t="shared" si="312"/>
        <v>61410.404624277457</v>
      </c>
      <c r="BM653" s="7" t="str">
        <f>IF(AND(BC653=0.03,BD653=0.01),"Terdaftar BPJS Kes &amp; Naker","Tidak Terdaftar")</f>
        <v>Terdaftar BPJS Kes &amp; Naker</v>
      </c>
      <c r="BN653" s="11">
        <f t="shared" si="316"/>
        <v>161196</v>
      </c>
      <c r="BO653" s="11">
        <f>AC653*4.54%</f>
        <v>128391.20000000001</v>
      </c>
      <c r="BP653" s="9">
        <f t="shared" si="313"/>
        <v>0</v>
      </c>
      <c r="BQ653" t="s">
        <v>8</v>
      </c>
    </row>
    <row r="654" spans="1:69" x14ac:dyDescent="0.3">
      <c r="A654" s="2">
        <v>653</v>
      </c>
      <c r="B654" s="5" t="s">
        <v>277</v>
      </c>
      <c r="C654" s="6" t="s">
        <v>241</v>
      </c>
      <c r="K654" s="6">
        <v>800785</v>
      </c>
      <c r="L654" s="39">
        <v>45962</v>
      </c>
      <c r="M654" s="6"/>
      <c r="N654" s="2" t="s">
        <v>280</v>
      </c>
      <c r="O654" s="6"/>
      <c r="P654" s="48" t="s">
        <v>279</v>
      </c>
      <c r="Q654" s="6">
        <v>99090</v>
      </c>
      <c r="R654" s="6">
        <v>27004</v>
      </c>
      <c r="S654" s="5" t="str">
        <f>VLOOKUP(T654,'[1]Kode Posisi'!$A$3:$B$45,2,)</f>
        <v>Outsourcing Penjualan</v>
      </c>
      <c r="T654" t="s">
        <v>272</v>
      </c>
      <c r="V654" t="s">
        <v>278</v>
      </c>
      <c r="W654" s="5" t="s">
        <v>23</v>
      </c>
      <c r="X654" s="36" t="s">
        <v>23</v>
      </c>
      <c r="Y654" t="s">
        <v>52</v>
      </c>
      <c r="Z654" s="2">
        <v>7615004847</v>
      </c>
      <c r="AA654" t="s">
        <v>277</v>
      </c>
      <c r="AB654" s="3">
        <v>4975000</v>
      </c>
      <c r="AC654" s="3">
        <v>4975000</v>
      </c>
      <c r="AD654" s="52" t="s">
        <v>276</v>
      </c>
      <c r="AI654" s="16">
        <v>0</v>
      </c>
      <c r="AK654" s="16"/>
      <c r="AL654" s="11">
        <f t="shared" si="296"/>
        <v>4975000</v>
      </c>
      <c r="AM654" s="16">
        <f t="shared" si="297"/>
        <v>509440</v>
      </c>
      <c r="AN654" s="16">
        <f t="shared" si="298"/>
        <v>199000</v>
      </c>
      <c r="AO654" s="16">
        <f t="shared" si="315"/>
        <v>310440</v>
      </c>
      <c r="AP654" s="16">
        <f t="shared" si="299"/>
        <v>184075</v>
      </c>
      <c r="AQ654" s="16">
        <f t="shared" si="300"/>
        <v>5484440</v>
      </c>
      <c r="AR654" s="16">
        <f t="shared" si="301"/>
        <v>329066.39999999997</v>
      </c>
      <c r="AS654" s="16">
        <f t="shared" si="302"/>
        <v>36197.303999999996</v>
      </c>
      <c r="AT654" s="16">
        <f t="shared" si="303"/>
        <v>-6581.3279999999995</v>
      </c>
      <c r="AU654" s="16">
        <f t="shared" si="304"/>
        <v>5806925.0720000006</v>
      </c>
      <c r="AV654" s="16">
        <f t="shared" si="305"/>
        <v>5813506.4000000004</v>
      </c>
      <c r="AW654" s="16">
        <f t="shared" si="306"/>
        <v>199000</v>
      </c>
      <c r="AX654" s="16" t="s">
        <v>235</v>
      </c>
      <c r="AZ654" s="17">
        <f t="shared" si="314"/>
        <v>0</v>
      </c>
      <c r="BA654" s="16">
        <f t="shared" si="307"/>
        <v>4776000</v>
      </c>
      <c r="BB654" s="16">
        <f t="shared" si="308"/>
        <v>4776000</v>
      </c>
      <c r="BC654" s="15">
        <v>0.03</v>
      </c>
      <c r="BD654">
        <v>0.01</v>
      </c>
      <c r="BE654" s="37">
        <f t="shared" si="309"/>
        <v>459690</v>
      </c>
      <c r="BF654" s="38">
        <f t="shared" si="310"/>
        <v>283575</v>
      </c>
      <c r="BG654" s="37">
        <f t="shared" si="287"/>
        <v>248750</v>
      </c>
      <c r="BH654" s="37">
        <f t="shared" si="311"/>
        <v>248750</v>
      </c>
      <c r="BL654" s="8">
        <f t="shared" si="312"/>
        <v>0</v>
      </c>
      <c r="BM654" s="7" t="str">
        <f>IF(AND(BC654=0.03,BD654=0.01),"Terdaftar BPJS Kes &amp; Naker","Tidak Terdaftar")</f>
        <v>Terdaftar BPJS Kes &amp; Naker</v>
      </c>
      <c r="BN654" s="11">
        <f t="shared" si="316"/>
        <v>283575</v>
      </c>
      <c r="BO654" s="11">
        <f>AC654*4.54%</f>
        <v>225865</v>
      </c>
      <c r="BP654" s="9">
        <f t="shared" si="313"/>
        <v>0</v>
      </c>
      <c r="BQ654" t="str">
        <f>_xlfn.XLOOKUP(X654,'[2]NON TETAP'!$H:$H,'[2]NON TETAP'!$I:$I)</f>
        <v>GLOBAL LINTAS KARYA UTAMA</v>
      </c>
    </row>
    <row r="655" spans="1:69" x14ac:dyDescent="0.3">
      <c r="A655" s="2">
        <v>654</v>
      </c>
      <c r="B655" s="5" t="s">
        <v>275</v>
      </c>
      <c r="C655" s="6" t="s">
        <v>241</v>
      </c>
      <c r="K655" s="6">
        <v>800787</v>
      </c>
      <c r="L655" s="39">
        <v>45962</v>
      </c>
      <c r="M655" s="6"/>
      <c r="N655" s="2" t="s">
        <v>274</v>
      </c>
      <c r="O655" s="6"/>
      <c r="P655" s="48" t="s">
        <v>273</v>
      </c>
      <c r="Q655" s="6">
        <v>99090</v>
      </c>
      <c r="R655" s="6">
        <v>27004</v>
      </c>
      <c r="S655" s="5" t="str">
        <f>VLOOKUP(T655,'[1]Kode Posisi'!$A$3:$B$45,2,)</f>
        <v>Outsourcing Penjualan</v>
      </c>
      <c r="T655" t="s">
        <v>272</v>
      </c>
      <c r="V655" t="s">
        <v>271</v>
      </c>
      <c r="W655" s="5" t="s">
        <v>23</v>
      </c>
      <c r="X655" s="36" t="s">
        <v>23</v>
      </c>
      <c r="Y655" t="s">
        <v>52</v>
      </c>
      <c r="Z655" s="2">
        <v>1711551218</v>
      </c>
      <c r="AA655" t="s">
        <v>270</v>
      </c>
      <c r="AB655" s="3">
        <v>3600000</v>
      </c>
      <c r="AC655" s="3">
        <v>3600000</v>
      </c>
      <c r="AD655" s="52" t="s">
        <v>213</v>
      </c>
      <c r="AI655" s="16">
        <v>0</v>
      </c>
      <c r="AK655" s="16"/>
      <c r="AL655" s="11">
        <f t="shared" si="296"/>
        <v>3600000</v>
      </c>
      <c r="AM655" s="16">
        <f t="shared" si="297"/>
        <v>368640</v>
      </c>
      <c r="AN655" s="16">
        <f t="shared" si="298"/>
        <v>144000</v>
      </c>
      <c r="AO655" s="16">
        <f t="shared" si="315"/>
        <v>224640</v>
      </c>
      <c r="AP655" s="16">
        <f t="shared" si="299"/>
        <v>133200</v>
      </c>
      <c r="AQ655" s="16">
        <f t="shared" si="300"/>
        <v>3968640</v>
      </c>
      <c r="AR655" s="16">
        <f t="shared" si="301"/>
        <v>238118.39999999999</v>
      </c>
      <c r="AS655" s="16">
        <f t="shared" si="302"/>
        <v>26193.024000000001</v>
      </c>
      <c r="AT655" s="16">
        <f t="shared" si="303"/>
        <v>-4762.3680000000004</v>
      </c>
      <c r="AU655" s="16">
        <f t="shared" si="304"/>
        <v>4201996.0320000006</v>
      </c>
      <c r="AV655" s="16">
        <f t="shared" si="305"/>
        <v>4206758.4000000004</v>
      </c>
      <c r="AW655" s="16">
        <f t="shared" si="306"/>
        <v>144000</v>
      </c>
      <c r="AX655" s="16" t="s">
        <v>235</v>
      </c>
      <c r="AZ655" s="17">
        <f t="shared" si="314"/>
        <v>0</v>
      </c>
      <c r="BA655" s="16">
        <f t="shared" si="307"/>
        <v>3456000</v>
      </c>
      <c r="BB655" s="16">
        <f t="shared" si="308"/>
        <v>3456000</v>
      </c>
      <c r="BC655" s="15">
        <v>0.03</v>
      </c>
      <c r="BD655">
        <v>0.01</v>
      </c>
      <c r="BE655" s="37">
        <f t="shared" si="309"/>
        <v>332640</v>
      </c>
      <c r="BF655" s="38">
        <f t="shared" si="310"/>
        <v>205200</v>
      </c>
      <c r="BG655" s="37">
        <f t="shared" si="287"/>
        <v>180000</v>
      </c>
      <c r="BH655" s="37">
        <f t="shared" si="311"/>
        <v>180000</v>
      </c>
      <c r="BL655" s="8">
        <f t="shared" si="312"/>
        <v>0</v>
      </c>
      <c r="BM655" s="7" t="str">
        <f>IF(AND(BC655=0.03,BD655=0.01),"Terdaftar BPJS Kes &amp; Naker","Tidak Terdaftar")</f>
        <v>Terdaftar BPJS Kes &amp; Naker</v>
      </c>
      <c r="BN655" s="11">
        <f t="shared" si="316"/>
        <v>205200</v>
      </c>
      <c r="BO655" s="11">
        <f>AC655*4.54%</f>
        <v>163440</v>
      </c>
      <c r="BP655" s="9">
        <f t="shared" si="313"/>
        <v>0</v>
      </c>
      <c r="BQ655" t="str">
        <f>_xlfn.XLOOKUP(X655,'[2]NON TETAP'!$H:$H,'[2]NON TETAP'!$I:$I)</f>
        <v>GLOBAL LINTAS KARYA UTAMA</v>
      </c>
    </row>
    <row r="656" spans="1:69" x14ac:dyDescent="0.3">
      <c r="A656" s="2">
        <v>655</v>
      </c>
      <c r="B656" s="5" t="s">
        <v>269</v>
      </c>
      <c r="C656" s="6" t="s">
        <v>241</v>
      </c>
      <c r="K656" s="6">
        <v>800789</v>
      </c>
      <c r="L656" s="39">
        <v>45964</v>
      </c>
      <c r="M656" s="6"/>
      <c r="N656" s="2" t="s">
        <v>268</v>
      </c>
      <c r="O656" s="6"/>
      <c r="P656" s="48" t="s">
        <v>267</v>
      </c>
      <c r="Q656" s="6">
        <v>20526</v>
      </c>
      <c r="R656" s="6">
        <v>27051</v>
      </c>
      <c r="S656" s="5" t="s">
        <v>101</v>
      </c>
      <c r="T656" t="s">
        <v>266</v>
      </c>
      <c r="V656" t="s">
        <v>265</v>
      </c>
      <c r="W656" s="5" t="s">
        <v>264</v>
      </c>
      <c r="X656" s="5" t="s">
        <v>263</v>
      </c>
      <c r="Y656" t="s">
        <v>262</v>
      </c>
      <c r="Z656" s="2">
        <v>1226997216</v>
      </c>
      <c r="AA656" t="s">
        <v>261</v>
      </c>
      <c r="AB656" s="47">
        <v>5730000</v>
      </c>
      <c r="AC656" s="41">
        <v>5730000</v>
      </c>
      <c r="AD656" s="52" t="s">
        <v>177</v>
      </c>
      <c r="AI656" s="16">
        <v>0</v>
      </c>
      <c r="AK656" s="16"/>
      <c r="AL656" s="11">
        <f t="shared" si="296"/>
        <v>5730000</v>
      </c>
      <c r="AM656" s="16">
        <f t="shared" si="297"/>
        <v>586752</v>
      </c>
      <c r="AN656" s="16">
        <f t="shared" si="298"/>
        <v>229200</v>
      </c>
      <c r="AO656" s="16">
        <f t="shared" si="315"/>
        <v>357552</v>
      </c>
      <c r="AP656" s="16">
        <f t="shared" si="299"/>
        <v>212010</v>
      </c>
      <c r="AQ656" s="16">
        <f t="shared" si="300"/>
        <v>6316752</v>
      </c>
      <c r="AR656" s="16">
        <f t="shared" si="301"/>
        <v>379005.12</v>
      </c>
      <c r="AS656" s="16">
        <f t="shared" si="302"/>
        <v>41690.563199999997</v>
      </c>
      <c r="AT656" s="16">
        <f t="shared" si="303"/>
        <v>-7580.1023999999998</v>
      </c>
      <c r="AU656" s="16">
        <f t="shared" si="304"/>
        <v>6688177.0175999999</v>
      </c>
      <c r="AV656" s="16">
        <f t="shared" si="305"/>
        <v>6695757.1200000001</v>
      </c>
      <c r="AW656" s="16">
        <f t="shared" si="306"/>
        <v>229200</v>
      </c>
      <c r="AX656" s="16" t="s">
        <v>235</v>
      </c>
      <c r="AZ656" s="17">
        <f t="shared" si="314"/>
        <v>2900</v>
      </c>
      <c r="BA656" s="16">
        <f t="shared" si="307"/>
        <v>5500800</v>
      </c>
      <c r="BB656" s="16">
        <f t="shared" si="308"/>
        <v>5497900</v>
      </c>
      <c r="BC656" s="15">
        <v>0.03</v>
      </c>
      <c r="BD656">
        <v>0.01</v>
      </c>
      <c r="BE656" s="37">
        <f t="shared" si="309"/>
        <v>529452</v>
      </c>
      <c r="BF656" s="38">
        <f t="shared" si="310"/>
        <v>326610</v>
      </c>
      <c r="BG656" s="37">
        <f t="shared" si="287"/>
        <v>269850</v>
      </c>
      <c r="BH656" s="37">
        <f t="shared" si="311"/>
        <v>286500</v>
      </c>
      <c r="BL656" s="8">
        <f t="shared" si="312"/>
        <v>0</v>
      </c>
      <c r="BM656" s="7" t="str">
        <f>IF(AND(BC656=0.03,BD656=0.01),"Terdaftar BPJS Kes &amp; Naker","Tidak Terdaftar")</f>
        <v>Terdaftar BPJS Kes &amp; Naker</v>
      </c>
      <c r="BN656" s="11">
        <f t="shared" si="316"/>
        <v>326610</v>
      </c>
      <c r="BO656" s="11">
        <f>AC656*4.54%</f>
        <v>260142.00000000003</v>
      </c>
      <c r="BP656" s="9">
        <f t="shared" si="313"/>
        <v>0</v>
      </c>
      <c r="BQ656" t="str">
        <f>_xlfn.XLOOKUP(X656,'[2]NON TETAP'!$H:$H,'[2]NON TETAP'!$I:$I)</f>
        <v>GRAMEDIA PUSTAKA UTAMA</v>
      </c>
    </row>
    <row r="657" spans="1:69" x14ac:dyDescent="0.3">
      <c r="A657" s="2">
        <v>656</v>
      </c>
      <c r="B657" s="5" t="s">
        <v>256</v>
      </c>
      <c r="C657" s="6" t="s">
        <v>241</v>
      </c>
      <c r="E657" t="s">
        <v>0</v>
      </c>
      <c r="I657" t="s">
        <v>249</v>
      </c>
      <c r="K657" s="6">
        <v>800757</v>
      </c>
      <c r="L657" s="39">
        <v>45962</v>
      </c>
      <c r="M657" s="6"/>
      <c r="N657" s="2" t="e">
        <v>#N/A</v>
      </c>
      <c r="O657" s="6"/>
      <c r="P657" s="48" t="s">
        <v>260</v>
      </c>
      <c r="Q657" s="6">
        <v>11197</v>
      </c>
      <c r="R657" s="6">
        <v>27197</v>
      </c>
      <c r="S657" s="5" t="s">
        <v>259</v>
      </c>
      <c r="T657" t="s">
        <v>258</v>
      </c>
      <c r="V657" t="s">
        <v>257</v>
      </c>
      <c r="W657" s="5" t="s">
        <v>232</v>
      </c>
      <c r="X657" s="5" t="s">
        <v>17</v>
      </c>
      <c r="Y657" t="s">
        <v>52</v>
      </c>
      <c r="Z657" s="2">
        <v>8611102836</v>
      </c>
      <c r="AA657" t="s">
        <v>256</v>
      </c>
      <c r="AB657" s="47">
        <v>2828000</v>
      </c>
      <c r="AC657" s="41">
        <v>2828000</v>
      </c>
      <c r="AD657" s="52" t="s">
        <v>229</v>
      </c>
      <c r="AI657" s="16">
        <v>30705.202312138728</v>
      </c>
      <c r="AK657" s="16"/>
      <c r="AL657" s="11">
        <f t="shared" si="296"/>
        <v>2858705.2023121389</v>
      </c>
      <c r="AM657" s="16">
        <f t="shared" si="297"/>
        <v>176467.19999999998</v>
      </c>
      <c r="AN657" s="16">
        <f t="shared" si="298"/>
        <v>0</v>
      </c>
      <c r="AO657" s="16">
        <f t="shared" si="315"/>
        <v>176467.19999999998</v>
      </c>
      <c r="AP657" s="16">
        <f t="shared" si="299"/>
        <v>104636</v>
      </c>
      <c r="AQ657" s="16">
        <f t="shared" si="300"/>
        <v>3035172.402312139</v>
      </c>
      <c r="AR657" s="16">
        <f t="shared" si="301"/>
        <v>182110.34413872834</v>
      </c>
      <c r="AS657" s="16">
        <f t="shared" si="302"/>
        <v>20032.137855260116</v>
      </c>
      <c r="AT657" s="16">
        <f t="shared" si="303"/>
        <v>-3642.206882774567</v>
      </c>
      <c r="AU657" s="16">
        <f t="shared" si="304"/>
        <v>3213640.5395680931</v>
      </c>
      <c r="AV657" s="16">
        <f t="shared" si="305"/>
        <v>3217282.7464508675</v>
      </c>
      <c r="AW657" s="16">
        <f t="shared" si="306"/>
        <v>84840</v>
      </c>
      <c r="AX657" s="16" t="s">
        <v>235</v>
      </c>
      <c r="AZ657" s="17">
        <f t="shared" si="314"/>
        <v>0</v>
      </c>
      <c r="BA657" s="16">
        <f t="shared" si="307"/>
        <v>2773865.2023121389</v>
      </c>
      <c r="BB657" s="16">
        <f t="shared" si="308"/>
        <v>2773865.2023121389</v>
      </c>
      <c r="BC657" s="15">
        <v>0.03</v>
      </c>
      <c r="BE657" s="37">
        <f t="shared" si="309"/>
        <v>261307.19999999998</v>
      </c>
      <c r="BF657" s="38">
        <f t="shared" si="310"/>
        <v>161196</v>
      </c>
      <c r="BG657" s="37">
        <f t="shared" si="287"/>
        <v>132800</v>
      </c>
      <c r="BH657" s="37">
        <f t="shared" si="311"/>
        <v>0</v>
      </c>
      <c r="BL657" s="8">
        <f t="shared" si="312"/>
        <v>30705.202312138728</v>
      </c>
      <c r="BM657" s="7" t="s">
        <v>242</v>
      </c>
      <c r="BN657" s="11">
        <f t="shared" si="316"/>
        <v>161196</v>
      </c>
      <c r="BO657" s="10">
        <f>AB657*0.54%</f>
        <v>15271.2</v>
      </c>
      <c r="BP657" s="9">
        <f t="shared" si="313"/>
        <v>-1.8189894035458565E-11</v>
      </c>
      <c r="BQ657" t="s">
        <v>8</v>
      </c>
    </row>
    <row r="658" spans="1:69" x14ac:dyDescent="0.3">
      <c r="A658" s="2">
        <v>657</v>
      </c>
      <c r="B658" s="5" t="s">
        <v>251</v>
      </c>
      <c r="C658" s="6" t="s">
        <v>241</v>
      </c>
      <c r="I658" t="s">
        <v>249</v>
      </c>
      <c r="J658" t="s">
        <v>255</v>
      </c>
      <c r="K658" s="6">
        <v>800791</v>
      </c>
      <c r="L658" s="39">
        <v>45962</v>
      </c>
      <c r="M658" s="6"/>
      <c r="N658" s="2" t="e">
        <v>#N/A</v>
      </c>
      <c r="O658" s="6"/>
      <c r="P658" s="48" t="s">
        <v>254</v>
      </c>
      <c r="Q658" s="6">
        <v>10137</v>
      </c>
      <c r="R658" s="6">
        <v>27137</v>
      </c>
      <c r="S658" s="5" t="str">
        <f>VLOOKUP(T658,'[1]Kode Posisi'!$A$3:$B$45,2,)</f>
        <v>Outsourcing Keamanan</v>
      </c>
      <c r="T658" t="s">
        <v>253</v>
      </c>
      <c r="V658" t="s">
        <v>252</v>
      </c>
      <c r="W658" s="36" t="s">
        <v>135</v>
      </c>
      <c r="X658" s="36" t="s">
        <v>135</v>
      </c>
      <c r="Y658" t="s">
        <v>52</v>
      </c>
      <c r="Z658" s="2">
        <v>7215459616</v>
      </c>
      <c r="AA658" t="s">
        <v>251</v>
      </c>
      <c r="AB658" s="47">
        <v>3856000</v>
      </c>
      <c r="AC658" s="41">
        <v>3856000</v>
      </c>
      <c r="AD658" s="52" t="s">
        <v>213</v>
      </c>
      <c r="AI658" s="16">
        <v>0</v>
      </c>
      <c r="AK658" s="16">
        <v>662240</v>
      </c>
      <c r="AL658" s="11">
        <f t="shared" si="296"/>
        <v>3193760</v>
      </c>
      <c r="AM658" s="16">
        <f t="shared" si="297"/>
        <v>240614.39999999999</v>
      </c>
      <c r="AN658" s="16">
        <f t="shared" si="298"/>
        <v>0</v>
      </c>
      <c r="AO658" s="16">
        <f t="shared" si="315"/>
        <v>240614.39999999999</v>
      </c>
      <c r="AP658" s="16">
        <f t="shared" si="299"/>
        <v>142672</v>
      </c>
      <c r="AQ658" s="16">
        <f t="shared" si="300"/>
        <v>3434374.4</v>
      </c>
      <c r="AR658" s="16">
        <f t="shared" si="301"/>
        <v>206062.46399999998</v>
      </c>
      <c r="AS658" s="16">
        <f t="shared" si="302"/>
        <v>22666.871039999998</v>
      </c>
      <c r="AT658" s="16">
        <f t="shared" si="303"/>
        <v>-4121.24928</v>
      </c>
      <c r="AU658" s="16">
        <f t="shared" si="304"/>
        <v>3636315.61472</v>
      </c>
      <c r="AV658" s="16">
        <f t="shared" si="305"/>
        <v>3640436.8640000001</v>
      </c>
      <c r="AW658" s="16">
        <f t="shared" si="306"/>
        <v>115680</v>
      </c>
      <c r="AX658" s="16" t="s">
        <v>235</v>
      </c>
      <c r="AZ658" s="17">
        <f t="shared" si="314"/>
        <v>0</v>
      </c>
      <c r="BA658" s="16">
        <f t="shared" si="307"/>
        <v>3078080</v>
      </c>
      <c r="BB658" s="16">
        <f t="shared" si="308"/>
        <v>3078080</v>
      </c>
      <c r="BC658" s="15">
        <v>0.03</v>
      </c>
      <c r="BE658" s="37">
        <f t="shared" si="309"/>
        <v>356294.39999999997</v>
      </c>
      <c r="BF658" s="38">
        <f t="shared" si="310"/>
        <v>219792</v>
      </c>
      <c r="BG658" s="37">
        <f t="shared" si="287"/>
        <v>180000</v>
      </c>
      <c r="BH658" s="37">
        <f t="shared" si="311"/>
        <v>0</v>
      </c>
      <c r="BL658" s="8">
        <f t="shared" si="312"/>
        <v>-662240</v>
      </c>
      <c r="BM658" s="7" t="s">
        <v>242</v>
      </c>
      <c r="BN658" s="11">
        <f t="shared" si="316"/>
        <v>219792</v>
      </c>
      <c r="BO658" s="10">
        <f>AB658*0.54%</f>
        <v>20822.400000000001</v>
      </c>
      <c r="BP658" s="9">
        <f t="shared" si="313"/>
        <v>0</v>
      </c>
      <c r="BQ658" t="str">
        <f>_xlfn.XLOOKUP(X658,'[2]NON TETAP'!$H:$H,'[2]NON TETAP'!$I:$I)</f>
        <v>GRAMEDIA ASRI MEDIA</v>
      </c>
    </row>
    <row r="659" spans="1:69" x14ac:dyDescent="0.3">
      <c r="A659" s="2">
        <v>658</v>
      </c>
      <c r="B659" s="5" t="s">
        <v>250</v>
      </c>
      <c r="C659" s="6" t="s">
        <v>241</v>
      </c>
      <c r="I659" t="s">
        <v>249</v>
      </c>
      <c r="K659" s="6">
        <v>800792</v>
      </c>
      <c r="L659" s="39">
        <v>45957</v>
      </c>
      <c r="M659" s="6"/>
      <c r="N659" s="2" t="e">
        <v>#N/A</v>
      </c>
      <c r="O659" s="6"/>
      <c r="P659" s="48" t="s">
        <v>248</v>
      </c>
      <c r="Q659" s="6">
        <v>18104</v>
      </c>
      <c r="R659" s="6">
        <v>27190</v>
      </c>
      <c r="S659" s="5" t="str">
        <f>VLOOKUP(T659,'[1]Kode Posisi'!$A$3:$B$45,2,)</f>
        <v>Outsourcing Petugas Pemeliharaan Gedung</v>
      </c>
      <c r="T659" s="36" t="s">
        <v>247</v>
      </c>
      <c r="V659" t="s">
        <v>246</v>
      </c>
      <c r="W659" s="36" t="s">
        <v>135</v>
      </c>
      <c r="X659" s="36" t="s">
        <v>245</v>
      </c>
      <c r="Y659" t="s">
        <v>52</v>
      </c>
      <c r="Z659" s="2">
        <v>512775029</v>
      </c>
      <c r="AA659" t="s">
        <v>244</v>
      </c>
      <c r="AB659" s="47">
        <v>3856000</v>
      </c>
      <c r="AC659" s="41">
        <v>3856000</v>
      </c>
      <c r="AD659" s="52" t="s">
        <v>213</v>
      </c>
      <c r="AI659" s="16">
        <v>0</v>
      </c>
      <c r="AK659" s="16"/>
      <c r="AL659" s="11">
        <f t="shared" si="296"/>
        <v>3856000</v>
      </c>
      <c r="AM659" s="16">
        <f t="shared" si="297"/>
        <v>240614.39999999999</v>
      </c>
      <c r="AN659" s="16">
        <f t="shared" si="298"/>
        <v>0</v>
      </c>
      <c r="AO659" s="16">
        <f t="shared" si="315"/>
        <v>240614.39999999999</v>
      </c>
      <c r="AP659" s="16">
        <f t="shared" si="299"/>
        <v>142672</v>
      </c>
      <c r="AQ659" s="16">
        <f t="shared" si="300"/>
        <v>4096614.3999999999</v>
      </c>
      <c r="AR659" s="16">
        <f t="shared" si="301"/>
        <v>245796.86399999997</v>
      </c>
      <c r="AS659" s="16">
        <f t="shared" si="302"/>
        <v>27037.655039999998</v>
      </c>
      <c r="AT659" s="16">
        <f t="shared" si="303"/>
        <v>-4915.9372799999992</v>
      </c>
      <c r="AU659" s="16">
        <f t="shared" si="304"/>
        <v>4337495.3267199993</v>
      </c>
      <c r="AV659" s="16">
        <f t="shared" si="305"/>
        <v>4342411.2639999995</v>
      </c>
      <c r="AW659" s="16">
        <f t="shared" si="306"/>
        <v>115680</v>
      </c>
      <c r="AX659" s="16" t="s">
        <v>243</v>
      </c>
      <c r="AZ659" s="17">
        <f t="shared" si="314"/>
        <v>0</v>
      </c>
      <c r="BA659" s="16">
        <f t="shared" si="307"/>
        <v>3740320</v>
      </c>
      <c r="BB659" s="16">
        <f t="shared" si="308"/>
        <v>3740320</v>
      </c>
      <c r="BC659" s="15">
        <v>0.03</v>
      </c>
      <c r="BE659" s="37">
        <f t="shared" si="309"/>
        <v>356294.39999999997</v>
      </c>
      <c r="BF659" s="38">
        <f t="shared" si="310"/>
        <v>219792</v>
      </c>
      <c r="BG659" s="37">
        <f t="shared" si="287"/>
        <v>180000</v>
      </c>
      <c r="BH659" s="37">
        <f t="shared" si="311"/>
        <v>0</v>
      </c>
      <c r="BL659" s="8">
        <f t="shared" si="312"/>
        <v>0</v>
      </c>
      <c r="BM659" s="7" t="s">
        <v>242</v>
      </c>
      <c r="BN659" s="11">
        <f t="shared" si="316"/>
        <v>219792</v>
      </c>
      <c r="BO659" s="10">
        <f>AB659*0.54%</f>
        <v>20822.400000000001</v>
      </c>
      <c r="BP659" s="9">
        <f t="shared" si="313"/>
        <v>0</v>
      </c>
      <c r="BQ659" t="s">
        <v>8</v>
      </c>
    </row>
    <row r="660" spans="1:69" x14ac:dyDescent="0.3">
      <c r="A660" s="2">
        <v>659</v>
      </c>
      <c r="B660" s="5" t="s">
        <v>236</v>
      </c>
      <c r="C660" s="6" t="s">
        <v>241</v>
      </c>
      <c r="K660" s="6">
        <v>800793</v>
      </c>
      <c r="L660" s="39">
        <v>45962</v>
      </c>
      <c r="M660" s="6"/>
      <c r="N660" s="2" t="s">
        <v>240</v>
      </c>
      <c r="O660" s="6"/>
      <c r="P660" s="48" t="s">
        <v>239</v>
      </c>
      <c r="Q660" s="6">
        <v>33086</v>
      </c>
      <c r="R660" s="6">
        <v>27521</v>
      </c>
      <c r="S660" s="5" t="s">
        <v>101</v>
      </c>
      <c r="T660" t="s">
        <v>238</v>
      </c>
      <c r="V660" t="s">
        <v>237</v>
      </c>
      <c r="W660" s="5" t="s">
        <v>25</v>
      </c>
      <c r="X660" s="5" t="s">
        <v>25</v>
      </c>
      <c r="Y660" t="s">
        <v>52</v>
      </c>
      <c r="Z660" s="2">
        <v>6281562867</v>
      </c>
      <c r="AA660" t="s">
        <v>236</v>
      </c>
      <c r="AB660" s="47">
        <v>5730000</v>
      </c>
      <c r="AC660" s="41">
        <v>5730000</v>
      </c>
      <c r="AD660" s="52" t="s">
        <v>177</v>
      </c>
      <c r="AF660" s="16">
        <v>200000</v>
      </c>
      <c r="AI660" s="16">
        <v>0</v>
      </c>
      <c r="AK660" s="16"/>
      <c r="AL660" s="11">
        <f t="shared" si="296"/>
        <v>5930000</v>
      </c>
      <c r="AM660" s="16">
        <f t="shared" si="297"/>
        <v>586752</v>
      </c>
      <c r="AN660" s="16">
        <f t="shared" si="298"/>
        <v>229200</v>
      </c>
      <c r="AO660" s="16">
        <f t="shared" si="315"/>
        <v>357552</v>
      </c>
      <c r="AP660" s="16">
        <f t="shared" si="299"/>
        <v>219410</v>
      </c>
      <c r="AQ660" s="16">
        <f t="shared" si="300"/>
        <v>6516752</v>
      </c>
      <c r="AR660" s="16">
        <f t="shared" si="301"/>
        <v>391005.12</v>
      </c>
      <c r="AS660" s="16">
        <f t="shared" si="302"/>
        <v>43010.563199999997</v>
      </c>
      <c r="AT660" s="16">
        <f t="shared" si="303"/>
        <v>-7820.1023999999998</v>
      </c>
      <c r="AU660" s="16">
        <f t="shared" si="304"/>
        <v>6899937.0175999999</v>
      </c>
      <c r="AV660" s="16">
        <f t="shared" si="305"/>
        <v>6907757.1200000001</v>
      </c>
      <c r="AW660" s="16">
        <f t="shared" si="306"/>
        <v>229200</v>
      </c>
      <c r="AX660" s="16" t="s">
        <v>235</v>
      </c>
      <c r="AZ660" s="17">
        <f t="shared" si="314"/>
        <v>0</v>
      </c>
      <c r="BA660" s="16">
        <f t="shared" si="307"/>
        <v>5700800</v>
      </c>
      <c r="BB660" s="16">
        <f t="shared" si="308"/>
        <v>5700800</v>
      </c>
      <c r="BC660" s="15">
        <v>0.03</v>
      </c>
      <c r="BD660">
        <v>0.01</v>
      </c>
      <c r="BE660" s="37">
        <f t="shared" si="309"/>
        <v>529452</v>
      </c>
      <c r="BF660" s="38">
        <f t="shared" si="310"/>
        <v>326610</v>
      </c>
      <c r="BG660" s="37">
        <f t="shared" si="287"/>
        <v>269850</v>
      </c>
      <c r="BH660" s="37">
        <f t="shared" si="311"/>
        <v>286500</v>
      </c>
      <c r="BL660" s="8">
        <f t="shared" si="312"/>
        <v>200000</v>
      </c>
      <c r="BM660" s="7" t="str">
        <f t="shared" ref="BM660:BM685" si="317">IF(AND(BC660=0.03,BD660=0.01),"Terdaftar BPJS Kes &amp; Naker","Tidak Terdaftar")</f>
        <v>Terdaftar BPJS Kes &amp; Naker</v>
      </c>
      <c r="BN660" s="11">
        <f t="shared" si="316"/>
        <v>326610</v>
      </c>
      <c r="BO660" s="11">
        <f t="shared" ref="BO660:BO685" si="318">AC660*4.54%</f>
        <v>260142.00000000003</v>
      </c>
      <c r="BP660" s="9">
        <f t="shared" si="313"/>
        <v>0</v>
      </c>
      <c r="BQ660" t="str">
        <f>_xlfn.XLOOKUP(X660,'[2]NON TETAP'!$H:$H,'[2]NON TETAP'!$I:$I)</f>
        <v>GRAMEDIA ASRI MEDIA</v>
      </c>
    </row>
    <row r="661" spans="1:69" x14ac:dyDescent="0.3">
      <c r="A661" s="2">
        <v>660</v>
      </c>
      <c r="B661" s="5" t="s">
        <v>230</v>
      </c>
      <c r="D661" s="39"/>
      <c r="K661" s="6">
        <v>800794</v>
      </c>
      <c r="L661" s="39">
        <v>45985</v>
      </c>
      <c r="M661" s="6"/>
      <c r="N661" s="46"/>
      <c r="O661" s="6"/>
      <c r="P661" s="48" t="s">
        <v>234</v>
      </c>
      <c r="Q661" s="6">
        <v>11197</v>
      </c>
      <c r="R661" s="6">
        <v>27197</v>
      </c>
      <c r="S661" s="5" t="str">
        <f>VLOOKUP(T661,'[1]Kode Posisi'!$A$3:$B$45,2,)</f>
        <v>Outsourcing Petugas Gudang</v>
      </c>
      <c r="T661" t="s">
        <v>6</v>
      </c>
      <c r="V661" s="18" t="s">
        <v>233</v>
      </c>
      <c r="W661" s="5" t="s">
        <v>232</v>
      </c>
      <c r="X661" s="5" t="s">
        <v>17</v>
      </c>
      <c r="Y661" t="s">
        <v>63</v>
      </c>
      <c r="Z661" s="46" t="s">
        <v>231</v>
      </c>
      <c r="AA661" t="s">
        <v>230</v>
      </c>
      <c r="AB661" s="47">
        <v>2828000</v>
      </c>
      <c r="AC661" s="41">
        <v>2828000</v>
      </c>
      <c r="AD661" s="52" t="s">
        <v>229</v>
      </c>
      <c r="AI661" s="16">
        <v>99791.907514450868</v>
      </c>
      <c r="AJ661">
        <f>AB661/25*6</f>
        <v>678720</v>
      </c>
      <c r="AK661" s="16"/>
      <c r="AL661" s="11">
        <f t="shared" si="296"/>
        <v>3606511.9075144511</v>
      </c>
      <c r="AM661" s="16">
        <f t="shared" si="297"/>
        <v>289587.19999999995</v>
      </c>
      <c r="AN661" s="16">
        <f t="shared" si="298"/>
        <v>113120</v>
      </c>
      <c r="AO661" s="16">
        <f t="shared" si="315"/>
        <v>176467.19999999998</v>
      </c>
      <c r="AP661" s="16">
        <f t="shared" si="299"/>
        <v>104636</v>
      </c>
      <c r="AQ661" s="16">
        <f t="shared" si="300"/>
        <v>3896099.1075144513</v>
      </c>
      <c r="AR661" s="16">
        <f t="shared" si="301"/>
        <v>233765.94645086708</v>
      </c>
      <c r="AS661" s="16">
        <f t="shared" si="302"/>
        <v>25714.254109595378</v>
      </c>
      <c r="AT661" s="16">
        <f t="shared" si="303"/>
        <v>-4675.3189290173414</v>
      </c>
      <c r="AU661" s="16">
        <f t="shared" si="304"/>
        <v>4125189.735036301</v>
      </c>
      <c r="AV661" s="16">
        <f t="shared" si="305"/>
        <v>4129865.0539653185</v>
      </c>
      <c r="AW661" s="16">
        <f t="shared" si="306"/>
        <v>113120</v>
      </c>
      <c r="AZ661" s="17">
        <f t="shared" si="314"/>
        <v>2900</v>
      </c>
      <c r="BA661" s="16">
        <f t="shared" si="307"/>
        <v>3493391.9075144511</v>
      </c>
      <c r="BB661" s="16">
        <f t="shared" si="308"/>
        <v>3490491.9075144511</v>
      </c>
      <c r="BC661" s="15">
        <v>0.03</v>
      </c>
      <c r="BD661">
        <v>0.01</v>
      </c>
      <c r="BE661" s="37">
        <f t="shared" si="309"/>
        <v>261307.19999999998</v>
      </c>
      <c r="BF661" s="38">
        <f t="shared" si="310"/>
        <v>161196</v>
      </c>
      <c r="BG661" s="37">
        <f t="shared" si="287"/>
        <v>132800</v>
      </c>
      <c r="BH661" s="37">
        <f t="shared" si="311"/>
        <v>141400</v>
      </c>
      <c r="BL661" s="8">
        <f t="shared" si="312"/>
        <v>778511.90751445084</v>
      </c>
      <c r="BM661" s="7" t="str">
        <f t="shared" si="317"/>
        <v>Terdaftar BPJS Kes &amp; Naker</v>
      </c>
      <c r="BN661" s="11">
        <f t="shared" si="316"/>
        <v>161196</v>
      </c>
      <c r="BO661" s="11">
        <f t="shared" si="318"/>
        <v>128391.20000000001</v>
      </c>
      <c r="BP661" s="9">
        <f t="shared" si="313"/>
        <v>0</v>
      </c>
      <c r="BQ661" t="s">
        <v>8</v>
      </c>
    </row>
    <row r="662" spans="1:69" x14ac:dyDescent="0.3">
      <c r="A662" s="2">
        <v>661</v>
      </c>
      <c r="B662" s="5" t="s">
        <v>224</v>
      </c>
      <c r="D662" s="39"/>
      <c r="E662" t="s">
        <v>73</v>
      </c>
      <c r="I662" t="s">
        <v>228</v>
      </c>
      <c r="K662" s="6">
        <v>800795</v>
      </c>
      <c r="L662" s="39">
        <v>45992</v>
      </c>
      <c r="M662" s="6"/>
      <c r="N662" s="46"/>
      <c r="O662" s="6"/>
      <c r="P662" s="48" t="s">
        <v>227</v>
      </c>
      <c r="Q662" s="6">
        <v>99090</v>
      </c>
      <c r="R662" s="6">
        <v>27004</v>
      </c>
      <c r="S662" s="5" t="str">
        <f>VLOOKUP(T662,'[1]Kode Posisi'!$A$3:$B$45,2,)</f>
        <v>Outsourcing Penjualan</v>
      </c>
      <c r="T662" t="s">
        <v>21</v>
      </c>
      <c r="V662" s="18" t="s">
        <v>226</v>
      </c>
      <c r="W662" s="5" t="s">
        <v>225</v>
      </c>
      <c r="X662" s="36" t="s">
        <v>23</v>
      </c>
      <c r="Y662" t="s">
        <v>52</v>
      </c>
      <c r="Z662" s="46">
        <v>8215371677</v>
      </c>
      <c r="AA662" t="s">
        <v>224</v>
      </c>
      <c r="AB662" s="47">
        <v>3999000</v>
      </c>
      <c r="AC662" s="41">
        <v>3999000</v>
      </c>
      <c r="AD662" s="52" t="s">
        <v>223</v>
      </c>
      <c r="AI662" s="16">
        <v>0</v>
      </c>
      <c r="AK662" s="16"/>
      <c r="AL662" s="11">
        <f t="shared" si="296"/>
        <v>3999000</v>
      </c>
      <c r="AM662" s="16">
        <f t="shared" si="297"/>
        <v>409497.59999999998</v>
      </c>
      <c r="AN662" s="16">
        <f t="shared" si="298"/>
        <v>159960</v>
      </c>
      <c r="AO662" s="16">
        <f t="shared" si="315"/>
        <v>249537.59999999998</v>
      </c>
      <c r="AP662" s="16">
        <f t="shared" si="299"/>
        <v>147963</v>
      </c>
      <c r="AQ662" s="16">
        <f t="shared" si="300"/>
        <v>4408497.5999999996</v>
      </c>
      <c r="AR662" s="16">
        <f t="shared" si="301"/>
        <v>264509.85599999997</v>
      </c>
      <c r="AS662" s="16">
        <f t="shared" si="302"/>
        <v>29096.084159999999</v>
      </c>
      <c r="AT662" s="16">
        <f t="shared" si="303"/>
        <v>-5290.1971199999998</v>
      </c>
      <c r="AU662" s="16">
        <f t="shared" si="304"/>
        <v>4667717.2588799996</v>
      </c>
      <c r="AV662" s="16">
        <f t="shared" si="305"/>
        <v>4673007.4559999993</v>
      </c>
      <c r="AW662" s="16">
        <f t="shared" si="306"/>
        <v>159960</v>
      </c>
      <c r="AZ662" s="17">
        <f t="shared" si="314"/>
        <v>0</v>
      </c>
      <c r="BA662" s="16">
        <f t="shared" si="307"/>
        <v>3839040</v>
      </c>
      <c r="BB662" s="16">
        <f t="shared" si="308"/>
        <v>3839040</v>
      </c>
      <c r="BC662" s="15">
        <v>0.03</v>
      </c>
      <c r="BD662">
        <v>0.01</v>
      </c>
      <c r="BE662" s="37">
        <f t="shared" si="309"/>
        <v>369507.6</v>
      </c>
      <c r="BF662" s="38">
        <f t="shared" si="310"/>
        <v>227943</v>
      </c>
      <c r="BG662" s="37">
        <f t="shared" si="287"/>
        <v>183800</v>
      </c>
      <c r="BH662" s="37">
        <f t="shared" si="311"/>
        <v>199950</v>
      </c>
      <c r="BL662" s="8">
        <f t="shared" si="312"/>
        <v>0</v>
      </c>
      <c r="BM662" s="7" t="str">
        <f t="shared" si="317"/>
        <v>Terdaftar BPJS Kes &amp; Naker</v>
      </c>
      <c r="BN662" s="11">
        <f t="shared" si="316"/>
        <v>227943</v>
      </c>
      <c r="BO662" s="11">
        <f t="shared" si="318"/>
        <v>181554.6</v>
      </c>
      <c r="BP662" s="9">
        <f t="shared" si="313"/>
        <v>0</v>
      </c>
      <c r="BQ662" t="str">
        <f>_xlfn.XLOOKUP(X662,'[2]NON TETAP'!$H:$H,'[2]NON TETAP'!$I:$I)</f>
        <v>GLOBAL LINTAS KARYA UTAMA</v>
      </c>
    </row>
    <row r="663" spans="1:69" x14ac:dyDescent="0.3">
      <c r="A663" s="2">
        <v>662</v>
      </c>
      <c r="B663" s="5" t="s">
        <v>218</v>
      </c>
      <c r="D663" s="39"/>
      <c r="K663" s="6">
        <v>800796</v>
      </c>
      <c r="L663" s="39">
        <v>45985</v>
      </c>
      <c r="M663" s="6"/>
      <c r="N663" s="46"/>
      <c r="O663" s="6"/>
      <c r="P663" s="48" t="s">
        <v>222</v>
      </c>
      <c r="Q663" s="6">
        <v>10496</v>
      </c>
      <c r="R663" s="6">
        <v>27496</v>
      </c>
      <c r="S663" s="5" t="str">
        <f>VLOOKUP(T663,'[1]Kode Posisi'!$A$3:$B$45,2,)</f>
        <v>Outsourcing Keamanan</v>
      </c>
      <c r="T663" t="s">
        <v>37</v>
      </c>
      <c r="V663" s="18" t="s">
        <v>221</v>
      </c>
      <c r="W663" s="36" t="s">
        <v>220</v>
      </c>
      <c r="X663" s="36" t="s">
        <v>219</v>
      </c>
      <c r="Y663" t="s">
        <v>52</v>
      </c>
      <c r="Z663" s="46">
        <v>582030853</v>
      </c>
      <c r="AA663" t="s">
        <v>218</v>
      </c>
      <c r="AB663" s="47">
        <v>3090000</v>
      </c>
      <c r="AC663" s="41">
        <v>3090000</v>
      </c>
      <c r="AD663" s="52" t="s">
        <v>217</v>
      </c>
      <c r="AI663" s="16">
        <v>0</v>
      </c>
      <c r="AJ663">
        <f>AB663/25*6</f>
        <v>741600</v>
      </c>
      <c r="AK663" s="16"/>
      <c r="AL663" s="11">
        <f t="shared" si="296"/>
        <v>3831600</v>
      </c>
      <c r="AM663" s="16">
        <f t="shared" si="297"/>
        <v>316416</v>
      </c>
      <c r="AN663" s="16">
        <f t="shared" si="298"/>
        <v>123600</v>
      </c>
      <c r="AO663" s="16">
        <f t="shared" si="315"/>
        <v>192816</v>
      </c>
      <c r="AP663" s="16">
        <f t="shared" si="299"/>
        <v>114330</v>
      </c>
      <c r="AQ663" s="16">
        <f t="shared" si="300"/>
        <v>4148016</v>
      </c>
      <c r="AR663" s="16">
        <f t="shared" si="301"/>
        <v>248880.96</v>
      </c>
      <c r="AS663" s="16">
        <f t="shared" si="302"/>
        <v>27376.905599999998</v>
      </c>
      <c r="AT663" s="16">
        <f t="shared" si="303"/>
        <v>-4977.6192000000001</v>
      </c>
      <c r="AU663" s="16">
        <f t="shared" si="304"/>
        <v>4391919.3408000004</v>
      </c>
      <c r="AV663" s="16">
        <f t="shared" si="305"/>
        <v>4396896.96</v>
      </c>
      <c r="AW663" s="16">
        <f t="shared" si="306"/>
        <v>123600</v>
      </c>
      <c r="AZ663" s="17">
        <f t="shared" si="314"/>
        <v>0</v>
      </c>
      <c r="BA663" s="16">
        <f t="shared" si="307"/>
        <v>3708000</v>
      </c>
      <c r="BB663" s="16">
        <f t="shared" si="308"/>
        <v>3708000</v>
      </c>
      <c r="BC663" s="15">
        <v>0.03</v>
      </c>
      <c r="BD663">
        <v>0.01</v>
      </c>
      <c r="BE663" s="37">
        <f t="shared" si="309"/>
        <v>285516</v>
      </c>
      <c r="BF663" s="38">
        <f t="shared" si="310"/>
        <v>176130</v>
      </c>
      <c r="BG663" s="37">
        <f t="shared" si="287"/>
        <v>146550</v>
      </c>
      <c r="BH663" s="37">
        <f t="shared" si="311"/>
        <v>154500</v>
      </c>
      <c r="BL663" s="8">
        <f t="shared" si="312"/>
        <v>741600</v>
      </c>
      <c r="BM663" s="7" t="str">
        <f t="shared" si="317"/>
        <v>Terdaftar BPJS Kes &amp; Naker</v>
      </c>
      <c r="BN663" s="11">
        <f t="shared" si="316"/>
        <v>176130</v>
      </c>
      <c r="BO663" s="11">
        <f t="shared" si="318"/>
        <v>140286</v>
      </c>
      <c r="BP663" s="9">
        <f t="shared" si="313"/>
        <v>0</v>
      </c>
      <c r="BQ663" t="str">
        <f>_xlfn.XLOOKUP(X663,'[2]NON TETAP'!$H:$H,'[2]NON TETAP'!$I:$I)</f>
        <v>GRAMEDIA ASRI MEDIA</v>
      </c>
    </row>
    <row r="664" spans="1:69" x14ac:dyDescent="0.3">
      <c r="A664" s="2">
        <v>663</v>
      </c>
      <c r="B664" s="5" t="s">
        <v>214</v>
      </c>
      <c r="D664" s="39"/>
      <c r="K664" s="6">
        <v>800797</v>
      </c>
      <c r="L664" s="39">
        <v>45992</v>
      </c>
      <c r="M664" s="6"/>
      <c r="N664" s="46"/>
      <c r="O664" s="6"/>
      <c r="P664" s="48" t="s">
        <v>216</v>
      </c>
      <c r="Q664" s="6">
        <v>10137</v>
      </c>
      <c r="R664" s="6">
        <v>27137</v>
      </c>
      <c r="S664" s="5" t="s">
        <v>120</v>
      </c>
      <c r="T664" t="s">
        <v>15</v>
      </c>
      <c r="V664" s="18" t="s">
        <v>215</v>
      </c>
      <c r="W664" s="36" t="s">
        <v>135</v>
      </c>
      <c r="X664" s="36" t="s">
        <v>135</v>
      </c>
      <c r="Y664" t="s">
        <v>52</v>
      </c>
      <c r="Z664" s="46">
        <v>7896081364</v>
      </c>
      <c r="AA664" t="s">
        <v>214</v>
      </c>
      <c r="AB664" s="47">
        <v>3856000</v>
      </c>
      <c r="AC664" s="41">
        <v>3856000</v>
      </c>
      <c r="AD664" s="52" t="s">
        <v>213</v>
      </c>
      <c r="AI664" s="16">
        <v>0</v>
      </c>
      <c r="AK664" s="16"/>
      <c r="AL664" s="11">
        <f t="shared" si="296"/>
        <v>3856000</v>
      </c>
      <c r="AM664" s="16">
        <f t="shared" si="297"/>
        <v>394854.40000000002</v>
      </c>
      <c r="AN664" s="16">
        <f t="shared" si="298"/>
        <v>154240</v>
      </c>
      <c r="AO664" s="16">
        <f t="shared" si="315"/>
        <v>240614.39999999999</v>
      </c>
      <c r="AP664" s="16">
        <f t="shared" si="299"/>
        <v>142672</v>
      </c>
      <c r="AQ664" s="16">
        <f t="shared" si="300"/>
        <v>4250854.4000000004</v>
      </c>
      <c r="AR664" s="16">
        <f t="shared" si="301"/>
        <v>255051.26400000002</v>
      </c>
      <c r="AS664" s="16">
        <f t="shared" si="302"/>
        <v>28055.639040000002</v>
      </c>
      <c r="AT664" s="16">
        <f t="shared" si="303"/>
        <v>-5101.0252800000007</v>
      </c>
      <c r="AU664" s="16">
        <f t="shared" si="304"/>
        <v>4500804.6387200011</v>
      </c>
      <c r="AV664" s="16">
        <f t="shared" si="305"/>
        <v>4505905.6640000008</v>
      </c>
      <c r="AW664" s="16">
        <f t="shared" si="306"/>
        <v>154240</v>
      </c>
      <c r="AZ664" s="17">
        <f t="shared" si="314"/>
        <v>0</v>
      </c>
      <c r="BA664" s="16">
        <f t="shared" si="307"/>
        <v>3701760</v>
      </c>
      <c r="BB664" s="16">
        <f t="shared" si="308"/>
        <v>3701760</v>
      </c>
      <c r="BC664" s="15">
        <v>0.03</v>
      </c>
      <c r="BD664">
        <v>0.01</v>
      </c>
      <c r="BE664" s="37">
        <f t="shared" si="309"/>
        <v>356294.39999999997</v>
      </c>
      <c r="BF664" s="38">
        <f t="shared" si="310"/>
        <v>219792</v>
      </c>
      <c r="BG664" s="37">
        <f t="shared" si="287"/>
        <v>180000</v>
      </c>
      <c r="BH664" s="37">
        <f t="shared" si="311"/>
        <v>192800</v>
      </c>
      <c r="BL664" s="8">
        <f t="shared" si="312"/>
        <v>0</v>
      </c>
      <c r="BM664" s="7" t="str">
        <f t="shared" si="317"/>
        <v>Terdaftar BPJS Kes &amp; Naker</v>
      </c>
      <c r="BN664" s="11">
        <f t="shared" si="316"/>
        <v>219792</v>
      </c>
      <c r="BO664" s="11">
        <f t="shared" si="318"/>
        <v>175062.40000000002</v>
      </c>
      <c r="BP664" s="9">
        <f t="shared" si="313"/>
        <v>0</v>
      </c>
      <c r="BQ664" t="str">
        <f>_xlfn.XLOOKUP(X664,'[2]NON TETAP'!$H:$H,'[2]NON TETAP'!$I:$I)</f>
        <v>GRAMEDIA ASRI MEDIA</v>
      </c>
    </row>
    <row r="665" spans="1:69" x14ac:dyDescent="0.3">
      <c r="A665" s="2">
        <v>664</v>
      </c>
      <c r="B665" s="5" t="s">
        <v>209</v>
      </c>
      <c r="D665" s="39"/>
      <c r="K665" s="6">
        <v>800798</v>
      </c>
      <c r="L665" s="39">
        <v>45983</v>
      </c>
      <c r="M665" s="6"/>
      <c r="N665" s="46"/>
      <c r="O665" s="6"/>
      <c r="P665" s="48" t="s">
        <v>212</v>
      </c>
      <c r="Q665" s="6">
        <v>10153</v>
      </c>
      <c r="R665" s="6">
        <v>27153</v>
      </c>
      <c r="S665" s="5" t="str">
        <f>VLOOKUP(T665,'[1]Kode Posisi'!$A$3:$B$45,2,)</f>
        <v>Outsourcing Keamanan</v>
      </c>
      <c r="T665" s="53" t="s">
        <v>4</v>
      </c>
      <c r="V665" s="18" t="s">
        <v>211</v>
      </c>
      <c r="W665" s="36" t="s">
        <v>191</v>
      </c>
      <c r="X665" s="36" t="s">
        <v>191</v>
      </c>
      <c r="Y665" t="s">
        <v>63</v>
      </c>
      <c r="Z665" s="46" t="s">
        <v>210</v>
      </c>
      <c r="AA665" t="s">
        <v>209</v>
      </c>
      <c r="AB665" s="47">
        <v>2570000</v>
      </c>
      <c r="AC665" s="41">
        <v>2570000</v>
      </c>
      <c r="AD665" s="52" t="s">
        <v>188</v>
      </c>
      <c r="AI665" s="16">
        <v>0</v>
      </c>
      <c r="AJ665">
        <f>AB665/25*8</f>
        <v>822400</v>
      </c>
      <c r="AK665" s="16"/>
      <c r="AL665" s="11">
        <f t="shared" si="296"/>
        <v>3392400</v>
      </c>
      <c r="AM665" s="16">
        <f t="shared" si="297"/>
        <v>263168</v>
      </c>
      <c r="AN665" s="16">
        <f t="shared" si="298"/>
        <v>102800</v>
      </c>
      <c r="AO665" s="16">
        <f t="shared" si="315"/>
        <v>160368</v>
      </c>
      <c r="AP665" s="16">
        <f t="shared" si="299"/>
        <v>95090</v>
      </c>
      <c r="AQ665" s="16">
        <f t="shared" si="300"/>
        <v>3655568</v>
      </c>
      <c r="AR665" s="16">
        <f t="shared" si="301"/>
        <v>219334.08</v>
      </c>
      <c r="AS665" s="16">
        <f t="shared" si="302"/>
        <v>24126.748799999998</v>
      </c>
      <c r="AT665" s="16">
        <f t="shared" si="303"/>
        <v>-4386.6815999999999</v>
      </c>
      <c r="AU665" s="16">
        <f t="shared" si="304"/>
        <v>3870515.3984000003</v>
      </c>
      <c r="AV665" s="16">
        <f t="shared" si="305"/>
        <v>3874902.08</v>
      </c>
      <c r="AW665" s="16">
        <f t="shared" si="306"/>
        <v>102800</v>
      </c>
      <c r="AZ665" s="17">
        <f t="shared" si="314"/>
        <v>2900</v>
      </c>
      <c r="BA665" s="16">
        <f t="shared" si="307"/>
        <v>3289600</v>
      </c>
      <c r="BB665" s="16">
        <f t="shared" si="308"/>
        <v>3286700</v>
      </c>
      <c r="BC665" s="15">
        <v>0.03</v>
      </c>
      <c r="BD665">
        <v>0.01</v>
      </c>
      <c r="BE665" s="37">
        <f t="shared" si="309"/>
        <v>237468</v>
      </c>
      <c r="BF665" s="38">
        <f t="shared" si="310"/>
        <v>146490</v>
      </c>
      <c r="BG665" s="37">
        <f t="shared" si="287"/>
        <v>120850</v>
      </c>
      <c r="BH665" s="37">
        <f t="shared" si="311"/>
        <v>128500</v>
      </c>
      <c r="BL665" s="8">
        <f t="shared" si="312"/>
        <v>822400</v>
      </c>
      <c r="BM665" s="7" t="str">
        <f t="shared" si="317"/>
        <v>Terdaftar BPJS Kes &amp; Naker</v>
      </c>
      <c r="BN665" s="11">
        <f t="shared" si="316"/>
        <v>146490</v>
      </c>
      <c r="BO665" s="11">
        <f t="shared" si="318"/>
        <v>116678.00000000001</v>
      </c>
      <c r="BP665" s="9">
        <f t="shared" si="313"/>
        <v>0</v>
      </c>
      <c r="BQ665" t="str">
        <f>_xlfn.XLOOKUP(X665,'[2]NON TETAP'!$H:$H,'[2]NON TETAP'!$I:$I)</f>
        <v>GRAMEDIA ASRI MEDIA</v>
      </c>
    </row>
    <row r="666" spans="1:69" x14ac:dyDescent="0.3">
      <c r="A666" s="2">
        <v>665</v>
      </c>
      <c r="B666" s="5" t="s">
        <v>208</v>
      </c>
      <c r="C666" t="s">
        <v>207</v>
      </c>
      <c r="D666" s="39"/>
      <c r="K666" s="6">
        <v>800799</v>
      </c>
      <c r="L666" s="39">
        <v>45994</v>
      </c>
      <c r="M666" s="6"/>
      <c r="N666" s="46"/>
      <c r="O666" s="6"/>
      <c r="P666" s="48" t="s">
        <v>206</v>
      </c>
      <c r="Q666" s="6">
        <v>33085</v>
      </c>
      <c r="R666" s="6">
        <v>27510</v>
      </c>
      <c r="S666" s="5" t="str">
        <f>VLOOKUP(T666,'[1]Kode Posisi'!$A$3:$B$45,2,)</f>
        <v>Outsourcing Petugas Administrasi</v>
      </c>
      <c r="T666" t="s">
        <v>35</v>
      </c>
      <c r="V666" s="18" t="s">
        <v>205</v>
      </c>
      <c r="W666" s="5" t="s">
        <v>204</v>
      </c>
      <c r="X666" s="5" t="s">
        <v>204</v>
      </c>
      <c r="Y666" t="s">
        <v>52</v>
      </c>
      <c r="Z666" s="46">
        <v>5475531083</v>
      </c>
      <c r="AA666" t="s">
        <v>203</v>
      </c>
      <c r="AB666" s="47">
        <v>5730000</v>
      </c>
      <c r="AC666" s="41">
        <v>5730000</v>
      </c>
      <c r="AD666" s="52" t="s">
        <v>177</v>
      </c>
      <c r="AH666" s="11"/>
      <c r="AI666" s="16">
        <v>0</v>
      </c>
      <c r="AK666" s="16"/>
      <c r="AL666" s="11">
        <f t="shared" si="296"/>
        <v>5730000</v>
      </c>
      <c r="AM666" s="16">
        <f t="shared" si="297"/>
        <v>586752</v>
      </c>
      <c r="AN666" s="16">
        <f t="shared" si="298"/>
        <v>229200</v>
      </c>
      <c r="AO666" s="16">
        <f t="shared" si="315"/>
        <v>357552</v>
      </c>
      <c r="AP666" s="16">
        <f t="shared" si="299"/>
        <v>212010</v>
      </c>
      <c r="AQ666" s="16">
        <f t="shared" si="300"/>
        <v>6316752</v>
      </c>
      <c r="AR666" s="16">
        <f t="shared" si="301"/>
        <v>379005.12</v>
      </c>
      <c r="AS666" s="16">
        <f t="shared" si="302"/>
        <v>41690.563199999997</v>
      </c>
      <c r="AT666" s="16">
        <f t="shared" si="303"/>
        <v>-7580.1023999999998</v>
      </c>
      <c r="AU666" s="16">
        <f t="shared" si="304"/>
        <v>6688177.0175999999</v>
      </c>
      <c r="AV666" s="16">
        <f t="shared" si="305"/>
        <v>6695757.1200000001</v>
      </c>
      <c r="AW666" s="16">
        <f t="shared" si="306"/>
        <v>229200</v>
      </c>
      <c r="AZ666" s="17">
        <f t="shared" si="314"/>
        <v>0</v>
      </c>
      <c r="BA666" s="16">
        <f t="shared" si="307"/>
        <v>5500800</v>
      </c>
      <c r="BB666" s="16">
        <f t="shared" si="308"/>
        <v>5500800</v>
      </c>
      <c r="BC666" s="15">
        <v>0.03</v>
      </c>
      <c r="BD666">
        <v>0.01</v>
      </c>
      <c r="BE666" s="37">
        <f t="shared" si="309"/>
        <v>529452</v>
      </c>
      <c r="BF666" s="38">
        <f t="shared" si="310"/>
        <v>326610</v>
      </c>
      <c r="BG666" s="37">
        <f t="shared" si="287"/>
        <v>269850</v>
      </c>
      <c r="BH666" s="37">
        <f t="shared" si="311"/>
        <v>286500</v>
      </c>
      <c r="BL666" s="8">
        <f t="shared" si="312"/>
        <v>0</v>
      </c>
      <c r="BM666" s="7" t="str">
        <f t="shared" si="317"/>
        <v>Terdaftar BPJS Kes &amp; Naker</v>
      </c>
      <c r="BN666" s="11">
        <f t="shared" si="316"/>
        <v>326610</v>
      </c>
      <c r="BO666" s="11">
        <f t="shared" si="318"/>
        <v>260142.00000000003</v>
      </c>
      <c r="BP666" s="9">
        <f t="shared" si="313"/>
        <v>0</v>
      </c>
      <c r="BQ666" t="str">
        <f>_xlfn.XLOOKUP(X666,'[2]NON TETAP'!$H:$H,'[2]NON TETAP'!$I:$I)</f>
        <v>GRAMEDIA ASRI MEDIA</v>
      </c>
    </row>
    <row r="667" spans="1:69" x14ac:dyDescent="0.3">
      <c r="A667" s="2">
        <v>666</v>
      </c>
      <c r="B667" s="5" t="s">
        <v>197</v>
      </c>
      <c r="D667" s="39"/>
      <c r="K667" s="6">
        <v>800800</v>
      </c>
      <c r="L667" s="39">
        <v>45992</v>
      </c>
      <c r="M667" s="6"/>
      <c r="N667" s="46"/>
      <c r="O667" s="6"/>
      <c r="P667" s="48" t="s">
        <v>202</v>
      </c>
      <c r="Q667" s="6">
        <v>20090</v>
      </c>
      <c r="R667" s="6">
        <v>27050</v>
      </c>
      <c r="S667" s="5" t="str">
        <f>VLOOKUP(T667,'[1]Kode Posisi'!$A$3:$B$45,2,)</f>
        <v>Outsourcing Petugas Administrasi</v>
      </c>
      <c r="T667" t="s">
        <v>201</v>
      </c>
      <c r="V667" s="18" t="s">
        <v>200</v>
      </c>
      <c r="W667" s="5" t="s">
        <v>199</v>
      </c>
      <c r="X667" s="5" t="s">
        <v>199</v>
      </c>
      <c r="Y667" t="s">
        <v>198</v>
      </c>
      <c r="Z667" s="46">
        <v>1166981598</v>
      </c>
      <c r="AA667" t="s">
        <v>197</v>
      </c>
      <c r="AB667" s="47">
        <v>5289000</v>
      </c>
      <c r="AC667" s="41">
        <v>5289000</v>
      </c>
      <c r="AD667" s="52" t="s">
        <v>196</v>
      </c>
      <c r="AG667" s="11"/>
      <c r="AH667" s="11"/>
      <c r="AI667" s="16">
        <v>0</v>
      </c>
      <c r="AK667" s="16"/>
      <c r="AL667" s="11">
        <f t="shared" si="296"/>
        <v>5289000</v>
      </c>
      <c r="AM667" s="16">
        <f t="shared" si="297"/>
        <v>541593.59999999998</v>
      </c>
      <c r="AN667" s="16">
        <f t="shared" si="298"/>
        <v>211560</v>
      </c>
      <c r="AO667" s="16">
        <f t="shared" si="315"/>
        <v>330033.59999999998</v>
      </c>
      <c r="AP667" s="16">
        <f t="shared" si="299"/>
        <v>195693</v>
      </c>
      <c r="AQ667" s="16">
        <f t="shared" si="300"/>
        <v>5830593.5999999996</v>
      </c>
      <c r="AR667" s="16">
        <f t="shared" si="301"/>
        <v>349835.61599999998</v>
      </c>
      <c r="AS667" s="16">
        <f t="shared" si="302"/>
        <v>38481.917759999997</v>
      </c>
      <c r="AT667" s="16">
        <f t="shared" si="303"/>
        <v>-6996.7123199999996</v>
      </c>
      <c r="AU667" s="16">
        <f t="shared" si="304"/>
        <v>6173432.5036800001</v>
      </c>
      <c r="AV667" s="16">
        <f t="shared" si="305"/>
        <v>6180429.216</v>
      </c>
      <c r="AW667" s="16">
        <f t="shared" si="306"/>
        <v>211560</v>
      </c>
      <c r="AZ667" s="17">
        <f t="shared" si="314"/>
        <v>2900</v>
      </c>
      <c r="BA667" s="16">
        <f t="shared" si="307"/>
        <v>5077440</v>
      </c>
      <c r="BB667" s="16">
        <f t="shared" si="308"/>
        <v>5074540</v>
      </c>
      <c r="BC667" s="15">
        <v>0.03</v>
      </c>
      <c r="BD667">
        <v>0.01</v>
      </c>
      <c r="BE667" s="37">
        <f t="shared" si="309"/>
        <v>488703.6</v>
      </c>
      <c r="BF667" s="38">
        <f t="shared" si="310"/>
        <v>301473</v>
      </c>
      <c r="BG667" s="37">
        <f t="shared" si="287"/>
        <v>248100</v>
      </c>
      <c r="BH667" s="37">
        <f t="shared" si="311"/>
        <v>264450</v>
      </c>
      <c r="BL667" s="8">
        <f t="shared" si="312"/>
        <v>0</v>
      </c>
      <c r="BM667" s="7" t="str">
        <f t="shared" si="317"/>
        <v>Terdaftar BPJS Kes &amp; Naker</v>
      </c>
      <c r="BN667" s="11">
        <f t="shared" si="316"/>
        <v>301473</v>
      </c>
      <c r="BO667" s="11">
        <f t="shared" si="318"/>
        <v>240120.6</v>
      </c>
      <c r="BP667" s="9">
        <f t="shared" si="313"/>
        <v>0</v>
      </c>
      <c r="BQ667" t="s">
        <v>195</v>
      </c>
    </row>
    <row r="668" spans="1:69" x14ac:dyDescent="0.3">
      <c r="A668" s="2">
        <v>667</v>
      </c>
      <c r="B668" s="5" t="s">
        <v>194</v>
      </c>
      <c r="D668" s="39"/>
      <c r="K668" s="6">
        <v>800801</v>
      </c>
      <c r="L668" s="39">
        <v>45993</v>
      </c>
      <c r="M668" s="6"/>
      <c r="N668" s="46"/>
      <c r="O668" s="6"/>
      <c r="P668" s="48" t="s">
        <v>193</v>
      </c>
      <c r="Q668" s="6">
        <v>10153</v>
      </c>
      <c r="R668" s="6">
        <v>27153</v>
      </c>
      <c r="S668" s="5" t="str">
        <f>VLOOKUP(T668,'[1]Kode Posisi'!$A$3:$B$45,2,)</f>
        <v>Outsourcing Cleaning Service</v>
      </c>
      <c r="T668" s="53" t="s">
        <v>47</v>
      </c>
      <c r="V668" s="18" t="s">
        <v>192</v>
      </c>
      <c r="W668" s="36" t="s">
        <v>191</v>
      </c>
      <c r="X668" s="36" t="s">
        <v>191</v>
      </c>
      <c r="Y668" t="s">
        <v>63</v>
      </c>
      <c r="Z668" s="46" t="s">
        <v>190</v>
      </c>
      <c r="AA668" t="s">
        <v>189</v>
      </c>
      <c r="AB668" s="47">
        <v>2570000</v>
      </c>
      <c r="AC668" s="41">
        <v>2570000</v>
      </c>
      <c r="AD668" s="52" t="s">
        <v>188</v>
      </c>
      <c r="AI668" s="16">
        <v>0</v>
      </c>
      <c r="AK668" s="16"/>
      <c r="AL668" s="11">
        <f t="shared" si="296"/>
        <v>2570000</v>
      </c>
      <c r="AM668" s="16">
        <f t="shared" si="297"/>
        <v>263168</v>
      </c>
      <c r="AN668" s="16">
        <f t="shared" si="298"/>
        <v>102800</v>
      </c>
      <c r="AO668" s="16">
        <f t="shared" si="315"/>
        <v>160368</v>
      </c>
      <c r="AP668" s="16">
        <f t="shared" si="299"/>
        <v>95090</v>
      </c>
      <c r="AQ668" s="16">
        <f t="shared" si="300"/>
        <v>2833168</v>
      </c>
      <c r="AR668" s="16">
        <f t="shared" si="301"/>
        <v>169990.08</v>
      </c>
      <c r="AS668" s="16">
        <f t="shared" si="302"/>
        <v>18698.908799999997</v>
      </c>
      <c r="AT668" s="16">
        <f t="shared" si="303"/>
        <v>-3399.8015999999998</v>
      </c>
      <c r="AU668" s="16">
        <f t="shared" si="304"/>
        <v>2999758.2784000002</v>
      </c>
      <c r="AV668" s="16">
        <f t="shared" si="305"/>
        <v>3003158.08</v>
      </c>
      <c r="AW668" s="16">
        <f t="shared" si="306"/>
        <v>102800</v>
      </c>
      <c r="AZ668" s="17">
        <f t="shared" si="314"/>
        <v>2900</v>
      </c>
      <c r="BA668" s="16">
        <f t="shared" si="307"/>
        <v>2467200</v>
      </c>
      <c r="BB668" s="16">
        <f t="shared" si="308"/>
        <v>2464300</v>
      </c>
      <c r="BC668" s="15">
        <v>0.03</v>
      </c>
      <c r="BD668">
        <v>0.01</v>
      </c>
      <c r="BE668" s="37">
        <f t="shared" si="309"/>
        <v>237468</v>
      </c>
      <c r="BF668" s="38">
        <f t="shared" si="310"/>
        <v>146490</v>
      </c>
      <c r="BG668" s="37">
        <f t="shared" si="287"/>
        <v>120850</v>
      </c>
      <c r="BH668" s="37">
        <f t="shared" si="311"/>
        <v>128500</v>
      </c>
      <c r="BL668" s="8">
        <f t="shared" si="312"/>
        <v>0</v>
      </c>
      <c r="BM668" s="7" t="str">
        <f t="shared" si="317"/>
        <v>Terdaftar BPJS Kes &amp; Naker</v>
      </c>
      <c r="BN668" s="11">
        <f t="shared" si="316"/>
        <v>146490</v>
      </c>
      <c r="BO668" s="11">
        <f t="shared" si="318"/>
        <v>116678.00000000001</v>
      </c>
      <c r="BP668" s="9">
        <f t="shared" si="313"/>
        <v>0</v>
      </c>
      <c r="BQ668" t="str">
        <f>_xlfn.XLOOKUP(X668,'[2]NON TETAP'!$H:$H,'[2]NON TETAP'!$I:$I)</f>
        <v>GRAMEDIA ASRI MEDIA</v>
      </c>
    </row>
    <row r="669" spans="1:69" x14ac:dyDescent="0.3">
      <c r="A669" s="2">
        <v>668</v>
      </c>
      <c r="B669" s="5" t="s">
        <v>183</v>
      </c>
      <c r="D669" s="39">
        <v>46003</v>
      </c>
      <c r="J669" t="s">
        <v>175</v>
      </c>
      <c r="L669" s="39">
        <v>46003</v>
      </c>
      <c r="M669" s="6"/>
      <c r="N669" s="46"/>
      <c r="O669" s="6"/>
      <c r="P669" s="48" t="s">
        <v>187</v>
      </c>
      <c r="Q669" s="6">
        <v>33092</v>
      </c>
      <c r="R669" s="6">
        <v>27522</v>
      </c>
      <c r="S669" s="5" t="str">
        <f>VLOOKUP(T669,'[1]Kode Posisi'!$A$3:$B$45,2,)</f>
        <v>Outsourcing Penjualan</v>
      </c>
      <c r="T669" s="36" t="s">
        <v>26</v>
      </c>
      <c r="V669" s="18" t="s">
        <v>186</v>
      </c>
      <c r="W669" s="5" t="s">
        <v>185</v>
      </c>
      <c r="X669" s="49" t="s">
        <v>184</v>
      </c>
      <c r="Y669" s="53" t="s">
        <v>52</v>
      </c>
      <c r="Z669" s="53">
        <v>5475389830</v>
      </c>
      <c r="AA669" s="53" t="s">
        <v>183</v>
      </c>
      <c r="AB669" s="47">
        <v>5730000</v>
      </c>
      <c r="AC669" s="41">
        <v>5730000</v>
      </c>
      <c r="AD669" s="52" t="s">
        <v>177</v>
      </c>
      <c r="AI669" s="16"/>
      <c r="AK669" s="16"/>
      <c r="AL669" s="11">
        <f t="shared" si="296"/>
        <v>5730000</v>
      </c>
      <c r="AM669" s="16">
        <f t="shared" si="297"/>
        <v>586752</v>
      </c>
      <c r="AN669" s="16">
        <f t="shared" si="298"/>
        <v>229200</v>
      </c>
      <c r="AO669" s="16">
        <f t="shared" si="315"/>
        <v>357552</v>
      </c>
      <c r="AP669" s="16">
        <f t="shared" si="299"/>
        <v>212010</v>
      </c>
      <c r="AQ669" s="16">
        <f t="shared" si="300"/>
        <v>6316752</v>
      </c>
      <c r="AR669" s="16">
        <f t="shared" si="301"/>
        <v>379005.12</v>
      </c>
      <c r="AS669" s="16">
        <f t="shared" si="302"/>
        <v>41690.563199999997</v>
      </c>
      <c r="AT669" s="16">
        <f t="shared" si="303"/>
        <v>-7580.1023999999998</v>
      </c>
      <c r="AU669" s="16">
        <f t="shared" si="304"/>
        <v>6688177.0175999999</v>
      </c>
      <c r="AV669" s="16">
        <f t="shared" si="305"/>
        <v>6695757.1200000001</v>
      </c>
      <c r="AW669" s="16">
        <f t="shared" si="306"/>
        <v>229200</v>
      </c>
      <c r="AZ669" s="17">
        <f t="shared" si="314"/>
        <v>0</v>
      </c>
      <c r="BA669" s="16">
        <f t="shared" si="307"/>
        <v>5500800</v>
      </c>
      <c r="BB669" s="16">
        <f t="shared" si="308"/>
        <v>5500800</v>
      </c>
      <c r="BC669" s="15">
        <v>0.03</v>
      </c>
      <c r="BD669">
        <v>0.01</v>
      </c>
      <c r="BE669" s="37">
        <f t="shared" si="309"/>
        <v>529452</v>
      </c>
      <c r="BF669" s="38">
        <f t="shared" si="310"/>
        <v>326610</v>
      </c>
      <c r="BG669" s="37">
        <f t="shared" si="287"/>
        <v>269850</v>
      </c>
      <c r="BH669" s="37">
        <f t="shared" si="311"/>
        <v>286500</v>
      </c>
      <c r="BL669" s="8">
        <f t="shared" si="312"/>
        <v>0</v>
      </c>
      <c r="BM669" s="7" t="str">
        <f t="shared" si="317"/>
        <v>Terdaftar BPJS Kes &amp; Naker</v>
      </c>
      <c r="BN669" s="11">
        <f t="shared" si="316"/>
        <v>326610</v>
      </c>
      <c r="BO669" s="11">
        <f t="shared" si="318"/>
        <v>260142.00000000003</v>
      </c>
      <c r="BP669" s="9">
        <f t="shared" si="313"/>
        <v>0</v>
      </c>
      <c r="BQ669" t="str">
        <f>_xlfn.XLOOKUP(X669,'[2]NON TETAP'!$H:$H,'[2]NON TETAP'!$I:$I)</f>
        <v>GRAMEDIA ASRI MEDIA</v>
      </c>
    </row>
    <row r="670" spans="1:69" x14ac:dyDescent="0.3">
      <c r="A670" s="2">
        <v>669</v>
      </c>
      <c r="B670" s="5" t="s">
        <v>182</v>
      </c>
      <c r="D670" s="39">
        <v>46003</v>
      </c>
      <c r="J670" t="s">
        <v>175</v>
      </c>
      <c r="L670" s="39">
        <v>46003</v>
      </c>
      <c r="M670" s="6"/>
      <c r="N670" s="46"/>
      <c r="O670" s="6"/>
      <c r="P670" s="48" t="s">
        <v>181</v>
      </c>
      <c r="Q670" s="6">
        <v>10108</v>
      </c>
      <c r="R670" s="6">
        <v>27108</v>
      </c>
      <c r="S670" s="5" t="str">
        <f>VLOOKUP(T670,'[1]Kode Posisi'!$A$3:$B$45,2,)</f>
        <v>Outsourcing Keamanan</v>
      </c>
      <c r="T670" t="s">
        <v>4</v>
      </c>
      <c r="V670" s="18" t="s">
        <v>180</v>
      </c>
      <c r="W670" s="5" t="s">
        <v>45</v>
      </c>
      <c r="X670" s="5" t="s">
        <v>44</v>
      </c>
      <c r="Y670" s="53" t="s">
        <v>63</v>
      </c>
      <c r="Z670" s="54" t="s">
        <v>179</v>
      </c>
      <c r="AA670" s="53" t="s">
        <v>178</v>
      </c>
      <c r="AB670" s="47">
        <v>5730000</v>
      </c>
      <c r="AC670" s="41">
        <v>5730000</v>
      </c>
      <c r="AD670" s="52" t="s">
        <v>177</v>
      </c>
      <c r="AI670" s="16"/>
      <c r="AK670" s="16"/>
      <c r="AL670" s="11">
        <f t="shared" si="296"/>
        <v>5730000</v>
      </c>
      <c r="AM670" s="16">
        <f t="shared" si="297"/>
        <v>586752</v>
      </c>
      <c r="AN670" s="16">
        <f t="shared" si="298"/>
        <v>229200</v>
      </c>
      <c r="AO670" s="16">
        <f t="shared" si="315"/>
        <v>357552</v>
      </c>
      <c r="AP670" s="16">
        <f t="shared" si="299"/>
        <v>212010</v>
      </c>
      <c r="AQ670" s="16">
        <f t="shared" si="300"/>
        <v>6316752</v>
      </c>
      <c r="AR670" s="16">
        <f t="shared" si="301"/>
        <v>379005.12</v>
      </c>
      <c r="AS670" s="16">
        <f t="shared" si="302"/>
        <v>41690.563199999997</v>
      </c>
      <c r="AT670" s="16">
        <f t="shared" si="303"/>
        <v>-7580.1023999999998</v>
      </c>
      <c r="AU670" s="16">
        <f t="shared" si="304"/>
        <v>6688177.0175999999</v>
      </c>
      <c r="AV670" s="16">
        <f t="shared" si="305"/>
        <v>6695757.1200000001</v>
      </c>
      <c r="AW670" s="16">
        <f t="shared" si="306"/>
        <v>229200</v>
      </c>
      <c r="AZ670" s="17">
        <f t="shared" si="314"/>
        <v>2900</v>
      </c>
      <c r="BA670" s="16">
        <f t="shared" si="307"/>
        <v>5500800</v>
      </c>
      <c r="BB670" s="16">
        <f t="shared" si="308"/>
        <v>5497900</v>
      </c>
      <c r="BC670" s="15">
        <v>0.03</v>
      </c>
      <c r="BD670">
        <v>0.01</v>
      </c>
      <c r="BE670" s="37">
        <f t="shared" si="309"/>
        <v>529452</v>
      </c>
      <c r="BF670" s="38">
        <f t="shared" si="310"/>
        <v>326610</v>
      </c>
      <c r="BG670" s="37">
        <f t="shared" si="287"/>
        <v>269850</v>
      </c>
      <c r="BH670" s="37">
        <f t="shared" si="311"/>
        <v>286500</v>
      </c>
      <c r="BL670" s="8">
        <f t="shared" si="312"/>
        <v>0</v>
      </c>
      <c r="BM670" s="7" t="str">
        <f t="shared" si="317"/>
        <v>Terdaftar BPJS Kes &amp; Naker</v>
      </c>
      <c r="BN670" s="11">
        <f t="shared" si="316"/>
        <v>326610</v>
      </c>
      <c r="BO670" s="11">
        <f t="shared" si="318"/>
        <v>260142.00000000003</v>
      </c>
      <c r="BP670" s="9">
        <f t="shared" si="313"/>
        <v>0</v>
      </c>
      <c r="BQ670" t="str">
        <f>_xlfn.XLOOKUP(X670,'[2]NON TETAP'!$H:$H,'[2]NON TETAP'!$I:$I)</f>
        <v>GRAMEDIA ASRI MEDIA</v>
      </c>
    </row>
    <row r="671" spans="1:69" x14ac:dyDescent="0.3">
      <c r="A671" s="2">
        <v>670</v>
      </c>
      <c r="B671" s="5" t="s">
        <v>176</v>
      </c>
      <c r="D671" s="39">
        <v>42339</v>
      </c>
      <c r="J671" t="s">
        <v>175</v>
      </c>
      <c r="L671" s="39">
        <v>35012</v>
      </c>
      <c r="M671" s="6"/>
      <c r="N671" s="46"/>
      <c r="O671" s="6"/>
      <c r="P671" s="48" t="s">
        <v>174</v>
      </c>
      <c r="Q671" s="6">
        <v>10452</v>
      </c>
      <c r="R671" s="6">
        <v>27452</v>
      </c>
      <c r="S671" s="5" t="str">
        <f>VLOOKUP(T671,'[1]Kode Posisi'!$A$3:$B$45,2,)</f>
        <v>Outsourcing Cleaning Service</v>
      </c>
      <c r="T671" t="s">
        <v>47</v>
      </c>
      <c r="V671" s="18" t="s">
        <v>173</v>
      </c>
      <c r="W671" s="5" t="s">
        <v>172</v>
      </c>
      <c r="X671" s="5" t="s">
        <v>172</v>
      </c>
      <c r="Y671" s="53" t="s">
        <v>52</v>
      </c>
      <c r="Z671" s="53">
        <v>2730572690</v>
      </c>
      <c r="AA671" s="53" t="s">
        <v>171</v>
      </c>
      <c r="AB671" s="47">
        <v>5730000</v>
      </c>
      <c r="AC671" s="41">
        <v>5730000</v>
      </c>
      <c r="AD671" s="52" t="s">
        <v>170</v>
      </c>
      <c r="AI671" s="16"/>
      <c r="AK671" s="16"/>
      <c r="AL671" s="11">
        <f t="shared" si="296"/>
        <v>5730000</v>
      </c>
      <c r="AM671" s="16">
        <f t="shared" si="297"/>
        <v>586752</v>
      </c>
      <c r="AN671" s="16">
        <f t="shared" si="298"/>
        <v>229200</v>
      </c>
      <c r="AO671" s="16">
        <f t="shared" si="315"/>
        <v>357552</v>
      </c>
      <c r="AP671" s="16">
        <f t="shared" si="299"/>
        <v>212010</v>
      </c>
      <c r="AQ671" s="16">
        <f t="shared" si="300"/>
        <v>6316752</v>
      </c>
      <c r="AR671" s="16">
        <f t="shared" si="301"/>
        <v>379005.12</v>
      </c>
      <c r="AS671" s="16">
        <f t="shared" si="302"/>
        <v>41690.563199999997</v>
      </c>
      <c r="AT671" s="16">
        <f t="shared" si="303"/>
        <v>-7580.1023999999998</v>
      </c>
      <c r="AU671" s="16">
        <f t="shared" si="304"/>
        <v>6688177.0175999999</v>
      </c>
      <c r="AV671" s="16">
        <f t="shared" si="305"/>
        <v>6695757.1200000001</v>
      </c>
      <c r="AW671" s="16">
        <f t="shared" si="306"/>
        <v>229200</v>
      </c>
      <c r="AZ671" s="17">
        <f t="shared" si="314"/>
        <v>0</v>
      </c>
      <c r="BA671" s="16">
        <f t="shared" si="307"/>
        <v>5500800</v>
      </c>
      <c r="BB671" s="16">
        <f t="shared" si="308"/>
        <v>5500800</v>
      </c>
      <c r="BC671" s="15">
        <v>0.03</v>
      </c>
      <c r="BD671">
        <v>0.01</v>
      </c>
      <c r="BE671" s="37">
        <f t="shared" si="309"/>
        <v>529452</v>
      </c>
      <c r="BF671" s="38">
        <f t="shared" si="310"/>
        <v>326610</v>
      </c>
      <c r="BG671" s="37">
        <f t="shared" si="287"/>
        <v>0</v>
      </c>
      <c r="BH671" s="37">
        <f t="shared" si="311"/>
        <v>286500</v>
      </c>
      <c r="BL671" s="8">
        <f t="shared" si="312"/>
        <v>0</v>
      </c>
      <c r="BM671" s="7" t="str">
        <f t="shared" si="317"/>
        <v>Terdaftar BPJS Kes &amp; Naker</v>
      </c>
      <c r="BN671" s="11">
        <f t="shared" si="316"/>
        <v>326610</v>
      </c>
      <c r="BO671" s="11">
        <f t="shared" si="318"/>
        <v>260142.00000000003</v>
      </c>
      <c r="BP671" s="9">
        <f t="shared" si="313"/>
        <v>0</v>
      </c>
      <c r="BQ671" t="str">
        <f>_xlfn.XLOOKUP(X671,'[2]NON TETAP'!$H:$H,'[2]NON TETAP'!$I:$I)</f>
        <v>GRAMEDIA ASRI MEDIA</v>
      </c>
    </row>
    <row r="672" spans="1:69" x14ac:dyDescent="0.3">
      <c r="A672" s="2">
        <v>671</v>
      </c>
      <c r="B672" s="5" t="s">
        <v>169</v>
      </c>
      <c r="D672" s="39">
        <f>_xlfn.XLOOKUP($B672,[6]Sheet1!$H:$H,[6]Sheet1!$CN:$CN)</f>
        <v>45992</v>
      </c>
      <c r="L672" s="39">
        <f>_xlfn.XLOOKUP($P672,[7]Sheet1!$F$2:$F$33,[7]Sheet1!$CA$2:$CA$33)</f>
        <v>45992</v>
      </c>
      <c r="M672" s="6"/>
      <c r="N672" s="46"/>
      <c r="O672" s="6"/>
      <c r="P672" s="48" t="s">
        <v>168</v>
      </c>
      <c r="Q672" s="6">
        <v>22010</v>
      </c>
      <c r="R672" s="6">
        <v>27060</v>
      </c>
      <c r="S672" s="5" t="s">
        <v>120</v>
      </c>
      <c r="T672" t="str">
        <f>_xlfn.XLOOKUP($P672,[7]Sheet1!$F$2:$F$33,[7]Sheet1!$I$2:$I$33)</f>
        <v>Designer</v>
      </c>
      <c r="V672" s="18" t="s">
        <v>167</v>
      </c>
      <c r="W672" s="4" t="s">
        <v>166</v>
      </c>
      <c r="X672" s="4" t="s">
        <v>166</v>
      </c>
      <c r="Y672" t="str">
        <f>_xlfn.XLOOKUP($P672,[7]Sheet1!$F$2:$F$33,[7]Sheet1!$AA$2:$AA$33)</f>
        <v>BNI</v>
      </c>
      <c r="Z672">
        <f>_xlfn.XLOOKUP($P672,[7]Sheet1!$F$2:$F$33,[7]Sheet1!$AB$2:$AB$33)</f>
        <v>858932721</v>
      </c>
      <c r="AA672" t="str">
        <f>_xlfn.XLOOKUP($P672,[7]Sheet1!$F$2:$F$33,[7]Sheet1!$Z$2:$Z$33)</f>
        <v>Alya Rahmawati</v>
      </c>
      <c r="AB672" s="47">
        <v>5730000</v>
      </c>
      <c r="AC672" s="3">
        <v>5730000</v>
      </c>
      <c r="AI672" s="16"/>
      <c r="AL672" s="11">
        <f t="shared" si="296"/>
        <v>5730000</v>
      </c>
      <c r="AM672" s="16">
        <f t="shared" si="297"/>
        <v>586752</v>
      </c>
      <c r="AN672" s="16">
        <f t="shared" si="298"/>
        <v>229200</v>
      </c>
      <c r="AO672" s="16">
        <f t="shared" si="315"/>
        <v>357552</v>
      </c>
      <c r="AP672" s="16">
        <f t="shared" si="299"/>
        <v>212010</v>
      </c>
      <c r="AQ672" s="16">
        <f t="shared" si="300"/>
        <v>6316752</v>
      </c>
      <c r="AR672" s="16">
        <f t="shared" si="301"/>
        <v>379005.12</v>
      </c>
      <c r="AS672" s="16">
        <f t="shared" si="302"/>
        <v>41690.563199999997</v>
      </c>
      <c r="AT672" s="16">
        <f t="shared" si="303"/>
        <v>-7580.1023999999998</v>
      </c>
      <c r="AU672" s="16">
        <f t="shared" si="304"/>
        <v>6688177.0175999999</v>
      </c>
      <c r="AV672" s="16">
        <f t="shared" si="305"/>
        <v>6695757.1200000001</v>
      </c>
      <c r="AW672" s="16">
        <f t="shared" si="306"/>
        <v>229200</v>
      </c>
      <c r="AZ672" s="17">
        <f t="shared" si="314"/>
        <v>2900</v>
      </c>
      <c r="BA672" s="16">
        <f t="shared" si="307"/>
        <v>5500800</v>
      </c>
      <c r="BB672" s="16">
        <f t="shared" si="308"/>
        <v>5497900</v>
      </c>
      <c r="BC672" s="15">
        <v>0.03</v>
      </c>
      <c r="BD672">
        <v>0.01</v>
      </c>
      <c r="BE672" s="37">
        <f t="shared" si="309"/>
        <v>529452</v>
      </c>
      <c r="BF672" s="38">
        <f t="shared" si="310"/>
        <v>326610</v>
      </c>
      <c r="BG672" s="37">
        <f t="shared" si="287"/>
        <v>0</v>
      </c>
      <c r="BH672" s="37">
        <f t="shared" si="311"/>
        <v>286500</v>
      </c>
      <c r="BL672" s="8">
        <f t="shared" si="312"/>
        <v>0</v>
      </c>
      <c r="BM672" s="7" t="str">
        <f t="shared" si="317"/>
        <v>Terdaftar BPJS Kes &amp; Naker</v>
      </c>
      <c r="BN672" s="11">
        <f t="shared" si="316"/>
        <v>326610</v>
      </c>
      <c r="BO672" s="11">
        <f t="shared" si="318"/>
        <v>260142.00000000003</v>
      </c>
      <c r="BP672" s="9">
        <f t="shared" si="313"/>
        <v>0</v>
      </c>
      <c r="BQ672" t="str">
        <f>_xlfn.XLOOKUP(X672,'[2]NON TETAP'!$H:$H,'[2]NON TETAP'!$I:$I)</f>
        <v>Elex Media Komputindo</v>
      </c>
    </row>
    <row r="673" spans="1:69" x14ac:dyDescent="0.3">
      <c r="A673" s="2">
        <v>672</v>
      </c>
      <c r="B673" s="5" t="s">
        <v>165</v>
      </c>
      <c r="D673" s="39">
        <f>_xlfn.XLOOKUP($B673,[6]Sheet1!$H:$H,[6]Sheet1!$CN:$CN)</f>
        <v>45461</v>
      </c>
      <c r="L673" s="39">
        <f>_xlfn.XLOOKUP($P673,[7]Sheet1!$F$2:$F$33,[7]Sheet1!$CA$2:$CA$33)</f>
        <v>45461</v>
      </c>
      <c r="P673" t="s">
        <v>164</v>
      </c>
      <c r="Q673" s="6">
        <v>51079</v>
      </c>
      <c r="R673" s="6">
        <v>27570</v>
      </c>
      <c r="S673" s="5" t="str">
        <f>VLOOKUP(T673,'[1]Kode Posisi'!$A$3:$B$45,2,)</f>
        <v>Outsourcing Petugas Administrasi</v>
      </c>
      <c r="T673" t="str">
        <f>_xlfn.XLOOKUP($P673,[7]Sheet1!$F$2:$F$33,[7]Sheet1!$I$2:$I$33)</f>
        <v>Accounting</v>
      </c>
      <c r="V673" s="18" t="s">
        <v>163</v>
      </c>
      <c r="W673" s="51" t="s">
        <v>158</v>
      </c>
      <c r="X673" s="51" t="s">
        <v>158</v>
      </c>
      <c r="Y673" t="str">
        <f>_xlfn.XLOOKUP($P673,[7]Sheet1!$F$2:$F$33,[7]Sheet1!$AA$2:$AA$33)</f>
        <v>BRI</v>
      </c>
      <c r="Z673">
        <f>_xlfn.XLOOKUP($P673,[7]Sheet1!$F$2:$F$33,[7]Sheet1!$AB$2:$AB$33)</f>
        <v>325601038981531</v>
      </c>
      <c r="AA673" t="str">
        <f>_xlfn.XLOOKUP($P673,[7]Sheet1!$F$2:$F$33,[7]Sheet1!$Z$2:$Z$33)</f>
        <v>DEVI SONYA GULTOM</v>
      </c>
      <c r="AB673" s="47">
        <v>5730000</v>
      </c>
      <c r="AC673" s="3">
        <v>5730000</v>
      </c>
      <c r="AF673">
        <v>200000</v>
      </c>
      <c r="AI673" s="16"/>
      <c r="AL673" s="11">
        <f t="shared" si="296"/>
        <v>5930000</v>
      </c>
      <c r="AM673" s="16">
        <f t="shared" si="297"/>
        <v>586752</v>
      </c>
      <c r="AN673" s="16">
        <f t="shared" si="298"/>
        <v>229200</v>
      </c>
      <c r="AO673" s="16">
        <f t="shared" si="315"/>
        <v>357552</v>
      </c>
      <c r="AP673" s="16">
        <f t="shared" si="299"/>
        <v>219410</v>
      </c>
      <c r="AQ673" s="16">
        <f t="shared" si="300"/>
        <v>6516752</v>
      </c>
      <c r="AR673" s="16">
        <f t="shared" si="301"/>
        <v>391005.12</v>
      </c>
      <c r="AS673" s="16">
        <f t="shared" si="302"/>
        <v>43010.563199999997</v>
      </c>
      <c r="AT673" s="16">
        <f t="shared" si="303"/>
        <v>-7820.1023999999998</v>
      </c>
      <c r="AU673" s="16">
        <f t="shared" si="304"/>
        <v>6899937.0175999999</v>
      </c>
      <c r="AV673" s="16">
        <f t="shared" si="305"/>
        <v>6907757.1200000001</v>
      </c>
      <c r="AW673" s="16">
        <f t="shared" si="306"/>
        <v>229200</v>
      </c>
      <c r="AZ673" s="17">
        <f t="shared" si="314"/>
        <v>2900</v>
      </c>
      <c r="BA673" s="16">
        <f t="shared" si="307"/>
        <v>5700800</v>
      </c>
      <c r="BB673" s="16">
        <f t="shared" si="308"/>
        <v>5697900</v>
      </c>
      <c r="BC673" s="15">
        <v>0.03</v>
      </c>
      <c r="BD673">
        <v>0.01</v>
      </c>
      <c r="BE673" s="37">
        <f t="shared" si="309"/>
        <v>529452</v>
      </c>
      <c r="BF673" s="38">
        <f t="shared" si="310"/>
        <v>326610</v>
      </c>
      <c r="BG673" s="37">
        <f t="shared" si="287"/>
        <v>0</v>
      </c>
      <c r="BH673" s="37">
        <f t="shared" si="311"/>
        <v>286500</v>
      </c>
      <c r="BL673" s="8">
        <f t="shared" si="312"/>
        <v>200000</v>
      </c>
      <c r="BM673" s="7" t="str">
        <f t="shared" si="317"/>
        <v>Terdaftar BPJS Kes &amp; Naker</v>
      </c>
      <c r="BN673" s="11">
        <f t="shared" si="316"/>
        <v>326610</v>
      </c>
      <c r="BO673" s="11">
        <f t="shared" si="318"/>
        <v>260142.00000000003</v>
      </c>
      <c r="BP673" s="9">
        <f t="shared" si="313"/>
        <v>0</v>
      </c>
      <c r="BQ673" t="str">
        <f>_xlfn.XLOOKUP(X673,'[2]NON TETAP'!$H:$H,'[2]NON TETAP'!$I:$I)</f>
        <v>GRAMEDIA ASRI MEDIA</v>
      </c>
    </row>
    <row r="674" spans="1:69" x14ac:dyDescent="0.3">
      <c r="A674" s="2">
        <v>673</v>
      </c>
      <c r="B674" s="5" t="s">
        <v>162</v>
      </c>
      <c r="D674" s="39">
        <f>_xlfn.XLOOKUP($B674,[6]Sheet1!$H:$H,[6]Sheet1!$CN:$CN)</f>
        <v>46022</v>
      </c>
      <c r="L674" s="39" t="e">
        <f>_xlfn.XLOOKUP($P674,[7]Sheet1!$F$2:$F$33,[7]Sheet1!$CA$2:$CA$33)</f>
        <v>#N/A</v>
      </c>
      <c r="P674" s="18" t="s">
        <v>161</v>
      </c>
      <c r="Q674" s="6">
        <v>51079</v>
      </c>
      <c r="R674" s="6">
        <v>27570</v>
      </c>
      <c r="S674" s="5" t="str">
        <f>VLOOKUP(T674,'[1]Kode Posisi'!$A$3:$B$45,2,)</f>
        <v>Outsourcing Petugas Administrasi</v>
      </c>
      <c r="T674" t="s">
        <v>160</v>
      </c>
      <c r="V674" s="18" t="s">
        <v>159</v>
      </c>
      <c r="W674" s="51" t="s">
        <v>158</v>
      </c>
      <c r="X674" s="51" t="s">
        <v>158</v>
      </c>
      <c r="Y674" t="s">
        <v>52</v>
      </c>
      <c r="Z674">
        <v>6030655191</v>
      </c>
      <c r="AA674" t="s">
        <v>157</v>
      </c>
      <c r="AB674" s="47">
        <v>5730000</v>
      </c>
      <c r="AC674" s="3">
        <v>5730000</v>
      </c>
      <c r="AF674">
        <v>200000</v>
      </c>
      <c r="AI674" s="16"/>
      <c r="AL674" s="11">
        <f t="shared" si="296"/>
        <v>5930000</v>
      </c>
      <c r="AM674" s="16">
        <f t="shared" si="297"/>
        <v>586752</v>
      </c>
      <c r="AN674" s="16">
        <f t="shared" si="298"/>
        <v>229200</v>
      </c>
      <c r="AO674" s="16">
        <f t="shared" si="315"/>
        <v>357552</v>
      </c>
      <c r="AP674" s="16">
        <f t="shared" si="299"/>
        <v>219410</v>
      </c>
      <c r="AQ674" s="16">
        <f t="shared" si="300"/>
        <v>6516752</v>
      </c>
      <c r="AR674" s="16">
        <f t="shared" ref="AR674:AR696" si="319">SUM(AQ674*0.06)</f>
        <v>391005.12</v>
      </c>
      <c r="AS674" s="16">
        <f t="shared" si="302"/>
        <v>43010.563199999997</v>
      </c>
      <c r="AT674" s="16">
        <f t="shared" si="303"/>
        <v>-7820.1023999999998</v>
      </c>
      <c r="AU674" s="16">
        <f t="shared" si="304"/>
        <v>6899937.0175999999</v>
      </c>
      <c r="AV674" s="16">
        <f t="shared" si="305"/>
        <v>6907757.1200000001</v>
      </c>
      <c r="AW674" s="16">
        <f t="shared" si="306"/>
        <v>229200</v>
      </c>
      <c r="AZ674" s="17">
        <f t="shared" si="314"/>
        <v>0</v>
      </c>
      <c r="BA674" s="16">
        <f t="shared" si="307"/>
        <v>5700800</v>
      </c>
      <c r="BB674" s="16">
        <f t="shared" si="308"/>
        <v>5700800</v>
      </c>
      <c r="BC674" s="15">
        <v>0.03</v>
      </c>
      <c r="BD674">
        <v>0.01</v>
      </c>
      <c r="BE674" s="37">
        <f t="shared" si="309"/>
        <v>529452</v>
      </c>
      <c r="BF674" s="38">
        <f t="shared" si="310"/>
        <v>326610</v>
      </c>
      <c r="BG674" s="37">
        <f t="shared" si="287"/>
        <v>0</v>
      </c>
      <c r="BH674" s="37">
        <f t="shared" si="311"/>
        <v>286500</v>
      </c>
      <c r="BL674" s="8">
        <f t="shared" si="312"/>
        <v>200000</v>
      </c>
      <c r="BM674" s="7" t="str">
        <f t="shared" si="317"/>
        <v>Terdaftar BPJS Kes &amp; Naker</v>
      </c>
      <c r="BN674" s="11">
        <f t="shared" si="316"/>
        <v>326610</v>
      </c>
      <c r="BO674" s="11">
        <f t="shared" si="318"/>
        <v>260142.00000000003</v>
      </c>
      <c r="BP674" s="9">
        <f t="shared" si="313"/>
        <v>0</v>
      </c>
      <c r="BQ674" t="str">
        <f>_xlfn.XLOOKUP(X674,'[2]NON TETAP'!$H:$H,'[2]NON TETAP'!$I:$I)</f>
        <v>GRAMEDIA ASRI MEDIA</v>
      </c>
    </row>
    <row r="675" spans="1:69" x14ac:dyDescent="0.3">
      <c r="A675" s="2">
        <v>674</v>
      </c>
      <c r="B675" s="5" t="s">
        <v>156</v>
      </c>
      <c r="D675" s="39">
        <f>_xlfn.XLOOKUP($B675,[6]Sheet1!$H:$H,[6]Sheet1!$CN:$CN)</f>
        <v>46023</v>
      </c>
      <c r="L675" s="39">
        <f>_xlfn.XLOOKUP($P675,[7]Sheet1!$F$2:$F$33,[7]Sheet1!$CA$2:$CA$33)</f>
        <v>46023</v>
      </c>
      <c r="P675" t="s">
        <v>155</v>
      </c>
      <c r="Q675" s="6">
        <v>99090</v>
      </c>
      <c r="R675" s="6">
        <v>27004</v>
      </c>
      <c r="S675" s="5" t="str">
        <f>VLOOKUP(T675,'[1]Kode Posisi'!$A$3:$B$45,2,)</f>
        <v>Outsourcing Penjualan</v>
      </c>
      <c r="T675" t="str">
        <f>_xlfn.XLOOKUP($P675,[7]Sheet1!$F$2:$F$33,[7]Sheet1!$I$2:$I$33)</f>
        <v>Sales Promotion Attendant</v>
      </c>
      <c r="V675" s="18" t="s">
        <v>154</v>
      </c>
      <c r="W675" s="4" t="s">
        <v>153</v>
      </c>
      <c r="X675" s="36" t="s">
        <v>23</v>
      </c>
      <c r="Y675" t="str">
        <f>_xlfn.XLOOKUP($P675,[7]Sheet1!$F$2:$F$33,[7]Sheet1!$AA$2:$AA$33)</f>
        <v>BRI</v>
      </c>
      <c r="Z675" t="str">
        <f>_xlfn.XLOOKUP($P675,[7]Sheet1!$F$2:$F$33,[7]Sheet1!$AB$2:$AB$33)</f>
        <v>3151 0106 7775 535</v>
      </c>
      <c r="AA675" t="str">
        <f>_xlfn.XLOOKUP($P675,[7]Sheet1!$F$2:$F$33,[7]Sheet1!$Z$2:$Z$33)</f>
        <v>Muhamad rizqi maulana</v>
      </c>
      <c r="AB675" s="47">
        <v>3737000</v>
      </c>
      <c r="AC675" s="3">
        <v>3737000</v>
      </c>
      <c r="AI675" s="16"/>
      <c r="AL675" s="11">
        <f t="shared" si="296"/>
        <v>3737000</v>
      </c>
      <c r="AM675" s="16">
        <f t="shared" si="297"/>
        <v>382668.79999999999</v>
      </c>
      <c r="AN675" s="16">
        <f t="shared" si="298"/>
        <v>149480</v>
      </c>
      <c r="AO675" s="16">
        <f t="shared" si="315"/>
        <v>233188.8</v>
      </c>
      <c r="AP675" s="16">
        <f t="shared" si="299"/>
        <v>138269</v>
      </c>
      <c r="AQ675" s="16">
        <f t="shared" si="300"/>
        <v>4119668.8</v>
      </c>
      <c r="AR675" s="16">
        <f t="shared" si="319"/>
        <v>247180.12799999997</v>
      </c>
      <c r="AS675" s="16">
        <f t="shared" si="302"/>
        <v>27189.814079999996</v>
      </c>
      <c r="AT675" s="16">
        <f t="shared" si="303"/>
        <v>-4943.6025599999994</v>
      </c>
      <c r="AU675" s="16">
        <f t="shared" si="304"/>
        <v>4361905.3254399998</v>
      </c>
      <c r="AV675" s="16">
        <f t="shared" si="305"/>
        <v>4366848.9279999994</v>
      </c>
      <c r="AW675" s="16">
        <f t="shared" si="306"/>
        <v>149480</v>
      </c>
      <c r="AZ675" s="17">
        <f t="shared" si="314"/>
        <v>2900</v>
      </c>
      <c r="BA675" s="16">
        <f t="shared" si="307"/>
        <v>3587520</v>
      </c>
      <c r="BB675" s="16">
        <f t="shared" si="308"/>
        <v>3584620</v>
      </c>
      <c r="BC675" s="15">
        <v>0.03</v>
      </c>
      <c r="BD675">
        <v>0.01</v>
      </c>
      <c r="BE675" s="37">
        <f t="shared" si="309"/>
        <v>345298.8</v>
      </c>
      <c r="BF675" s="38">
        <f t="shared" si="310"/>
        <v>213009</v>
      </c>
      <c r="BG675" s="37">
        <f t="shared" si="287"/>
        <v>0</v>
      </c>
      <c r="BH675" s="37">
        <f t="shared" si="311"/>
        <v>186850</v>
      </c>
      <c r="BL675" s="8">
        <f t="shared" si="312"/>
        <v>0</v>
      </c>
      <c r="BM675" s="7" t="str">
        <f t="shared" si="317"/>
        <v>Terdaftar BPJS Kes &amp; Naker</v>
      </c>
      <c r="BN675" s="11">
        <f t="shared" si="316"/>
        <v>213009</v>
      </c>
      <c r="BO675" s="11">
        <f t="shared" si="318"/>
        <v>169659.80000000002</v>
      </c>
      <c r="BP675" s="9">
        <f t="shared" si="313"/>
        <v>0</v>
      </c>
      <c r="BQ675" t="str">
        <f>_xlfn.XLOOKUP(X675,'[2]NON TETAP'!$H:$H,'[2]NON TETAP'!$I:$I)</f>
        <v>GLOBAL LINTAS KARYA UTAMA</v>
      </c>
    </row>
    <row r="676" spans="1:69" x14ac:dyDescent="0.3">
      <c r="A676" s="2">
        <v>675</v>
      </c>
      <c r="B676" s="5" t="s">
        <v>152</v>
      </c>
      <c r="D676" s="39">
        <f>_xlfn.XLOOKUP($B676,[6]Sheet1!$H:$H,[6]Sheet1!$CN:$CN)</f>
        <v>45994</v>
      </c>
      <c r="L676" s="39">
        <f>_xlfn.XLOOKUP($P676,[7]Sheet1!$F$2:$F$33,[7]Sheet1!$CA$2:$CA$33)</f>
        <v>45994</v>
      </c>
      <c r="P676" t="s">
        <v>151</v>
      </c>
      <c r="Q676" s="6">
        <v>10134</v>
      </c>
      <c r="R676" s="6">
        <v>27134</v>
      </c>
      <c r="S676" s="5" t="str">
        <f>VLOOKUP(T676,'[1]Kode Posisi'!$A$3:$B$45,2,)</f>
        <v>Outsourcing Keamanan</v>
      </c>
      <c r="T676" t="str">
        <f>_xlfn.XLOOKUP($P676,[7]Sheet1!$F$2:$F$33,[7]Sheet1!$I$2:$I$33)</f>
        <v>Security Guard (Anggota)</v>
      </c>
      <c r="V676" s="18" t="s">
        <v>150</v>
      </c>
      <c r="W676" s="4" t="s">
        <v>149</v>
      </c>
      <c r="X676" s="4" t="s">
        <v>148</v>
      </c>
      <c r="Y676" t="str">
        <f>_xlfn.XLOOKUP($P676,[7]Sheet1!$F$2:$F$33,[7]Sheet1!$AA$2:$AA$33)</f>
        <v>BCA</v>
      </c>
      <c r="Z676">
        <f>_xlfn.XLOOKUP($P676,[7]Sheet1!$F$2:$F$33,[7]Sheet1!$AB$2:$AB$33)</f>
        <v>2880306904</v>
      </c>
      <c r="AA676" t="str">
        <f>_xlfn.XLOOKUP($P676,[7]Sheet1!$F$2:$F$33,[7]Sheet1!$Z$2:$Z$33)</f>
        <v>Sarmilih</v>
      </c>
      <c r="AB676" s="47">
        <v>5730000</v>
      </c>
      <c r="AC676" s="3">
        <v>5730000</v>
      </c>
      <c r="AI676" s="16"/>
      <c r="AL676" s="11">
        <f t="shared" si="296"/>
        <v>5730000</v>
      </c>
      <c r="AM676" s="16">
        <f t="shared" si="297"/>
        <v>586752</v>
      </c>
      <c r="AN676" s="16">
        <f t="shared" si="298"/>
        <v>229200</v>
      </c>
      <c r="AO676" s="16">
        <f t="shared" si="315"/>
        <v>357552</v>
      </c>
      <c r="AP676" s="16">
        <f t="shared" si="299"/>
        <v>212010</v>
      </c>
      <c r="AQ676" s="16">
        <f t="shared" si="300"/>
        <v>6316752</v>
      </c>
      <c r="AR676" s="16">
        <f t="shared" si="319"/>
        <v>379005.12</v>
      </c>
      <c r="AS676" s="16">
        <f t="shared" si="302"/>
        <v>41690.563199999997</v>
      </c>
      <c r="AT676" s="16">
        <f t="shared" si="303"/>
        <v>-7580.1023999999998</v>
      </c>
      <c r="AU676" s="16">
        <f t="shared" si="304"/>
        <v>6688177.0175999999</v>
      </c>
      <c r="AV676" s="16">
        <f t="shared" si="305"/>
        <v>6695757.1200000001</v>
      </c>
      <c r="AW676" s="16">
        <f t="shared" si="306"/>
        <v>229200</v>
      </c>
      <c r="AZ676" s="17">
        <f t="shared" si="314"/>
        <v>0</v>
      </c>
      <c r="BA676" s="16">
        <f t="shared" si="307"/>
        <v>5500800</v>
      </c>
      <c r="BB676" s="16">
        <f t="shared" si="308"/>
        <v>5500800</v>
      </c>
      <c r="BC676" s="15">
        <v>0.03</v>
      </c>
      <c r="BD676">
        <v>0.01</v>
      </c>
      <c r="BE676" s="37">
        <f t="shared" si="309"/>
        <v>529452</v>
      </c>
      <c r="BF676" s="38">
        <f t="shared" si="310"/>
        <v>326610</v>
      </c>
      <c r="BG676" s="37">
        <f t="shared" si="287"/>
        <v>0</v>
      </c>
      <c r="BH676" s="37">
        <f t="shared" si="311"/>
        <v>286500</v>
      </c>
      <c r="BL676" s="8">
        <f t="shared" si="312"/>
        <v>0</v>
      </c>
      <c r="BM676" s="7" t="str">
        <f t="shared" si="317"/>
        <v>Terdaftar BPJS Kes &amp; Naker</v>
      </c>
      <c r="BN676" s="11">
        <f t="shared" si="316"/>
        <v>326610</v>
      </c>
      <c r="BO676" s="11">
        <f t="shared" si="318"/>
        <v>260142.00000000003</v>
      </c>
      <c r="BP676" s="9">
        <f t="shared" si="313"/>
        <v>0</v>
      </c>
      <c r="BQ676" t="s">
        <v>8</v>
      </c>
    </row>
    <row r="677" spans="1:69" x14ac:dyDescent="0.3">
      <c r="A677" s="2">
        <v>676</v>
      </c>
      <c r="B677" s="5" t="s">
        <v>147</v>
      </c>
      <c r="D677" s="39">
        <f>_xlfn.XLOOKUP($B677,[6]Sheet1!$H:$H,[6]Sheet1!$CN:$CN)</f>
        <v>46023</v>
      </c>
      <c r="L677" s="39">
        <f>_xlfn.XLOOKUP($P677,[7]Sheet1!$F$2:$F$33,[7]Sheet1!$CA$2:$CA$33)</f>
        <v>46023</v>
      </c>
      <c r="P677" t="s">
        <v>146</v>
      </c>
      <c r="Q677" s="6">
        <v>10125</v>
      </c>
      <c r="R677" s="6">
        <v>27125</v>
      </c>
      <c r="S677" s="5" t="str">
        <f>VLOOKUP(T677,'[1]Kode Posisi'!$A$3:$B$45,2,)</f>
        <v>Outsourcing Keamanan</v>
      </c>
      <c r="T677" t="str">
        <f>_xlfn.XLOOKUP($P677,[7]Sheet1!$F$2:$F$33,[7]Sheet1!$I$2:$I$33)</f>
        <v>Security Guard (Anggota)</v>
      </c>
      <c r="V677" s="18" t="s">
        <v>145</v>
      </c>
      <c r="W677" s="36" t="s">
        <v>144</v>
      </c>
      <c r="X677" s="36" t="s">
        <v>143</v>
      </c>
      <c r="Y677" t="str">
        <f>_xlfn.XLOOKUP($P677,[7]Sheet1!$F$2:$F$33,[7]Sheet1!$AA$2:$AA$33)</f>
        <v>BCA</v>
      </c>
      <c r="Z677">
        <f>_xlfn.XLOOKUP($P677,[7]Sheet1!$F$2:$F$33,[7]Sheet1!$AB$2:$AB$33)</f>
        <v>232112857</v>
      </c>
      <c r="AA677" t="str">
        <f>_xlfn.XLOOKUP($P677,[7]Sheet1!$F$2:$F$33,[7]Sheet1!$Z$2:$Z$33)</f>
        <v>Vio Dwi Chandra</v>
      </c>
      <c r="AB677" s="50">
        <v>3306000</v>
      </c>
      <c r="AC677" s="47">
        <v>3306000</v>
      </c>
      <c r="AI677" s="16"/>
      <c r="AL677" s="11">
        <f t="shared" si="296"/>
        <v>3306000</v>
      </c>
      <c r="AM677" s="16">
        <f t="shared" si="297"/>
        <v>338534.40000000002</v>
      </c>
      <c r="AN677" s="16">
        <f t="shared" si="298"/>
        <v>132240</v>
      </c>
      <c r="AO677" s="16">
        <f t="shared" si="315"/>
        <v>206294.39999999999</v>
      </c>
      <c r="AP677" s="16">
        <f t="shared" si="299"/>
        <v>122322</v>
      </c>
      <c r="AQ677" s="16">
        <f t="shared" si="300"/>
        <v>3644534.4</v>
      </c>
      <c r="AR677" s="16">
        <f t="shared" si="319"/>
        <v>218672.06399999998</v>
      </c>
      <c r="AS677" s="16">
        <f t="shared" si="302"/>
        <v>24053.927039999999</v>
      </c>
      <c r="AT677" s="16">
        <f t="shared" si="303"/>
        <v>-4373.44128</v>
      </c>
      <c r="AU677" s="16">
        <f t="shared" si="304"/>
        <v>3858833.0227199998</v>
      </c>
      <c r="AV677" s="16">
        <f t="shared" si="305"/>
        <v>3863206.4639999997</v>
      </c>
      <c r="AW677" s="16">
        <f t="shared" si="306"/>
        <v>132240</v>
      </c>
      <c r="AZ677" s="17">
        <f t="shared" si="314"/>
        <v>0</v>
      </c>
      <c r="BA677" s="16">
        <f t="shared" si="307"/>
        <v>3173760</v>
      </c>
      <c r="BB677" s="16">
        <f t="shared" si="308"/>
        <v>3173760</v>
      </c>
      <c r="BC677" s="15">
        <v>0.03</v>
      </c>
      <c r="BD677">
        <v>0.01</v>
      </c>
      <c r="BE677" s="37">
        <f t="shared" si="309"/>
        <v>305474.39999999997</v>
      </c>
      <c r="BF677" s="38">
        <f t="shared" si="310"/>
        <v>188442</v>
      </c>
      <c r="BG677" s="37">
        <f>5%*AC677</f>
        <v>165300</v>
      </c>
      <c r="BH677" s="37">
        <f t="shared" si="311"/>
        <v>165300</v>
      </c>
      <c r="BL677" s="8">
        <f t="shared" si="312"/>
        <v>0</v>
      </c>
      <c r="BM677" s="7" t="str">
        <f t="shared" si="317"/>
        <v>Terdaftar BPJS Kes &amp; Naker</v>
      </c>
      <c r="BN677" s="11">
        <f t="shared" si="316"/>
        <v>188442</v>
      </c>
      <c r="BO677" s="11">
        <f t="shared" si="318"/>
        <v>150092.40000000002</v>
      </c>
      <c r="BP677" s="9">
        <f t="shared" si="313"/>
        <v>0</v>
      </c>
      <c r="BQ677" t="str">
        <f>_xlfn.XLOOKUP(X677,'[2]NON TETAP'!$H:$H,'[2]NON TETAP'!$I:$I)</f>
        <v>GRAMEDIA ASRI MEDIA</v>
      </c>
    </row>
    <row r="678" spans="1:69" x14ac:dyDescent="0.3">
      <c r="A678" s="2">
        <v>677</v>
      </c>
      <c r="B678" s="5" t="s">
        <v>142</v>
      </c>
      <c r="D678" s="39">
        <f>_xlfn.XLOOKUP($B678,[6]Sheet1!$H:$H,[6]Sheet1!$CN:$CN)</f>
        <v>46023</v>
      </c>
      <c r="L678" s="39">
        <f>_xlfn.XLOOKUP($P678,[7]Sheet1!$F$2:$F$33,[7]Sheet1!$CA$2:$CA$33)</f>
        <v>46023</v>
      </c>
      <c r="P678" t="s">
        <v>141</v>
      </c>
      <c r="Q678" s="6">
        <v>10109</v>
      </c>
      <c r="R678" s="6">
        <v>27109</v>
      </c>
      <c r="S678" s="5" t="str">
        <f>VLOOKUP(T678,'[1]Kode Posisi'!$A$3:$B$45,2,)</f>
        <v>Outsourcing Keamanan</v>
      </c>
      <c r="T678" t="str">
        <f>_xlfn.XLOOKUP($P678,[7]Sheet1!$F$2:$F$33,[7]Sheet1!$I$2:$I$33)</f>
        <v>Security Guard (Anggota)</v>
      </c>
      <c r="V678" s="18" t="s">
        <v>140</v>
      </c>
      <c r="W678" s="36" t="s">
        <v>139</v>
      </c>
      <c r="X678" s="36" t="s">
        <v>139</v>
      </c>
      <c r="Y678" t="str">
        <f>_xlfn.XLOOKUP($P678,[7]Sheet1!$F$2:$F$33,[7]Sheet1!$AA$2:$AA$33)</f>
        <v>BCA</v>
      </c>
      <c r="Z678">
        <f>_xlfn.XLOOKUP($P678,[7]Sheet1!$F$2:$F$33,[7]Sheet1!$AB$2:$AB$33)</f>
        <v>7985634441</v>
      </c>
      <c r="AA678" t="str">
        <f>_xlfn.XLOOKUP($P678,[7]Sheet1!$F$2:$F$33,[7]Sheet1!$Z$2:$Z$33)</f>
        <v>M. ABIMAYU NUGROHO</v>
      </c>
      <c r="AB678" s="47">
        <v>4336000</v>
      </c>
      <c r="AC678" s="3">
        <v>4336000</v>
      </c>
      <c r="AI678" s="16"/>
      <c r="AL678" s="11">
        <f t="shared" si="296"/>
        <v>4336000</v>
      </c>
      <c r="AM678" s="16">
        <f t="shared" si="297"/>
        <v>444006.39999999997</v>
      </c>
      <c r="AN678" s="16">
        <f t="shared" si="298"/>
        <v>173440</v>
      </c>
      <c r="AO678" s="16">
        <f t="shared" si="315"/>
        <v>270566.39999999997</v>
      </c>
      <c r="AP678" s="16">
        <f t="shared" si="299"/>
        <v>160432</v>
      </c>
      <c r="AQ678" s="16">
        <f t="shared" si="300"/>
        <v>4780006.4000000004</v>
      </c>
      <c r="AR678" s="16">
        <f t="shared" si="319"/>
        <v>286800.38400000002</v>
      </c>
      <c r="AS678" s="16">
        <f t="shared" si="302"/>
        <v>31548.042240000002</v>
      </c>
      <c r="AT678" s="16">
        <f t="shared" si="303"/>
        <v>-5736.0076800000006</v>
      </c>
      <c r="AU678" s="16">
        <f t="shared" si="304"/>
        <v>5061070.7763200002</v>
      </c>
      <c r="AV678" s="16">
        <f t="shared" si="305"/>
        <v>5066806.784</v>
      </c>
      <c r="AW678" s="16">
        <f t="shared" si="306"/>
        <v>173440</v>
      </c>
      <c r="AZ678" s="17">
        <f t="shared" si="314"/>
        <v>0</v>
      </c>
      <c r="BA678" s="16">
        <f t="shared" si="307"/>
        <v>4162560</v>
      </c>
      <c r="BB678" s="16">
        <f t="shared" si="308"/>
        <v>4162560</v>
      </c>
      <c r="BC678" s="15">
        <v>0.03</v>
      </c>
      <c r="BD678">
        <v>0.01</v>
      </c>
      <c r="BE678" s="37">
        <f t="shared" si="309"/>
        <v>400646.39999999997</v>
      </c>
      <c r="BF678" s="38">
        <f t="shared" si="310"/>
        <v>247152</v>
      </c>
      <c r="BG678" s="37">
        <f t="shared" ref="BG678:BG685" si="320">5%*AD678</f>
        <v>0</v>
      </c>
      <c r="BH678" s="37">
        <f t="shared" si="311"/>
        <v>216800</v>
      </c>
      <c r="BL678" s="8">
        <f t="shared" si="312"/>
        <v>0</v>
      </c>
      <c r="BM678" s="7" t="str">
        <f t="shared" si="317"/>
        <v>Terdaftar BPJS Kes &amp; Naker</v>
      </c>
      <c r="BN678" s="11">
        <f t="shared" si="316"/>
        <v>247152</v>
      </c>
      <c r="BO678" s="11">
        <f t="shared" si="318"/>
        <v>196854.40000000002</v>
      </c>
      <c r="BP678" s="9">
        <f t="shared" si="313"/>
        <v>0</v>
      </c>
      <c r="BQ678" t="str">
        <f>_xlfn.XLOOKUP(X678,'[2]NON TETAP'!$H:$H,'[2]NON TETAP'!$I:$I)</f>
        <v>GRAMEDIA ASRI MEDIA</v>
      </c>
    </row>
    <row r="679" spans="1:69" x14ac:dyDescent="0.3">
      <c r="A679" s="2">
        <v>678</v>
      </c>
      <c r="B679" s="5" t="s">
        <v>138</v>
      </c>
      <c r="D679" s="39">
        <f>_xlfn.XLOOKUP($B679,[6]Sheet1!$H:$H,[6]Sheet1!$CN:$CN)</f>
        <v>46024</v>
      </c>
      <c r="L679" s="39">
        <f>_xlfn.XLOOKUP($P679,[7]Sheet1!$F$2:$F$33,[7]Sheet1!$CA$2:$CA$33)</f>
        <v>46024</v>
      </c>
      <c r="P679" t="s">
        <v>137</v>
      </c>
      <c r="Q679" s="6">
        <v>10137</v>
      </c>
      <c r="R679" s="6">
        <v>27137</v>
      </c>
      <c r="S679" s="5" t="str">
        <f>VLOOKUP(T679,'[1]Kode Posisi'!$A$3:$B$45,2,)</f>
        <v>Outsourcing Keamanan</v>
      </c>
      <c r="T679" t="str">
        <f>_xlfn.XLOOKUP($P679,[7]Sheet1!$F$2:$F$33,[7]Sheet1!$I$2:$I$33)</f>
        <v>Security Guard (Anggota)</v>
      </c>
      <c r="V679" s="18" t="s">
        <v>136</v>
      </c>
      <c r="W679" s="36" t="s">
        <v>135</v>
      </c>
      <c r="X679" s="36" t="s">
        <v>135</v>
      </c>
      <c r="Y679" t="str">
        <f>_xlfn.XLOOKUP($P679,[7]Sheet1!$F$2:$F$33,[7]Sheet1!$AA$2:$AA$33)</f>
        <v>BCA</v>
      </c>
      <c r="Z679">
        <f>_xlfn.XLOOKUP($P679,[7]Sheet1!$F$2:$F$33,[7]Sheet1!$AB$2:$AB$33)</f>
        <v>512800261</v>
      </c>
      <c r="AA679" t="str">
        <f>_xlfn.XLOOKUP($P679,[7]Sheet1!$F$2:$F$33,[7]Sheet1!$Z$2:$Z$33)</f>
        <v>AKHMAD DANI</v>
      </c>
      <c r="AB679" s="47">
        <v>3856000</v>
      </c>
      <c r="AC679" s="3">
        <v>3856000</v>
      </c>
      <c r="AI679" s="16"/>
      <c r="AL679" s="11">
        <f t="shared" si="296"/>
        <v>3856000</v>
      </c>
      <c r="AM679" s="16">
        <f t="shared" si="297"/>
        <v>394854.40000000002</v>
      </c>
      <c r="AN679" s="16">
        <f t="shared" si="298"/>
        <v>154240</v>
      </c>
      <c r="AO679" s="16">
        <f t="shared" si="315"/>
        <v>240614.39999999999</v>
      </c>
      <c r="AP679" s="16">
        <f t="shared" si="299"/>
        <v>142672</v>
      </c>
      <c r="AQ679" s="16">
        <f t="shared" si="300"/>
        <v>4250854.4000000004</v>
      </c>
      <c r="AR679" s="16">
        <f t="shared" si="319"/>
        <v>255051.26400000002</v>
      </c>
      <c r="AS679" s="16">
        <f t="shared" si="302"/>
        <v>28055.639040000002</v>
      </c>
      <c r="AT679" s="16">
        <f t="shared" si="303"/>
        <v>-5101.0252800000007</v>
      </c>
      <c r="AU679" s="16">
        <f t="shared" si="304"/>
        <v>4500804.6387200011</v>
      </c>
      <c r="AV679" s="16">
        <f t="shared" si="305"/>
        <v>4505905.6640000008</v>
      </c>
      <c r="AW679" s="16">
        <f t="shared" si="306"/>
        <v>154240</v>
      </c>
      <c r="AZ679" s="17">
        <f t="shared" si="314"/>
        <v>0</v>
      </c>
      <c r="BA679" s="16">
        <f t="shared" si="307"/>
        <v>3701760</v>
      </c>
      <c r="BB679" s="16">
        <f t="shared" si="308"/>
        <v>3701760</v>
      </c>
      <c r="BC679" s="15">
        <v>0.03</v>
      </c>
      <c r="BD679">
        <v>0.01</v>
      </c>
      <c r="BE679" s="37">
        <f t="shared" si="309"/>
        <v>356294.39999999997</v>
      </c>
      <c r="BF679" s="38">
        <f t="shared" si="310"/>
        <v>219792</v>
      </c>
      <c r="BG679" s="37">
        <f t="shared" si="320"/>
        <v>0</v>
      </c>
      <c r="BH679" s="37">
        <f t="shared" si="311"/>
        <v>192800</v>
      </c>
      <c r="BL679" s="8">
        <f t="shared" si="312"/>
        <v>0</v>
      </c>
      <c r="BM679" s="7" t="str">
        <f t="shared" si="317"/>
        <v>Terdaftar BPJS Kes &amp; Naker</v>
      </c>
      <c r="BN679" s="11">
        <f t="shared" si="316"/>
        <v>219792</v>
      </c>
      <c r="BO679" s="11">
        <f t="shared" si="318"/>
        <v>175062.40000000002</v>
      </c>
      <c r="BP679" s="9">
        <f t="shared" si="313"/>
        <v>0</v>
      </c>
      <c r="BQ679" t="str">
        <f>_xlfn.XLOOKUP(X679,'[2]NON TETAP'!$H:$H,'[2]NON TETAP'!$I:$I)</f>
        <v>GRAMEDIA ASRI MEDIA</v>
      </c>
    </row>
    <row r="680" spans="1:69" x14ac:dyDescent="0.3">
      <c r="A680" s="2">
        <v>679</v>
      </c>
      <c r="B680" s="5" t="s">
        <v>134</v>
      </c>
      <c r="D680" s="39">
        <f>_xlfn.XLOOKUP($B680,[6]Sheet1!$H:$H,[6]Sheet1!$CN:$CN)</f>
        <v>46023</v>
      </c>
      <c r="L680" s="39">
        <f>_xlfn.XLOOKUP($P680,[7]Sheet1!$F$2:$F$33,[7]Sheet1!$CA$2:$CA$33)</f>
        <v>46023</v>
      </c>
      <c r="P680" t="s">
        <v>133</v>
      </c>
      <c r="Q680" s="6">
        <v>10148</v>
      </c>
      <c r="R680" s="6">
        <v>27148</v>
      </c>
      <c r="S680" s="5" t="str">
        <f>VLOOKUP(T680,'[1]Kode Posisi'!$A$3:$B$45,2,)</f>
        <v>Outsourcing Keamanan</v>
      </c>
      <c r="T680" t="str">
        <f>_xlfn.XLOOKUP($P680,[7]Sheet1!$F$2:$F$33,[7]Sheet1!$I$2:$I$33)</f>
        <v>Security Guard (Anggota)</v>
      </c>
      <c r="V680" s="18" t="s">
        <v>132</v>
      </c>
      <c r="W680" s="5" t="s">
        <v>131</v>
      </c>
      <c r="X680" s="36" t="s">
        <v>130</v>
      </c>
      <c r="Y680" t="str">
        <f>_xlfn.XLOOKUP($P680,[7]Sheet1!$F$2:$F$33,[7]Sheet1!$AA$2:$AA$33)</f>
        <v>BNI</v>
      </c>
      <c r="Z680">
        <f>_xlfn.XLOOKUP($P680,[7]Sheet1!$F$2:$F$33,[7]Sheet1!$AB$2:$AB$33)</f>
        <v>1917645432</v>
      </c>
      <c r="AA680" t="str">
        <f>_xlfn.XLOOKUP($P680,[7]Sheet1!$F$2:$F$33,[7]Sheet1!$Z$2:$Z$33)</f>
        <v>Novan Kusuma Atmaja</v>
      </c>
      <c r="AB680" s="47">
        <v>3984000</v>
      </c>
      <c r="AC680" s="3">
        <v>3984000</v>
      </c>
      <c r="AI680" s="16"/>
      <c r="AL680" s="11">
        <f t="shared" si="296"/>
        <v>3984000</v>
      </c>
      <c r="AM680" s="16">
        <f t="shared" si="297"/>
        <v>407961.59999999998</v>
      </c>
      <c r="AN680" s="16">
        <f t="shared" si="298"/>
        <v>159360</v>
      </c>
      <c r="AO680" s="16">
        <f t="shared" si="315"/>
        <v>248601.59999999998</v>
      </c>
      <c r="AP680" s="16">
        <f t="shared" si="299"/>
        <v>147408</v>
      </c>
      <c r="AQ680" s="16">
        <f t="shared" si="300"/>
        <v>4391961.5999999996</v>
      </c>
      <c r="AR680" s="16">
        <f t="shared" si="319"/>
        <v>263517.696</v>
      </c>
      <c r="AS680" s="16">
        <f t="shared" si="302"/>
        <v>28986.94656</v>
      </c>
      <c r="AT680" s="16">
        <f t="shared" si="303"/>
        <v>-5270.3539200000005</v>
      </c>
      <c r="AU680" s="16">
        <f t="shared" si="304"/>
        <v>4650208.9420800004</v>
      </c>
      <c r="AV680" s="16">
        <f t="shared" si="305"/>
        <v>4655479.2960000001</v>
      </c>
      <c r="AW680" s="16">
        <f t="shared" si="306"/>
        <v>159360</v>
      </c>
      <c r="AZ680" s="17">
        <f t="shared" si="314"/>
        <v>2900</v>
      </c>
      <c r="BA680" s="16">
        <f t="shared" si="307"/>
        <v>3824640</v>
      </c>
      <c r="BB680" s="16">
        <f t="shared" si="308"/>
        <v>3821740</v>
      </c>
      <c r="BC680" s="15">
        <v>0.03</v>
      </c>
      <c r="BD680">
        <v>0.01</v>
      </c>
      <c r="BE680" s="37">
        <f t="shared" si="309"/>
        <v>368121.59999999998</v>
      </c>
      <c r="BF680" s="38">
        <f t="shared" si="310"/>
        <v>227088</v>
      </c>
      <c r="BG680" s="37">
        <f t="shared" si="320"/>
        <v>0</v>
      </c>
      <c r="BH680" s="37">
        <f t="shared" si="311"/>
        <v>199200</v>
      </c>
      <c r="BL680" s="8">
        <f t="shared" si="312"/>
        <v>0</v>
      </c>
      <c r="BM680" s="7" t="str">
        <f t="shared" si="317"/>
        <v>Terdaftar BPJS Kes &amp; Naker</v>
      </c>
      <c r="BN680" s="11">
        <f t="shared" si="316"/>
        <v>227088</v>
      </c>
      <c r="BO680" s="11">
        <f t="shared" si="318"/>
        <v>180873.60000000001</v>
      </c>
      <c r="BP680" s="9">
        <f t="shared" si="313"/>
        <v>0</v>
      </c>
      <c r="BQ680" t="str">
        <f>_xlfn.XLOOKUP(X680,'[2]NON TETAP'!$H:$H,'[2]NON TETAP'!$I:$I)</f>
        <v>GRAMEDIA ASRI MEDIA</v>
      </c>
    </row>
    <row r="681" spans="1:69" x14ac:dyDescent="0.3">
      <c r="A681" s="2">
        <v>680</v>
      </c>
      <c r="B681" s="5" t="s">
        <v>129</v>
      </c>
      <c r="D681" s="39">
        <f>_xlfn.XLOOKUP($B681,[6]Sheet1!$H:$H,[6]Sheet1!$CN:$CN)</f>
        <v>46023</v>
      </c>
      <c r="L681" s="39">
        <f>_xlfn.XLOOKUP($P681,[7]Sheet1!$F$2:$F$33,[7]Sheet1!$CA$2:$CA$33)</f>
        <v>46023</v>
      </c>
      <c r="P681" t="s">
        <v>128</v>
      </c>
      <c r="Q681" s="6">
        <v>10126</v>
      </c>
      <c r="R681" s="6">
        <v>27126</v>
      </c>
      <c r="S681" s="5" t="str">
        <f>VLOOKUP(T681,'[1]Kode Posisi'!$A$3:$B$45,2,)</f>
        <v>Outsourcing Keamanan</v>
      </c>
      <c r="T681" t="str">
        <f>_xlfn.XLOOKUP($P681,[7]Sheet1!$F$2:$F$33,[7]Sheet1!$I$2:$I$33)</f>
        <v>Security Guard (Anggota)</v>
      </c>
      <c r="V681" s="18" t="s">
        <v>127</v>
      </c>
      <c r="W681" s="36" t="s">
        <v>65</v>
      </c>
      <c r="X681" s="36" t="s">
        <v>64</v>
      </c>
      <c r="Y681" t="str">
        <f>_xlfn.XLOOKUP($P681,[7]Sheet1!$F$2:$F$33,[7]Sheet1!$AA$2:$AA$33)</f>
        <v>BRI</v>
      </c>
      <c r="Z681">
        <f>_xlfn.XLOOKUP($P681,[7]Sheet1!$F$2:$F$33,[7]Sheet1!$AB$2:$AB$33)</f>
        <v>335901005011503</v>
      </c>
      <c r="AA681" t="str">
        <f>_xlfn.XLOOKUP($P681,[7]Sheet1!$F$2:$F$33,[7]Sheet1!$Z$2:$Z$33)</f>
        <v>GENI SILVIA</v>
      </c>
      <c r="AB681" s="47">
        <v>3999000</v>
      </c>
      <c r="AC681" s="3">
        <v>3999000</v>
      </c>
      <c r="AI681" s="16"/>
      <c r="AL681" s="11">
        <f t="shared" si="296"/>
        <v>3999000</v>
      </c>
      <c r="AM681" s="16">
        <f t="shared" si="297"/>
        <v>409497.59999999998</v>
      </c>
      <c r="AN681" s="16">
        <f t="shared" si="298"/>
        <v>159960</v>
      </c>
      <c r="AO681" s="16">
        <f t="shared" si="315"/>
        <v>249537.59999999998</v>
      </c>
      <c r="AP681" s="16">
        <f t="shared" si="299"/>
        <v>147963</v>
      </c>
      <c r="AQ681" s="16">
        <f t="shared" si="300"/>
        <v>4408497.5999999996</v>
      </c>
      <c r="AR681" s="16">
        <f t="shared" si="319"/>
        <v>264509.85599999997</v>
      </c>
      <c r="AS681" s="16">
        <f t="shared" si="302"/>
        <v>29096.084159999999</v>
      </c>
      <c r="AT681" s="16">
        <f t="shared" si="303"/>
        <v>-5290.1971199999998</v>
      </c>
      <c r="AU681" s="16">
        <f t="shared" si="304"/>
        <v>4667717.2588799996</v>
      </c>
      <c r="AV681" s="16">
        <f t="shared" si="305"/>
        <v>4673007.4559999993</v>
      </c>
      <c r="AW681" s="16">
        <f t="shared" si="306"/>
        <v>159960</v>
      </c>
      <c r="AZ681" s="17">
        <f t="shared" si="314"/>
        <v>2900</v>
      </c>
      <c r="BA681" s="16">
        <f t="shared" si="307"/>
        <v>3839040</v>
      </c>
      <c r="BB681" s="16">
        <f t="shared" si="308"/>
        <v>3836140</v>
      </c>
      <c r="BC681" s="15">
        <v>0.03</v>
      </c>
      <c r="BD681">
        <v>0.01</v>
      </c>
      <c r="BE681" s="37">
        <f t="shared" si="309"/>
        <v>369507.6</v>
      </c>
      <c r="BF681" s="38">
        <f t="shared" si="310"/>
        <v>227943</v>
      </c>
      <c r="BG681" s="37">
        <f t="shared" si="320"/>
        <v>0</v>
      </c>
      <c r="BH681" s="37">
        <f t="shared" si="311"/>
        <v>199950</v>
      </c>
      <c r="BL681" s="8">
        <f t="shared" si="312"/>
        <v>0</v>
      </c>
      <c r="BM681" s="7" t="str">
        <f t="shared" si="317"/>
        <v>Terdaftar BPJS Kes &amp; Naker</v>
      </c>
      <c r="BN681" s="11">
        <f t="shared" si="316"/>
        <v>227943</v>
      </c>
      <c r="BO681" s="11">
        <f t="shared" si="318"/>
        <v>181554.6</v>
      </c>
      <c r="BP681" s="9">
        <f t="shared" si="313"/>
        <v>0</v>
      </c>
      <c r="BQ681" t="str">
        <f>_xlfn.XLOOKUP(X681,'[2]NON TETAP'!$H:$H,'[2]NON TETAP'!$I:$I)</f>
        <v>GRAMEDIA ASRI MEDIA</v>
      </c>
    </row>
    <row r="682" spans="1:69" x14ac:dyDescent="0.3">
      <c r="A682" s="2">
        <v>681</v>
      </c>
      <c r="B682" s="5" t="s">
        <v>126</v>
      </c>
      <c r="D682" s="39">
        <f>_xlfn.XLOOKUP($B682,[6]Sheet1!$H:$H,[6]Sheet1!$CN:$CN)</f>
        <v>46024</v>
      </c>
      <c r="L682" s="39">
        <f>_xlfn.XLOOKUP($P682,[7]Sheet1!$F$2:$F$33,[7]Sheet1!$CA$2:$CA$33)</f>
        <v>46024</v>
      </c>
      <c r="P682" t="s">
        <v>125</v>
      </c>
      <c r="Q682" s="6">
        <v>10141</v>
      </c>
      <c r="R682" s="6">
        <v>27141</v>
      </c>
      <c r="S682" s="5" t="str">
        <f>VLOOKUP(T682,'[1]Kode Posisi'!$A$3:$B$45,2,)</f>
        <v>Outsourcing Cleaning Service</v>
      </c>
      <c r="T682" t="str">
        <f>_xlfn.XLOOKUP($P682,[7]Sheet1!$F$2:$F$33,[7]Sheet1!$I$2:$I$33)</f>
        <v>Cleaning Services (Anggota)</v>
      </c>
      <c r="V682" s="18" t="s">
        <v>124</v>
      </c>
      <c r="W682" s="5" t="s">
        <v>123</v>
      </c>
      <c r="X682" s="5" t="s">
        <v>123</v>
      </c>
      <c r="Y682" t="str">
        <f>_xlfn.XLOOKUP($P682,[7]Sheet1!$F$2:$F$33,[7]Sheet1!$AA$2:$AA$33)</f>
        <v>BCA</v>
      </c>
      <c r="Z682">
        <f>_xlfn.XLOOKUP($P682,[7]Sheet1!$F$2:$F$33,[7]Sheet1!$AB$2:$AB$33)</f>
        <v>5115026353</v>
      </c>
      <c r="AA682" t="str">
        <f>_xlfn.XLOOKUP($P682,[7]Sheet1!$F$2:$F$33,[7]Sheet1!$Z$2:$Z$33)</f>
        <v>ADRIANUS STEFAN M RAMBI</v>
      </c>
      <c r="AB682" s="47">
        <v>4023000</v>
      </c>
      <c r="AC682" s="3">
        <v>4023000</v>
      </c>
      <c r="AI682" s="16"/>
      <c r="AL682" s="11">
        <f t="shared" si="296"/>
        <v>4023000</v>
      </c>
      <c r="AM682" s="16">
        <f t="shared" si="297"/>
        <v>411955.19999999995</v>
      </c>
      <c r="AN682" s="16">
        <f t="shared" si="298"/>
        <v>160920</v>
      </c>
      <c r="AO682" s="16">
        <f t="shared" si="315"/>
        <v>251035.19999999998</v>
      </c>
      <c r="AP682" s="16">
        <f t="shared" si="299"/>
        <v>148851</v>
      </c>
      <c r="AQ682" s="16">
        <f t="shared" si="300"/>
        <v>4434955.2</v>
      </c>
      <c r="AR682" s="16">
        <f t="shared" si="319"/>
        <v>266097.31199999998</v>
      </c>
      <c r="AS682" s="16">
        <f t="shared" si="302"/>
        <v>29270.704319999997</v>
      </c>
      <c r="AT682" s="16">
        <f t="shared" si="303"/>
        <v>-5321.9462399999993</v>
      </c>
      <c r="AU682" s="16">
        <f t="shared" si="304"/>
        <v>4695730.5657599997</v>
      </c>
      <c r="AV682" s="16">
        <f t="shared" si="305"/>
        <v>4701052.5120000001</v>
      </c>
      <c r="AW682" s="16">
        <f t="shared" si="306"/>
        <v>160920</v>
      </c>
      <c r="AZ682" s="17">
        <f t="shared" si="314"/>
        <v>0</v>
      </c>
      <c r="BA682" s="16">
        <f t="shared" si="307"/>
        <v>3862080</v>
      </c>
      <c r="BB682" s="16">
        <f t="shared" si="308"/>
        <v>3862080</v>
      </c>
      <c r="BC682" s="15">
        <v>0.03</v>
      </c>
      <c r="BD682">
        <v>0.01</v>
      </c>
      <c r="BE682" s="37">
        <f t="shared" si="309"/>
        <v>371725.2</v>
      </c>
      <c r="BF682" s="38">
        <f t="shared" si="310"/>
        <v>229311.00000000003</v>
      </c>
      <c r="BG682" s="37">
        <f t="shared" si="320"/>
        <v>0</v>
      </c>
      <c r="BH682" s="37">
        <f t="shared" si="311"/>
        <v>201150</v>
      </c>
      <c r="BL682" s="8">
        <f t="shared" si="312"/>
        <v>0</v>
      </c>
      <c r="BM682" s="7" t="str">
        <f t="shared" si="317"/>
        <v>Terdaftar BPJS Kes &amp; Naker</v>
      </c>
      <c r="BN682" s="11">
        <f t="shared" si="316"/>
        <v>229311</v>
      </c>
      <c r="BO682" s="11">
        <f t="shared" si="318"/>
        <v>182644.2</v>
      </c>
      <c r="BP682" s="9">
        <f t="shared" si="313"/>
        <v>0</v>
      </c>
      <c r="BQ682" t="str">
        <f>_xlfn.XLOOKUP(X682,'[2]NON TETAP'!$H:$H,'[2]NON TETAP'!$I:$I)</f>
        <v>GRAMEDIA ASRI MEDIA</v>
      </c>
    </row>
    <row r="683" spans="1:69" x14ac:dyDescent="0.3">
      <c r="A683" s="2">
        <v>682</v>
      </c>
      <c r="B683" s="5" t="s">
        <v>122</v>
      </c>
      <c r="D683" s="39">
        <f>_xlfn.XLOOKUP($B683,[6]Sheet1!$H:$H,[6]Sheet1!$CN:$CN)</f>
        <v>43774</v>
      </c>
      <c r="L683" s="39">
        <f>_xlfn.XLOOKUP($P683,[7]Sheet1!$F$2:$F$33,[7]Sheet1!$CA$2:$CA$33)</f>
        <v>43774</v>
      </c>
      <c r="P683" t="s">
        <v>121</v>
      </c>
      <c r="Q683" s="6">
        <v>10486</v>
      </c>
      <c r="R683" s="6">
        <v>27486</v>
      </c>
      <c r="S683" s="5" t="s">
        <v>120</v>
      </c>
      <c r="T683" t="str">
        <f>_xlfn.XLOOKUP($P683,[7]Sheet1!$F$2:$F$33,[7]Sheet1!$I$2:$I$33)</f>
        <v>Warehouse Assosiate (Ex SOA)</v>
      </c>
      <c r="V683" s="18" t="s">
        <v>119</v>
      </c>
      <c r="W683" s="49" t="s">
        <v>118</v>
      </c>
      <c r="X683" s="49" t="s">
        <v>117</v>
      </c>
      <c r="Y683" t="str">
        <f>_xlfn.XLOOKUP($P683,[7]Sheet1!$F$2:$F$33,[7]Sheet1!$AA$2:$AA$33)</f>
        <v>BCA</v>
      </c>
      <c r="Z683">
        <f>_xlfn.XLOOKUP($P683,[7]Sheet1!$F$2:$F$33,[7]Sheet1!$AB$2:$AB$33)</f>
        <v>8020502577</v>
      </c>
      <c r="AA683" t="str">
        <f>_xlfn.XLOOKUP($P683,[7]Sheet1!$F$2:$F$33,[7]Sheet1!$Z$2:$Z$33)</f>
        <v>Very agus nugroho</v>
      </c>
      <c r="AB683" s="47">
        <v>2828000</v>
      </c>
      <c r="AC683" s="3">
        <v>2828000</v>
      </c>
      <c r="AI683" s="16"/>
      <c r="AL683" s="11">
        <f t="shared" si="296"/>
        <v>2828000</v>
      </c>
      <c r="AM683" s="16">
        <f t="shared" si="297"/>
        <v>289587.19999999995</v>
      </c>
      <c r="AN683" s="16">
        <f t="shared" si="298"/>
        <v>113120</v>
      </c>
      <c r="AO683" s="16">
        <f t="shared" si="315"/>
        <v>176467.19999999998</v>
      </c>
      <c r="AP683" s="16">
        <f t="shared" si="299"/>
        <v>104636</v>
      </c>
      <c r="AQ683" s="16">
        <f t="shared" si="300"/>
        <v>3117587.2</v>
      </c>
      <c r="AR683" s="16">
        <f t="shared" si="319"/>
        <v>187055.23200000002</v>
      </c>
      <c r="AS683" s="16">
        <f t="shared" si="302"/>
        <v>20576.075520000002</v>
      </c>
      <c r="AT683" s="16">
        <f t="shared" si="303"/>
        <v>-3741.1046400000005</v>
      </c>
      <c r="AU683" s="16">
        <f t="shared" si="304"/>
        <v>3300901.32736</v>
      </c>
      <c r="AV683" s="16">
        <f t="shared" si="305"/>
        <v>3304642.432</v>
      </c>
      <c r="AW683" s="16">
        <f t="shared" si="306"/>
        <v>113120</v>
      </c>
      <c r="AZ683" s="17">
        <f t="shared" si="314"/>
        <v>0</v>
      </c>
      <c r="BA683" s="16">
        <f t="shared" si="307"/>
        <v>2714880</v>
      </c>
      <c r="BB683" s="16">
        <f t="shared" si="308"/>
        <v>2714880</v>
      </c>
      <c r="BC683" s="15">
        <v>0.03</v>
      </c>
      <c r="BD683">
        <v>0.01</v>
      </c>
      <c r="BE683" s="37">
        <f t="shared" si="309"/>
        <v>261307.19999999998</v>
      </c>
      <c r="BF683" s="38">
        <f t="shared" si="310"/>
        <v>161196</v>
      </c>
      <c r="BG683" s="37">
        <f t="shared" si="320"/>
        <v>0</v>
      </c>
      <c r="BH683" s="37">
        <f t="shared" si="311"/>
        <v>141400</v>
      </c>
      <c r="BL683" s="8">
        <f t="shared" si="312"/>
        <v>0</v>
      </c>
      <c r="BM683" s="7" t="str">
        <f t="shared" si="317"/>
        <v>Terdaftar BPJS Kes &amp; Naker</v>
      </c>
      <c r="BN683" s="11">
        <f t="shared" si="316"/>
        <v>161196</v>
      </c>
      <c r="BO683" s="11">
        <f t="shared" si="318"/>
        <v>128391.20000000001</v>
      </c>
      <c r="BP683" s="9">
        <f t="shared" si="313"/>
        <v>0</v>
      </c>
      <c r="BQ683" t="str">
        <f>_xlfn.XLOOKUP(X683,'[2]NON TETAP'!$H:$H,'[2]NON TETAP'!$I:$I)</f>
        <v>GRAMEDIA ASRI MEDIA</v>
      </c>
    </row>
    <row r="684" spans="1:69" x14ac:dyDescent="0.3">
      <c r="A684" s="2">
        <v>683</v>
      </c>
      <c r="B684" s="5" t="s">
        <v>116</v>
      </c>
      <c r="D684" s="39">
        <f>_xlfn.XLOOKUP($B684,[6]Sheet1!$H:$H,[6]Sheet1!$CN:$CN)</f>
        <v>46028</v>
      </c>
      <c r="L684" s="39">
        <f>_xlfn.XLOOKUP($P684,[7]Sheet1!$F$2:$F$33,[7]Sheet1!$CA$2:$CA$33)</f>
        <v>46028</v>
      </c>
      <c r="P684" t="s">
        <v>115</v>
      </c>
      <c r="Q684" s="6">
        <v>10149</v>
      </c>
      <c r="R684" s="6">
        <v>27149</v>
      </c>
      <c r="S684" s="5" t="str">
        <f>VLOOKUP(T684,'[1]Kode Posisi'!$A$3:$B$45,2,)</f>
        <v>Outsourcing Keamanan</v>
      </c>
      <c r="T684" t="str">
        <f>_xlfn.XLOOKUP($P684,[7]Sheet1!$F$2:$F$33,[7]Sheet1!$I$2:$I$33)</f>
        <v>Security Guard (Anggota)</v>
      </c>
      <c r="V684" s="18" t="s">
        <v>114</v>
      </c>
      <c r="W684" s="36" t="s">
        <v>113</v>
      </c>
      <c r="X684" s="36" t="s">
        <v>112</v>
      </c>
      <c r="Y684" t="str">
        <f>_xlfn.XLOOKUP($P684,[7]Sheet1!$F$2:$F$33,[7]Sheet1!$AA$2:$AA$33)</f>
        <v>BCA</v>
      </c>
      <c r="Z684">
        <f>_xlfn.XLOOKUP($P684,[7]Sheet1!$F$2:$F$33,[7]Sheet1!$AB$2:$AB$33)</f>
        <v>5125431795</v>
      </c>
      <c r="AA684" t="str">
        <f>_xlfn.XLOOKUP($P684,[7]Sheet1!$F$2:$F$33,[7]Sheet1!$Z$2:$Z$33)</f>
        <v>NIKOLIUS SAPUTRA</v>
      </c>
      <c r="AB684" s="47">
        <v>3206000</v>
      </c>
      <c r="AC684" s="3">
        <v>3206000</v>
      </c>
      <c r="AI684" s="16"/>
      <c r="AK684" s="48">
        <v>384720</v>
      </c>
      <c r="AL684" s="11">
        <f t="shared" si="296"/>
        <v>2821280</v>
      </c>
      <c r="AM684" s="16">
        <f t="shared" si="297"/>
        <v>328294.40000000002</v>
      </c>
      <c r="AN684" s="16">
        <f t="shared" si="298"/>
        <v>128240</v>
      </c>
      <c r="AO684" s="16">
        <f t="shared" si="315"/>
        <v>200054.39999999999</v>
      </c>
      <c r="AP684" s="16">
        <f t="shared" si="299"/>
        <v>118622</v>
      </c>
      <c r="AQ684" s="16">
        <f t="shared" si="300"/>
        <v>3149574.4</v>
      </c>
      <c r="AR684" s="16">
        <f t="shared" si="319"/>
        <v>188974.46399999998</v>
      </c>
      <c r="AS684" s="16">
        <f t="shared" si="302"/>
        <v>20787.191039999998</v>
      </c>
      <c r="AT684" s="16">
        <f t="shared" si="303"/>
        <v>-3779.4892799999998</v>
      </c>
      <c r="AU684" s="16">
        <f t="shared" si="304"/>
        <v>3334769.3747200002</v>
      </c>
      <c r="AV684" s="16">
        <f t="shared" si="305"/>
        <v>3338548.8640000001</v>
      </c>
      <c r="AW684" s="16">
        <f t="shared" si="306"/>
        <v>128240</v>
      </c>
      <c r="AZ684" s="17">
        <f t="shared" si="314"/>
        <v>0</v>
      </c>
      <c r="BA684" s="16">
        <f t="shared" si="307"/>
        <v>2693040</v>
      </c>
      <c r="BB684" s="16">
        <f t="shared" si="308"/>
        <v>2693040</v>
      </c>
      <c r="BC684" s="15">
        <v>0.03</v>
      </c>
      <c r="BD684">
        <v>0.01</v>
      </c>
      <c r="BE684" s="37">
        <f t="shared" si="309"/>
        <v>296234.39999999997</v>
      </c>
      <c r="BF684" s="38">
        <f t="shared" si="310"/>
        <v>182742</v>
      </c>
      <c r="BG684" s="37">
        <f t="shared" si="320"/>
        <v>0</v>
      </c>
      <c r="BH684" s="37">
        <f t="shared" si="311"/>
        <v>160300</v>
      </c>
      <c r="BL684" s="8">
        <f t="shared" si="312"/>
        <v>-384720</v>
      </c>
      <c r="BM684" s="7" t="str">
        <f t="shared" si="317"/>
        <v>Terdaftar BPJS Kes &amp; Naker</v>
      </c>
      <c r="BN684" s="11">
        <f t="shared" si="316"/>
        <v>182742</v>
      </c>
      <c r="BO684" s="11">
        <f t="shared" si="318"/>
        <v>145552.40000000002</v>
      </c>
      <c r="BP684" s="9">
        <f t="shared" si="313"/>
        <v>0</v>
      </c>
      <c r="BQ684" t="str">
        <f>_xlfn.XLOOKUP(X684,'[2]NON TETAP'!$H:$H,'[2]NON TETAP'!$I:$I)</f>
        <v>GRAMEDIA ASRI MEDIA</v>
      </c>
    </row>
    <row r="685" spans="1:69" x14ac:dyDescent="0.3">
      <c r="A685" s="2">
        <v>684</v>
      </c>
      <c r="B685" s="5" t="s">
        <v>111</v>
      </c>
      <c r="D685" s="39">
        <f>_xlfn.XLOOKUP($B685,[6]Sheet1!$H:$H,[6]Sheet1!$CN:$CN)</f>
        <v>46024</v>
      </c>
      <c r="L685" s="39">
        <f>_xlfn.XLOOKUP($P685,[7]Sheet1!$F$2:$F$33,[7]Sheet1!$CA$2:$CA$33)</f>
        <v>46024</v>
      </c>
      <c r="P685" t="s">
        <v>110</v>
      </c>
      <c r="Q685" s="6">
        <v>18108</v>
      </c>
      <c r="R685" s="6">
        <v>27190</v>
      </c>
      <c r="S685" s="5" t="str">
        <f>VLOOKUP(T685,'[1]Kode Posisi'!$A$3:$B$45,2,)</f>
        <v>Outsourcing Petugas Pemeliharaan Gedung</v>
      </c>
      <c r="T685" t="str">
        <f>_xlfn.XLOOKUP($P685,[7]Sheet1!$F$2:$F$33,[7]Sheet1!$I$2:$I$33)</f>
        <v>General Service Attendant</v>
      </c>
      <c r="V685" s="18" t="s">
        <v>109</v>
      </c>
      <c r="W685" s="5" t="s">
        <v>54</v>
      </c>
      <c r="X685" s="36" t="s">
        <v>108</v>
      </c>
      <c r="Y685" t="str">
        <f>_xlfn.XLOOKUP($P685,[7]Sheet1!$F$2:$F$33,[7]Sheet1!$AA$2:$AA$33)</f>
        <v>BCA</v>
      </c>
      <c r="Z685">
        <f>_xlfn.XLOOKUP($P685,[7]Sheet1!$F$2:$F$33,[7]Sheet1!$AB$2:$AB$33)</f>
        <v>6965211547</v>
      </c>
      <c r="AA685" t="str">
        <f>_xlfn.XLOOKUP($P685,[7]Sheet1!$F$2:$F$33,[7]Sheet1!$Z$2:$Z$33)</f>
        <v>MUH GILANG HANIF MAFUD</v>
      </c>
      <c r="AB685" s="47">
        <v>3857000</v>
      </c>
      <c r="AC685" s="3">
        <v>3857000</v>
      </c>
      <c r="AI685" s="16"/>
      <c r="AL685" s="11">
        <f t="shared" si="296"/>
        <v>3857000</v>
      </c>
      <c r="AM685" s="16">
        <f t="shared" si="297"/>
        <v>394956.79999999999</v>
      </c>
      <c r="AN685" s="16">
        <f t="shared" si="298"/>
        <v>154280</v>
      </c>
      <c r="AO685" s="16">
        <f t="shared" si="315"/>
        <v>240676.8</v>
      </c>
      <c r="AP685" s="16">
        <f t="shared" si="299"/>
        <v>142709</v>
      </c>
      <c r="AQ685" s="16">
        <f t="shared" si="300"/>
        <v>4251956.8</v>
      </c>
      <c r="AR685" s="16">
        <f t="shared" si="319"/>
        <v>255117.40799999997</v>
      </c>
      <c r="AS685" s="16">
        <f t="shared" si="302"/>
        <v>28062.914879999997</v>
      </c>
      <c r="AT685" s="16">
        <f t="shared" si="303"/>
        <v>-5102.3481599999996</v>
      </c>
      <c r="AU685" s="16">
        <f t="shared" si="304"/>
        <v>4501971.85984</v>
      </c>
      <c r="AV685" s="16">
        <f t="shared" si="305"/>
        <v>4507074.2079999996</v>
      </c>
      <c r="AW685" s="16">
        <f t="shared" si="306"/>
        <v>154280</v>
      </c>
      <c r="AZ685" s="17">
        <f t="shared" si="314"/>
        <v>0</v>
      </c>
      <c r="BA685" s="16">
        <f t="shared" si="307"/>
        <v>3702720</v>
      </c>
      <c r="BB685" s="16">
        <f t="shared" si="308"/>
        <v>3702720</v>
      </c>
      <c r="BC685" s="15">
        <v>0.03</v>
      </c>
      <c r="BD685">
        <v>0.01</v>
      </c>
      <c r="BE685" s="37">
        <f t="shared" si="309"/>
        <v>356386.8</v>
      </c>
      <c r="BF685" s="38">
        <f t="shared" si="310"/>
        <v>219849</v>
      </c>
      <c r="BG685" s="37">
        <f t="shared" si="320"/>
        <v>0</v>
      </c>
      <c r="BH685" s="37">
        <f t="shared" si="311"/>
        <v>192850</v>
      </c>
      <c r="BL685" s="8">
        <f t="shared" si="312"/>
        <v>0</v>
      </c>
      <c r="BM685" s="7" t="str">
        <f t="shared" si="317"/>
        <v>Terdaftar BPJS Kes &amp; Naker</v>
      </c>
      <c r="BN685" s="11">
        <f t="shared" si="316"/>
        <v>219849</v>
      </c>
      <c r="BO685" s="11">
        <f t="shared" si="318"/>
        <v>175107.80000000002</v>
      </c>
      <c r="BP685" s="9">
        <f t="shared" si="313"/>
        <v>0</v>
      </c>
      <c r="BQ685" t="s">
        <v>8</v>
      </c>
    </row>
    <row r="686" spans="1:69" x14ac:dyDescent="0.3">
      <c r="A686" s="2">
        <v>685</v>
      </c>
      <c r="B686" s="5" t="s">
        <v>107</v>
      </c>
      <c r="D686" s="39">
        <f>_xlfn.XLOOKUP($B686,[6]Sheet1!$H:$H,[6]Sheet1!$CN:$CN)</f>
        <v>46036</v>
      </c>
      <c r="J686" t="s">
        <v>49</v>
      </c>
      <c r="L686" s="39">
        <f>_xlfn.XLOOKUP($P686,[7]Sheet1!$F$2:$F$33,[7]Sheet1!$CA$2:$CA$33)</f>
        <v>46036</v>
      </c>
      <c r="P686" s="18" t="s">
        <v>106</v>
      </c>
      <c r="Q686" s="6">
        <v>10105</v>
      </c>
      <c r="R686" s="6">
        <v>27105</v>
      </c>
      <c r="S686" s="5" t="str">
        <f>VLOOKUP(T686,'[1]Kode Posisi'!$A$3:$B$45,2,)</f>
        <v>Outsourcing Keamanan</v>
      </c>
      <c r="T686" t="str">
        <f>_xlfn.XLOOKUP($P686,[7]Sheet1!$F$2:$F$33,[7]Sheet1!$I$2:$I$33)</f>
        <v>Security Guard (Anggota)</v>
      </c>
      <c r="V686" s="18" t="s">
        <v>105</v>
      </c>
      <c r="W686" s="4" t="str">
        <f>_xlfn.XLOOKUP($P686,[7]Sheet1!$F$2:$F$33,[7]Sheet1!$D$2:$D$33)</f>
        <v>Gramedia Sudirman Jogja</v>
      </c>
      <c r="X686" s="36" t="s">
        <v>104</v>
      </c>
      <c r="Y686" t="str">
        <f>_xlfn.XLOOKUP($P686,[7]Sheet1!$F$2:$F$33,[7]Sheet1!$AA$2:$AA$33)</f>
        <v>BRI</v>
      </c>
      <c r="Z686">
        <f>_xlfn.XLOOKUP($P686,[7]Sheet1!$F$2:$F$33,[7]Sheet1!$AB$2:$AB$33)</f>
        <v>664301039885532</v>
      </c>
      <c r="AA686" t="str">
        <f>_xlfn.XLOOKUP($P686,[7]Sheet1!$F$2:$F$33,[7]Sheet1!$Z$2:$Z$33)</f>
        <v>Zulfan Arya Albertino</v>
      </c>
      <c r="AB686" s="47">
        <v>2828000</v>
      </c>
      <c r="AC686" s="3">
        <v>2828000</v>
      </c>
      <c r="AI686" s="16"/>
      <c r="AK686">
        <v>1018080</v>
      </c>
      <c r="AL686" s="11">
        <f t="shared" si="296"/>
        <v>1809920</v>
      </c>
      <c r="AM686" s="16">
        <f t="shared" si="297"/>
        <v>0</v>
      </c>
      <c r="AN686" s="16">
        <f t="shared" si="298"/>
        <v>0</v>
      </c>
      <c r="AO686" s="16">
        <f t="shared" si="315"/>
        <v>0</v>
      </c>
      <c r="AP686" s="16">
        <f t="shared" si="299"/>
        <v>0</v>
      </c>
      <c r="AQ686" s="16">
        <f t="shared" si="300"/>
        <v>1809920</v>
      </c>
      <c r="AR686" s="16">
        <f t="shared" si="319"/>
        <v>108595.2</v>
      </c>
      <c r="AS686" s="16">
        <f t="shared" si="302"/>
        <v>11945.472</v>
      </c>
      <c r="AT686" s="16">
        <f t="shared" si="303"/>
        <v>-2171.904</v>
      </c>
      <c r="AU686" s="16">
        <f t="shared" si="304"/>
        <v>1916343.2959999999</v>
      </c>
      <c r="AV686" s="16">
        <f t="shared" si="305"/>
        <v>1918515.2</v>
      </c>
      <c r="AW686" s="16">
        <f t="shared" si="306"/>
        <v>0</v>
      </c>
      <c r="AZ686" s="17">
        <f t="shared" si="314"/>
        <v>2900</v>
      </c>
      <c r="BA686" s="16">
        <f t="shared" si="307"/>
        <v>1809920</v>
      </c>
      <c r="BB686" s="16">
        <f t="shared" si="308"/>
        <v>1807020</v>
      </c>
      <c r="BC686" s="15"/>
      <c r="BE686" s="37"/>
      <c r="BF686" s="38"/>
      <c r="BG686" s="37"/>
      <c r="BH686" s="37"/>
      <c r="BL686" s="8">
        <f t="shared" si="312"/>
        <v>-1018080</v>
      </c>
      <c r="BM686" s="7" t="str">
        <f t="shared" ref="BM686:BM696" si="321">IF(AND(BC686=0.03,0.2,BD686=0.01),"Terdaftar BPJS Kes &amp; Naker","Tidak Terdaftar")</f>
        <v>Tidak Terdaftar</v>
      </c>
      <c r="BN686" s="11"/>
      <c r="BO686" s="11"/>
      <c r="BP686" s="9">
        <f t="shared" si="313"/>
        <v>0</v>
      </c>
      <c r="BQ686" t="str">
        <f>_xlfn.XLOOKUP(X686,'[2]NON TETAP'!$H:$H,'[2]NON TETAP'!$I:$I)</f>
        <v>GRAMEDIA ASRI MEDIA</v>
      </c>
    </row>
    <row r="687" spans="1:69" x14ac:dyDescent="0.3">
      <c r="A687" s="2">
        <v>686</v>
      </c>
      <c r="B687" s="5" t="s">
        <v>103</v>
      </c>
      <c r="D687" s="39">
        <f>_xlfn.XLOOKUP($B687,[6]Sheet1!$H:$H,[6]Sheet1!$CN:$CN)</f>
        <v>44958</v>
      </c>
      <c r="J687" t="s">
        <v>49</v>
      </c>
      <c r="L687" s="39">
        <v>45689</v>
      </c>
      <c r="P687" s="18" t="s">
        <v>102</v>
      </c>
      <c r="Q687" s="6">
        <v>18090</v>
      </c>
      <c r="R687" s="6">
        <v>27600</v>
      </c>
      <c r="S687" s="5" t="s">
        <v>101</v>
      </c>
      <c r="T687" t="s">
        <v>100</v>
      </c>
      <c r="V687" s="18" t="s">
        <v>99</v>
      </c>
      <c r="W687" s="4" t="s">
        <v>98</v>
      </c>
      <c r="X687" s="4" t="s">
        <v>98</v>
      </c>
      <c r="Y687" t="s">
        <v>52</v>
      </c>
      <c r="Z687">
        <v>6270234672</v>
      </c>
      <c r="AA687" t="s">
        <v>97</v>
      </c>
      <c r="AB687" s="41">
        <v>5730000</v>
      </c>
      <c r="AC687" s="3">
        <v>5730000</v>
      </c>
      <c r="AI687" s="16"/>
      <c r="AL687" s="11">
        <f t="shared" si="296"/>
        <v>5730000</v>
      </c>
      <c r="AM687" s="16">
        <f t="shared" si="297"/>
        <v>0</v>
      </c>
      <c r="AN687" s="16">
        <f t="shared" si="298"/>
        <v>0</v>
      </c>
      <c r="AO687" s="16">
        <f t="shared" si="315"/>
        <v>0</v>
      </c>
      <c r="AP687" s="16">
        <f t="shared" si="299"/>
        <v>0</v>
      </c>
      <c r="AQ687" s="16">
        <f t="shared" si="300"/>
        <v>5730000</v>
      </c>
      <c r="AR687" s="16">
        <f t="shared" si="319"/>
        <v>343800</v>
      </c>
      <c r="AS687" s="16">
        <f t="shared" si="302"/>
        <v>37818</v>
      </c>
      <c r="AT687" s="16">
        <f t="shared" si="303"/>
        <v>-6876</v>
      </c>
      <c r="AU687" s="16">
        <f t="shared" si="304"/>
        <v>6066924</v>
      </c>
      <c r="AV687" s="16">
        <f t="shared" si="305"/>
        <v>6073800</v>
      </c>
      <c r="AW687" s="16">
        <f t="shared" si="306"/>
        <v>0</v>
      </c>
      <c r="AZ687" s="17">
        <f t="shared" si="314"/>
        <v>0</v>
      </c>
      <c r="BA687" s="16">
        <f t="shared" si="307"/>
        <v>5730000</v>
      </c>
      <c r="BB687" s="16">
        <f t="shared" si="308"/>
        <v>5730000</v>
      </c>
      <c r="BC687" s="15"/>
      <c r="BE687" s="37"/>
      <c r="BF687" s="38"/>
      <c r="BG687" s="37"/>
      <c r="BH687" s="37"/>
      <c r="BL687" s="8">
        <f t="shared" si="312"/>
        <v>0</v>
      </c>
      <c r="BM687" s="7" t="str">
        <f t="shared" si="321"/>
        <v>Tidak Terdaftar</v>
      </c>
      <c r="BN687" s="11"/>
      <c r="BO687" s="11"/>
      <c r="BP687" s="9">
        <f t="shared" si="313"/>
        <v>0</v>
      </c>
      <c r="BQ687" t="str">
        <f>_xlfn.XLOOKUP(X687,'[2]NON TETAP'!$H:$H,'[2]NON TETAP'!$I:$I)</f>
        <v>GRAMEDIA ASRI MEDIA</v>
      </c>
    </row>
    <row r="688" spans="1:69" x14ac:dyDescent="0.3">
      <c r="A688" s="2">
        <v>687</v>
      </c>
      <c r="B688" s="5" t="s">
        <v>92</v>
      </c>
      <c r="C688" s="6" t="s">
        <v>96</v>
      </c>
      <c r="D688" s="39">
        <f>_xlfn.XLOOKUP($B688,[6]Sheet1!$H:$H,[6]Sheet1!$CN:$CN)</f>
        <v>45839</v>
      </c>
      <c r="E688" s="6" t="s">
        <v>73</v>
      </c>
      <c r="F688" s="6" t="s">
        <v>73</v>
      </c>
      <c r="G688" s="6" t="s">
        <v>73</v>
      </c>
      <c r="H688" s="6"/>
      <c r="I688" s="6"/>
      <c r="J688" t="s">
        <v>49</v>
      </c>
      <c r="K688" s="6">
        <v>800644</v>
      </c>
      <c r="M688" s="6"/>
      <c r="N688" s="46" t="s">
        <v>95</v>
      </c>
      <c r="O688" s="6">
        <v>2333417051</v>
      </c>
      <c r="P688" s="45" t="s">
        <v>94</v>
      </c>
      <c r="Q688" s="6">
        <v>10108</v>
      </c>
      <c r="R688" s="6">
        <v>27108</v>
      </c>
      <c r="S688" s="5" t="str">
        <f>VLOOKUP(T688,'[1]Kode Posisi'!$A$3:$B$45,2,)</f>
        <v>Outsourcing Keamanan</v>
      </c>
      <c r="T688" t="s">
        <v>37</v>
      </c>
      <c r="V688" s="44" t="s">
        <v>93</v>
      </c>
      <c r="W688" s="5" t="s">
        <v>45</v>
      </c>
      <c r="X688" s="5" t="s">
        <v>44</v>
      </c>
      <c r="Y688" s="42" t="s">
        <v>52</v>
      </c>
      <c r="Z688" s="43">
        <v>5485303933</v>
      </c>
      <c r="AA688" s="42" t="s">
        <v>92</v>
      </c>
      <c r="AB688" s="41">
        <v>5730000</v>
      </c>
      <c r="AC688" s="3">
        <v>5730000</v>
      </c>
      <c r="AD688" s="40">
        <v>0</v>
      </c>
      <c r="AF688" s="16">
        <f>_xlfn.XLOOKUP(P688,[8]Sheet1!$F$2:$F$700,[8]Sheet1!$J$2:$J$700)</f>
        <v>0</v>
      </c>
      <c r="AH688" s="16">
        <f>_xlfn.XLOOKUP(P688,[8]Sheet1!$F$2:$F$700,[8]Sheet1!$L$2:$L$700)</f>
        <v>0</v>
      </c>
      <c r="AI688" s="16">
        <f>_xlfn.XLOOKUP(P688,[9]Sheet1!$F$2:$F$699,[9]Sheet1!$J$2:$J$699)</f>
        <v>0</v>
      </c>
      <c r="AL688" s="11">
        <f t="shared" si="296"/>
        <v>5730000</v>
      </c>
      <c r="AM688" s="16">
        <f t="shared" si="297"/>
        <v>0</v>
      </c>
      <c r="AN688" s="16">
        <f t="shared" si="298"/>
        <v>0</v>
      </c>
      <c r="AO688" s="16">
        <f t="shared" si="315"/>
        <v>0</v>
      </c>
      <c r="AP688" s="16">
        <f>IF(BC688=0.03,0.037*(AB688+AD688),0)</f>
        <v>0</v>
      </c>
      <c r="AQ688" s="16">
        <f t="shared" si="300"/>
        <v>5730000</v>
      </c>
      <c r="AR688" s="16">
        <f t="shared" si="319"/>
        <v>343800</v>
      </c>
      <c r="AS688" s="16">
        <f t="shared" si="302"/>
        <v>37818</v>
      </c>
      <c r="AT688" s="16">
        <f t="shared" si="303"/>
        <v>-6876</v>
      </c>
      <c r="AU688" s="16">
        <f t="shared" si="304"/>
        <v>6066924</v>
      </c>
      <c r="AV688" s="16">
        <f t="shared" si="305"/>
        <v>6073800</v>
      </c>
      <c r="AW688" s="16">
        <f t="shared" si="306"/>
        <v>0</v>
      </c>
      <c r="AX688" s="16" t="s">
        <v>91</v>
      </c>
      <c r="AZ688" s="17">
        <f t="shared" si="314"/>
        <v>0</v>
      </c>
      <c r="BA688" s="16">
        <f t="shared" si="307"/>
        <v>5730000</v>
      </c>
      <c r="BB688" s="16">
        <f t="shared" si="308"/>
        <v>5730000</v>
      </c>
      <c r="BC688" s="15"/>
      <c r="BE688" s="37"/>
      <c r="BF688" s="38"/>
      <c r="BG688" s="37"/>
      <c r="BH688" s="37"/>
      <c r="BI688">
        <v>269850</v>
      </c>
      <c r="BL688" s="8">
        <f t="shared" si="312"/>
        <v>0</v>
      </c>
      <c r="BM688" s="7" t="str">
        <f t="shared" si="321"/>
        <v>Tidak Terdaftar</v>
      </c>
      <c r="BN688" s="11"/>
      <c r="BO688" s="11"/>
      <c r="BP688" s="9">
        <f t="shared" si="313"/>
        <v>0</v>
      </c>
      <c r="BQ688" t="str">
        <f>_xlfn.XLOOKUP(X688,'[2]NON TETAP'!$H:$H,'[2]NON TETAP'!$I:$I)</f>
        <v>GRAMEDIA ASRI MEDIA</v>
      </c>
    </row>
    <row r="689" spans="1:69" x14ac:dyDescent="0.3">
      <c r="A689" s="2">
        <v>688</v>
      </c>
      <c r="B689" s="5" t="s">
        <v>90</v>
      </c>
      <c r="D689" s="39">
        <f>_xlfn.XLOOKUP($B689,[6]Sheet1!$H:$H,[6]Sheet1!$CN:$CN)</f>
        <v>46034</v>
      </c>
      <c r="J689" t="s">
        <v>49</v>
      </c>
      <c r="P689" s="18" t="s">
        <v>89</v>
      </c>
      <c r="Q689" s="6">
        <v>10475</v>
      </c>
      <c r="R689" s="6">
        <v>27475</v>
      </c>
      <c r="S689" s="5" t="str">
        <f>VLOOKUP(T689,'[1]Kode Posisi'!$A$3:$B$45,2,)</f>
        <v>Outsourcing Keamanan</v>
      </c>
      <c r="T689" t="str">
        <f>_xlfn.XLOOKUP($B689,[6]Sheet1!$H:$H,[6]Sheet1!$I:$I)</f>
        <v>Security Guard (Anggota)</v>
      </c>
      <c r="V689" s="18" t="s">
        <v>88</v>
      </c>
      <c r="W689" s="4" t="s">
        <v>84</v>
      </c>
      <c r="X689" s="4" t="s">
        <v>84</v>
      </c>
      <c r="Y689" t="str">
        <f>_xlfn.XLOOKUP($B689,[6]Sheet1!$H:$H,[6]Sheet1!$AN:$AN)</f>
        <v>BCA</v>
      </c>
      <c r="Z689">
        <f>_xlfn.XLOOKUP($B689,[6]Sheet1!$H:$H,[6]Sheet1!$AO:$AO)</f>
        <v>3041289382</v>
      </c>
      <c r="AA689" t="str">
        <f>_xlfn.XLOOKUP($B689,[6]Sheet1!$H:$H,[6]Sheet1!$AM:$AM)</f>
        <v>AKMAL SAKURI</v>
      </c>
      <c r="AB689" s="3">
        <v>2879000</v>
      </c>
      <c r="AC689" s="3">
        <v>2879000</v>
      </c>
      <c r="AI689" s="16"/>
      <c r="AK689">
        <v>806120</v>
      </c>
      <c r="AL689" s="11">
        <f t="shared" si="296"/>
        <v>2072880</v>
      </c>
      <c r="AM689" s="16">
        <f t="shared" si="297"/>
        <v>0</v>
      </c>
      <c r="AN689" s="16">
        <f t="shared" si="298"/>
        <v>0</v>
      </c>
      <c r="AO689" s="16">
        <f t="shared" si="315"/>
        <v>0</v>
      </c>
      <c r="AP689" s="16">
        <f>IF(BC689=0.03,0.037*(AB689+AF689),0)</f>
        <v>0</v>
      </c>
      <c r="AQ689" s="16">
        <f t="shared" si="300"/>
        <v>2072880</v>
      </c>
      <c r="AR689" s="16">
        <f t="shared" si="319"/>
        <v>124372.79999999999</v>
      </c>
      <c r="AS689" s="16">
        <f t="shared" si="302"/>
        <v>13681.007999999998</v>
      </c>
      <c r="AT689" s="16">
        <f t="shared" si="303"/>
        <v>-2487.4559999999997</v>
      </c>
      <c r="AU689" s="16">
        <f t="shared" si="304"/>
        <v>2194765.344</v>
      </c>
      <c r="AV689" s="16">
        <f t="shared" si="305"/>
        <v>2197252.7999999998</v>
      </c>
      <c r="AW689" s="16">
        <f t="shared" si="306"/>
        <v>0</v>
      </c>
      <c r="AZ689" s="17">
        <f t="shared" si="314"/>
        <v>0</v>
      </c>
      <c r="BA689" s="16">
        <f t="shared" si="307"/>
        <v>2072880</v>
      </c>
      <c r="BB689" s="16">
        <f t="shared" si="308"/>
        <v>2072880</v>
      </c>
      <c r="BC689" s="15"/>
      <c r="BE689" s="37"/>
      <c r="BF689" s="38"/>
      <c r="BG689" s="37"/>
      <c r="BH689" s="37"/>
      <c r="BL689" s="8">
        <f t="shared" si="312"/>
        <v>-806120</v>
      </c>
      <c r="BM689" s="7" t="str">
        <f t="shared" si="321"/>
        <v>Tidak Terdaftar</v>
      </c>
      <c r="BN689" s="11"/>
      <c r="BO689" s="11"/>
      <c r="BP689" s="9">
        <f t="shared" si="313"/>
        <v>0</v>
      </c>
      <c r="BQ689" t="str">
        <f>_xlfn.XLOOKUP(X689,'[2]NON TETAP'!$H:$H,'[2]NON TETAP'!$I:$I)</f>
        <v>GRAMEDIA ASRI MEDIA</v>
      </c>
    </row>
    <row r="690" spans="1:69" x14ac:dyDescent="0.3">
      <c r="A690" s="2">
        <v>689</v>
      </c>
      <c r="B690" s="5" t="s">
        <v>87</v>
      </c>
      <c r="D690" s="39">
        <f>_xlfn.XLOOKUP($B690,[6]Sheet1!$H:$H,[6]Sheet1!$CN:$CN)</f>
        <v>46034</v>
      </c>
      <c r="J690" t="s">
        <v>49</v>
      </c>
      <c r="P690" s="18" t="s">
        <v>86</v>
      </c>
      <c r="Q690" s="6">
        <v>10475</v>
      </c>
      <c r="R690" s="6">
        <v>27475</v>
      </c>
      <c r="S690" s="5" t="str">
        <f>VLOOKUP(T690,'[1]Kode Posisi'!$A$3:$B$45,2,)</f>
        <v>Outsourcing Keamanan</v>
      </c>
      <c r="T690" t="str">
        <f>_xlfn.XLOOKUP($B690,[6]Sheet1!$H:$H,[6]Sheet1!$I:$I)</f>
        <v>Security Guard (Anggota)</v>
      </c>
      <c r="V690" s="18" t="s">
        <v>85</v>
      </c>
      <c r="W690" s="4" t="s">
        <v>84</v>
      </c>
      <c r="X690" s="4" t="s">
        <v>84</v>
      </c>
      <c r="Y690" t="str">
        <f>_xlfn.XLOOKUP($B690,[6]Sheet1!$H:$H,[6]Sheet1!$AN:$AN)</f>
        <v>BCA</v>
      </c>
      <c r="Z690">
        <f>_xlfn.XLOOKUP($B690,[6]Sheet1!$H:$H,[6]Sheet1!$AO:$AO)</f>
        <v>2480673282</v>
      </c>
      <c r="AA690" t="str">
        <f>_xlfn.XLOOKUP($B690,[6]Sheet1!$H:$H,[6]Sheet1!$AM:$AM)</f>
        <v>YASIR SANTOSA</v>
      </c>
      <c r="AB690" s="3">
        <v>2879000</v>
      </c>
      <c r="AC690" s="3">
        <v>2879000</v>
      </c>
      <c r="AI690" s="16"/>
      <c r="AK690">
        <v>806120</v>
      </c>
      <c r="AL690" s="11">
        <f t="shared" si="296"/>
        <v>2072880</v>
      </c>
      <c r="AM690" s="16">
        <f t="shared" si="297"/>
        <v>0</v>
      </c>
      <c r="AN690" s="16">
        <f t="shared" si="298"/>
        <v>0</v>
      </c>
      <c r="AO690" s="16">
        <f t="shared" si="315"/>
        <v>0</v>
      </c>
      <c r="AP690" s="16">
        <f>IF(BC690=0.03,0.037*(AB690+AF690),0)</f>
        <v>0</v>
      </c>
      <c r="AQ690" s="16">
        <f t="shared" si="300"/>
        <v>2072880</v>
      </c>
      <c r="AR690" s="16">
        <f t="shared" si="319"/>
        <v>124372.79999999999</v>
      </c>
      <c r="AS690" s="16">
        <f t="shared" si="302"/>
        <v>13681.007999999998</v>
      </c>
      <c r="AT690" s="16">
        <f t="shared" si="303"/>
        <v>-2487.4559999999997</v>
      </c>
      <c r="AU690" s="16">
        <f t="shared" si="304"/>
        <v>2194765.344</v>
      </c>
      <c r="AV690" s="16">
        <f t="shared" si="305"/>
        <v>2197252.7999999998</v>
      </c>
      <c r="AW690" s="16">
        <f t="shared" si="306"/>
        <v>0</v>
      </c>
      <c r="AZ690" s="17">
        <f t="shared" si="314"/>
        <v>0</v>
      </c>
      <c r="BA690" s="16">
        <f t="shared" si="307"/>
        <v>2072880</v>
      </c>
      <c r="BB690" s="16">
        <f t="shared" si="308"/>
        <v>2072880</v>
      </c>
      <c r="BC690" s="15"/>
      <c r="BE690" s="37"/>
      <c r="BF690" s="38"/>
      <c r="BG690" s="37"/>
      <c r="BH690" s="37"/>
      <c r="BL690" s="8">
        <f t="shared" si="312"/>
        <v>-806120</v>
      </c>
      <c r="BM690" s="7" t="str">
        <f t="shared" si="321"/>
        <v>Tidak Terdaftar</v>
      </c>
      <c r="BN690" s="11"/>
      <c r="BO690" s="11"/>
      <c r="BP690" s="9">
        <f t="shared" si="313"/>
        <v>0</v>
      </c>
      <c r="BQ690" t="str">
        <f>_xlfn.XLOOKUP(X690,'[2]NON TETAP'!$H:$H,'[2]NON TETAP'!$I:$I)</f>
        <v>GRAMEDIA ASRI MEDIA</v>
      </c>
    </row>
    <row r="691" spans="1:69" x14ac:dyDescent="0.3">
      <c r="A691" s="2">
        <v>690</v>
      </c>
      <c r="B691" s="5" t="s">
        <v>83</v>
      </c>
      <c r="C691" t="s">
        <v>82</v>
      </c>
      <c r="E691" t="s">
        <v>73</v>
      </c>
      <c r="F691" t="s">
        <v>73</v>
      </c>
      <c r="G691" t="s">
        <v>73</v>
      </c>
      <c r="I691" t="s">
        <v>81</v>
      </c>
      <c r="J691" t="s">
        <v>49</v>
      </c>
      <c r="K691">
        <v>800415</v>
      </c>
      <c r="M691" t="s">
        <v>80</v>
      </c>
      <c r="N691" t="s">
        <v>79</v>
      </c>
      <c r="O691">
        <v>1155918262</v>
      </c>
      <c r="P691" t="s">
        <v>78</v>
      </c>
      <c r="Q691" s="6">
        <v>10108</v>
      </c>
      <c r="R691" s="6">
        <v>27108</v>
      </c>
      <c r="S691" s="5" t="str">
        <f>VLOOKUP(T691,'[1]Kode Posisi'!$A$3:$B$45,2,)</f>
        <v>Outsourcing Cleaning Service</v>
      </c>
      <c r="T691" t="s">
        <v>47</v>
      </c>
      <c r="U691" t="s">
        <v>46</v>
      </c>
      <c r="V691" t="s">
        <v>77</v>
      </c>
      <c r="W691" s="5" t="s">
        <v>45</v>
      </c>
      <c r="X691" s="5" t="s">
        <v>44</v>
      </c>
      <c r="Y691" t="s">
        <v>52</v>
      </c>
      <c r="Z691" t="s">
        <v>76</v>
      </c>
      <c r="AA691" t="s">
        <v>75</v>
      </c>
      <c r="AB691" s="3">
        <v>5730000</v>
      </c>
      <c r="AC691" s="3">
        <v>5730000</v>
      </c>
      <c r="AL691" s="11">
        <f t="shared" si="296"/>
        <v>5730000</v>
      </c>
      <c r="AM691" s="16">
        <f t="shared" si="297"/>
        <v>0</v>
      </c>
      <c r="AN691" s="16">
        <f t="shared" si="298"/>
        <v>0</v>
      </c>
      <c r="AO691" s="16">
        <f t="shared" si="315"/>
        <v>0</v>
      </c>
      <c r="AQ691" s="16">
        <f t="shared" si="300"/>
        <v>5730000</v>
      </c>
      <c r="AR691" s="16">
        <f t="shared" si="319"/>
        <v>343800</v>
      </c>
      <c r="AS691" s="16">
        <f t="shared" si="302"/>
        <v>37818</v>
      </c>
      <c r="AT691" s="16">
        <f t="shared" si="303"/>
        <v>-6876</v>
      </c>
      <c r="AU691" s="16">
        <f t="shared" si="304"/>
        <v>6066924</v>
      </c>
      <c r="AV691" s="16">
        <f t="shared" si="305"/>
        <v>6073800</v>
      </c>
      <c r="AW691" s="16">
        <f t="shared" si="306"/>
        <v>0</v>
      </c>
      <c r="AZ691" s="17">
        <f t="shared" si="314"/>
        <v>0</v>
      </c>
      <c r="BA691" s="16">
        <f t="shared" si="307"/>
        <v>5730000</v>
      </c>
      <c r="BB691">
        <v>5730000</v>
      </c>
      <c r="BC691" s="15"/>
      <c r="BF691" s="14"/>
      <c r="BL691" s="8">
        <f t="shared" si="312"/>
        <v>0</v>
      </c>
      <c r="BM691" s="7" t="str">
        <f t="shared" si="321"/>
        <v>Tidak Terdaftar</v>
      </c>
      <c r="BN691" s="11"/>
      <c r="BO691" s="11"/>
      <c r="BP691" s="9">
        <f t="shared" si="313"/>
        <v>0</v>
      </c>
      <c r="BQ691" t="str">
        <f>_xlfn.XLOOKUP(X691,'[2]NON TETAP'!$H:$H,'[2]NON TETAP'!$I:$I)</f>
        <v>GRAMEDIA ASRI MEDIA</v>
      </c>
    </row>
    <row r="692" spans="1:69" x14ac:dyDescent="0.3">
      <c r="A692" s="2">
        <v>691</v>
      </c>
      <c r="B692" s="5" t="s">
        <v>68</v>
      </c>
      <c r="C692" t="s">
        <v>74</v>
      </c>
      <c r="F692" t="s">
        <v>73</v>
      </c>
      <c r="G692" t="s">
        <v>73</v>
      </c>
      <c r="J692" t="s">
        <v>49</v>
      </c>
      <c r="K692">
        <v>800749</v>
      </c>
      <c r="N692" t="s">
        <v>72</v>
      </c>
      <c r="O692">
        <v>2765101544</v>
      </c>
      <c r="P692" t="s">
        <v>71</v>
      </c>
      <c r="Q692" s="6">
        <v>10108</v>
      </c>
      <c r="R692" s="6">
        <v>27108</v>
      </c>
      <c r="S692" s="5" t="str">
        <f>VLOOKUP(T692,'[1]Kode Posisi'!$A$3:$B$45,2,)</f>
        <v>Outsourcing Keamanan</v>
      </c>
      <c r="T692" t="s">
        <v>37</v>
      </c>
      <c r="U692" t="s">
        <v>46</v>
      </c>
      <c r="V692" s="18" t="s">
        <v>70</v>
      </c>
      <c r="W692" s="5" t="s">
        <v>45</v>
      </c>
      <c r="X692" s="5" t="s">
        <v>44</v>
      </c>
      <c r="Y692" t="s">
        <v>52</v>
      </c>
      <c r="Z692" t="s">
        <v>69</v>
      </c>
      <c r="AA692" t="s">
        <v>68</v>
      </c>
      <c r="AB692" s="3">
        <v>5730000</v>
      </c>
      <c r="AC692" s="3">
        <v>5730000</v>
      </c>
      <c r="AL692" s="11">
        <f t="shared" si="296"/>
        <v>5730000</v>
      </c>
      <c r="AM692" s="16">
        <f t="shared" si="297"/>
        <v>0</v>
      </c>
      <c r="AN692" s="16">
        <f t="shared" si="298"/>
        <v>0</v>
      </c>
      <c r="AO692" s="16">
        <f t="shared" si="315"/>
        <v>0</v>
      </c>
      <c r="AQ692" s="16">
        <f t="shared" si="300"/>
        <v>5730000</v>
      </c>
      <c r="AR692" s="16">
        <f t="shared" si="319"/>
        <v>343800</v>
      </c>
      <c r="AS692" s="16">
        <f t="shared" si="302"/>
        <v>37818</v>
      </c>
      <c r="AT692" s="16">
        <f t="shared" si="303"/>
        <v>-6876</v>
      </c>
      <c r="AU692" s="16">
        <f t="shared" si="304"/>
        <v>6066924</v>
      </c>
      <c r="AV692" s="16">
        <f t="shared" si="305"/>
        <v>6073800</v>
      </c>
      <c r="AW692" s="16">
        <f t="shared" si="306"/>
        <v>0</v>
      </c>
      <c r="AZ692" s="17">
        <f t="shared" si="314"/>
        <v>0</v>
      </c>
      <c r="BA692" s="16">
        <f t="shared" si="307"/>
        <v>5730000</v>
      </c>
      <c r="BB692">
        <v>5730000</v>
      </c>
      <c r="BC692" s="15"/>
      <c r="BF692" s="14"/>
      <c r="BL692" s="8">
        <f t="shared" si="312"/>
        <v>0</v>
      </c>
      <c r="BM692" s="7" t="str">
        <f t="shared" si="321"/>
        <v>Tidak Terdaftar</v>
      </c>
      <c r="BN692" s="11"/>
      <c r="BO692" s="11"/>
      <c r="BP692" s="9">
        <f t="shared" si="313"/>
        <v>0</v>
      </c>
      <c r="BQ692" t="str">
        <f>_xlfn.XLOOKUP(X692,'[2]NON TETAP'!$H:$H,'[2]NON TETAP'!$I:$I)</f>
        <v>GRAMEDIA ASRI MEDIA</v>
      </c>
    </row>
    <row r="693" spans="1:69" x14ac:dyDescent="0.3">
      <c r="A693" s="2">
        <v>692</v>
      </c>
      <c r="B693" s="5" t="s">
        <v>67</v>
      </c>
      <c r="J693" t="s">
        <v>49</v>
      </c>
      <c r="P693" s="18" t="s">
        <v>66</v>
      </c>
      <c r="Q693" s="6">
        <v>10126</v>
      </c>
      <c r="R693" s="6">
        <v>27126</v>
      </c>
      <c r="S693" s="5" t="str">
        <f>VLOOKUP(T693,'[1]Kode Posisi'!$A$3:$B$45,2,)</f>
        <v>Outsourcing Keamanan</v>
      </c>
      <c r="T693" t="s">
        <v>37</v>
      </c>
      <c r="V693">
        <v>82382856681</v>
      </c>
      <c r="W693" s="36" t="s">
        <v>65</v>
      </c>
      <c r="X693" s="36" t="s">
        <v>64</v>
      </c>
      <c r="Y693" t="s">
        <v>63</v>
      </c>
      <c r="Z693" s="18" t="s">
        <v>62</v>
      </c>
      <c r="AA693" t="s">
        <v>61</v>
      </c>
      <c r="AB693" s="3">
        <v>3999000</v>
      </c>
      <c r="AC693" s="3">
        <v>3999000</v>
      </c>
      <c r="AL693" s="11">
        <f t="shared" si="296"/>
        <v>3999000</v>
      </c>
      <c r="AM693" s="16">
        <f t="shared" si="297"/>
        <v>0</v>
      </c>
      <c r="AN693" s="16">
        <f t="shared" si="298"/>
        <v>0</v>
      </c>
      <c r="AO693" s="16">
        <f t="shared" si="315"/>
        <v>0</v>
      </c>
      <c r="AP693" s="16">
        <f>IF(BC693=0.03,0.037*(AB693+AF693),0)</f>
        <v>0</v>
      </c>
      <c r="AQ693" s="16">
        <f t="shared" si="300"/>
        <v>3999000</v>
      </c>
      <c r="AR693" s="16">
        <f t="shared" si="319"/>
        <v>239940</v>
      </c>
      <c r="AS693" s="16">
        <f t="shared" si="302"/>
        <v>26393.4</v>
      </c>
      <c r="AT693" s="16">
        <f t="shared" si="303"/>
        <v>-4798.8</v>
      </c>
      <c r="AU693" s="16">
        <f t="shared" si="304"/>
        <v>4234141.2</v>
      </c>
      <c r="AV693" s="16">
        <f t="shared" si="305"/>
        <v>4238940</v>
      </c>
      <c r="AW693" s="16">
        <f t="shared" si="306"/>
        <v>0</v>
      </c>
      <c r="AZ693" s="17">
        <f t="shared" si="314"/>
        <v>2900</v>
      </c>
      <c r="BA693" s="16">
        <f t="shared" si="307"/>
        <v>3999000</v>
      </c>
      <c r="BB693" s="16">
        <v>3839040</v>
      </c>
      <c r="BC693" s="15"/>
      <c r="BF693" s="14"/>
      <c r="BL693" s="8">
        <f t="shared" si="312"/>
        <v>0</v>
      </c>
      <c r="BM693" s="7" t="str">
        <f t="shared" si="321"/>
        <v>Tidak Terdaftar</v>
      </c>
      <c r="BN693" s="11"/>
      <c r="BO693" s="11"/>
      <c r="BP693" s="9">
        <f t="shared" si="313"/>
        <v>0</v>
      </c>
      <c r="BQ693" t="str">
        <f>_xlfn.XLOOKUP(X693,'[2]NON TETAP'!$H:$H,'[2]NON TETAP'!$I:$I)</f>
        <v>GRAMEDIA ASRI MEDIA</v>
      </c>
    </row>
    <row r="694" spans="1:69" x14ac:dyDescent="0.3">
      <c r="A694" s="2">
        <v>693</v>
      </c>
      <c r="B694" s="5" t="s">
        <v>60</v>
      </c>
      <c r="J694" t="s">
        <v>49</v>
      </c>
      <c r="P694" s="18" t="s">
        <v>59</v>
      </c>
      <c r="Q694" s="6">
        <v>10183</v>
      </c>
      <c r="R694" s="6">
        <v>27183</v>
      </c>
      <c r="S694" s="5" t="str">
        <f>VLOOKUP(T694,'[1]Kode Posisi'!$A$3:$B$45,2,)</f>
        <v>Outsourcing Cleaning Service</v>
      </c>
      <c r="T694" t="s">
        <v>47</v>
      </c>
      <c r="V694">
        <v>82247144805</v>
      </c>
      <c r="W694" s="4" t="s">
        <v>58</v>
      </c>
      <c r="X694" s="36" t="s">
        <v>57</v>
      </c>
      <c r="Y694" t="s">
        <v>52</v>
      </c>
      <c r="Z694">
        <v>4680124146</v>
      </c>
      <c r="AA694" t="s">
        <v>56</v>
      </c>
      <c r="AB694" s="3">
        <v>5289000</v>
      </c>
      <c r="AC694" s="3">
        <v>5289000</v>
      </c>
      <c r="AL694" s="11">
        <f t="shared" si="296"/>
        <v>5289000</v>
      </c>
      <c r="AM694" s="16">
        <f t="shared" si="297"/>
        <v>0</v>
      </c>
      <c r="AN694" s="16">
        <f t="shared" si="298"/>
        <v>0</v>
      </c>
      <c r="AO694" s="16">
        <f t="shared" si="315"/>
        <v>0</v>
      </c>
      <c r="AP694" s="16">
        <f>IF(BC694=0.03,0.037*(AB694+AF694),0)</f>
        <v>0</v>
      </c>
      <c r="AQ694" s="16">
        <f t="shared" si="300"/>
        <v>5289000</v>
      </c>
      <c r="AR694" s="16">
        <f t="shared" si="319"/>
        <v>317340</v>
      </c>
      <c r="AS694" s="16">
        <f t="shared" si="302"/>
        <v>34907.4</v>
      </c>
      <c r="AT694" s="16">
        <f t="shared" si="303"/>
        <v>-6346.8</v>
      </c>
      <c r="AU694" s="16">
        <f t="shared" si="304"/>
        <v>5599993.2000000002</v>
      </c>
      <c r="AV694" s="16">
        <f t="shared" si="305"/>
        <v>5606340</v>
      </c>
      <c r="AW694" s="16">
        <f t="shared" si="306"/>
        <v>0</v>
      </c>
      <c r="AZ694" s="17">
        <f t="shared" si="314"/>
        <v>0</v>
      </c>
      <c r="BA694" s="16">
        <f t="shared" si="307"/>
        <v>5289000</v>
      </c>
      <c r="BB694" s="16">
        <f>SUM(AL694-AW694,AY694)-AZ694</f>
        <v>5289000</v>
      </c>
      <c r="BC694" s="15"/>
      <c r="BF694" s="14"/>
      <c r="BL694" s="8">
        <f t="shared" si="312"/>
        <v>0</v>
      </c>
      <c r="BM694" s="7" t="str">
        <f t="shared" si="321"/>
        <v>Tidak Terdaftar</v>
      </c>
      <c r="BN694" s="11"/>
      <c r="BO694" s="11"/>
      <c r="BP694" s="9">
        <f t="shared" si="313"/>
        <v>0</v>
      </c>
      <c r="BQ694" t="str">
        <f>_xlfn.XLOOKUP(X694,'[2]NON TETAP'!$H:$H,'[2]NON TETAP'!$I:$I)</f>
        <v>GRAMEDIA ASRI MEDIA</v>
      </c>
    </row>
    <row r="695" spans="1:69" x14ac:dyDescent="0.3">
      <c r="A695" s="2">
        <v>694</v>
      </c>
      <c r="B695" s="5" t="s">
        <v>51</v>
      </c>
      <c r="J695" t="s">
        <v>49</v>
      </c>
      <c r="P695" s="18" t="s">
        <v>55</v>
      </c>
      <c r="Q695" s="6">
        <v>10164</v>
      </c>
      <c r="R695" s="6">
        <v>27164</v>
      </c>
      <c r="S695" s="5" t="str">
        <f>VLOOKUP(T695,'[1]Kode Posisi'!$A$3:$B$45,2,)</f>
        <v>Outsourcing Keamanan</v>
      </c>
      <c r="T695" t="s">
        <v>37</v>
      </c>
      <c r="V695">
        <v>85820136099</v>
      </c>
      <c r="W695" s="5" t="s">
        <v>54</v>
      </c>
      <c r="X695" s="5" t="s">
        <v>53</v>
      </c>
      <c r="Y695" t="s">
        <v>52</v>
      </c>
      <c r="Z695">
        <v>1912402023</v>
      </c>
      <c r="AA695" t="s">
        <v>51</v>
      </c>
      <c r="AB695" s="3">
        <v>3857000</v>
      </c>
      <c r="AC695" s="3">
        <v>3857000</v>
      </c>
      <c r="AL695" s="11">
        <f t="shared" si="296"/>
        <v>3857000</v>
      </c>
      <c r="AM695" s="16">
        <f t="shared" si="297"/>
        <v>0</v>
      </c>
      <c r="AN695" s="16">
        <f t="shared" si="298"/>
        <v>0</v>
      </c>
      <c r="AO695" s="16">
        <f t="shared" si="315"/>
        <v>0</v>
      </c>
      <c r="AP695" s="16">
        <f>IF(BC695=0.03,0.037*(AB695+AF695),0)</f>
        <v>0</v>
      </c>
      <c r="AQ695" s="16">
        <f t="shared" si="300"/>
        <v>3857000</v>
      </c>
      <c r="AR695" s="16">
        <f t="shared" si="319"/>
        <v>231420</v>
      </c>
      <c r="AS695" s="16">
        <f t="shared" si="302"/>
        <v>25456.2</v>
      </c>
      <c r="AT695" s="16">
        <f t="shared" si="303"/>
        <v>-4628.4000000000005</v>
      </c>
      <c r="AU695" s="16">
        <f t="shared" si="304"/>
        <v>4083791.6</v>
      </c>
      <c r="AV695" s="16">
        <f t="shared" si="305"/>
        <v>4088420</v>
      </c>
      <c r="AW695" s="16">
        <f t="shared" si="306"/>
        <v>0</v>
      </c>
      <c r="AZ695" s="17">
        <f t="shared" si="314"/>
        <v>0</v>
      </c>
      <c r="BA695" s="16">
        <f t="shared" si="307"/>
        <v>3857000</v>
      </c>
      <c r="BB695" s="16">
        <f>SUM(AL695-AW695,AY695)-AZ695</f>
        <v>3857000</v>
      </c>
      <c r="BC695" s="15"/>
      <c r="BF695" s="14"/>
      <c r="BL695" s="8">
        <f t="shared" si="312"/>
        <v>0</v>
      </c>
      <c r="BM695" s="7" t="str">
        <f t="shared" si="321"/>
        <v>Tidak Terdaftar</v>
      </c>
      <c r="BN695" s="11"/>
      <c r="BO695" s="11"/>
      <c r="BP695" s="9">
        <f t="shared" si="313"/>
        <v>0</v>
      </c>
      <c r="BQ695" t="str">
        <f>_xlfn.XLOOKUP(X695,'[2]NON TETAP'!$H:$H,'[2]NON TETAP'!$I:$I)</f>
        <v>GRAMEDIA ASRI MEDIA</v>
      </c>
    </row>
    <row r="696" spans="1:69" x14ac:dyDescent="0.3">
      <c r="A696" s="2">
        <v>695</v>
      </c>
      <c r="B696" s="5" t="s">
        <v>50</v>
      </c>
      <c r="J696" t="s">
        <v>49</v>
      </c>
      <c r="P696" s="18" t="s">
        <v>48</v>
      </c>
      <c r="Q696" s="6">
        <v>10108</v>
      </c>
      <c r="R696" s="6">
        <v>27108</v>
      </c>
      <c r="S696" s="5" t="str">
        <f>VLOOKUP(T696,'[1]Kode Posisi'!$A$3:$B$45,2,)</f>
        <v>Outsourcing Cleaning Service</v>
      </c>
      <c r="T696" t="s">
        <v>47</v>
      </c>
      <c r="U696" t="s">
        <v>46</v>
      </c>
      <c r="V696">
        <v>85781167676</v>
      </c>
      <c r="W696" s="5" t="s">
        <v>45</v>
      </c>
      <c r="X696" s="5" t="s">
        <v>44</v>
      </c>
      <c r="AB696" s="3">
        <v>5730000</v>
      </c>
      <c r="AC696" s="3">
        <v>5730000</v>
      </c>
      <c r="AK696">
        <v>687600</v>
      </c>
      <c r="AL696" s="11">
        <f t="shared" si="296"/>
        <v>5042400</v>
      </c>
      <c r="AM696" s="16">
        <f t="shared" si="297"/>
        <v>0</v>
      </c>
      <c r="AN696" s="16">
        <f t="shared" si="298"/>
        <v>0</v>
      </c>
      <c r="AO696" s="16">
        <f t="shared" si="315"/>
        <v>0</v>
      </c>
      <c r="AP696" s="16">
        <f>IF(BC696=0.03,0.037*(AB696+AF696),0)</f>
        <v>0</v>
      </c>
      <c r="AQ696" s="16">
        <f t="shared" si="300"/>
        <v>5042400</v>
      </c>
      <c r="AR696" s="16">
        <f t="shared" si="319"/>
        <v>302544</v>
      </c>
      <c r="AS696" s="16">
        <f t="shared" si="302"/>
        <v>33279.840000000004</v>
      </c>
      <c r="AT696" s="16">
        <f t="shared" si="303"/>
        <v>-6050.88</v>
      </c>
      <c r="AU696" s="16">
        <f t="shared" si="304"/>
        <v>5338893.12</v>
      </c>
      <c r="AV696" s="16">
        <f t="shared" si="305"/>
        <v>5344944</v>
      </c>
      <c r="AW696" s="16">
        <f t="shared" si="306"/>
        <v>0</v>
      </c>
      <c r="AZ696" s="17">
        <f t="shared" si="314"/>
        <v>2900</v>
      </c>
      <c r="BA696" s="16">
        <f t="shared" si="307"/>
        <v>5042400</v>
      </c>
      <c r="BB696" s="16">
        <f>SUM(AL696-AW696,AY696)-AZ696</f>
        <v>5039500</v>
      </c>
      <c r="BC696" s="15"/>
      <c r="BF696" s="14"/>
      <c r="BL696" s="8">
        <f t="shared" si="312"/>
        <v>-687600</v>
      </c>
      <c r="BM696" s="7" t="str">
        <f t="shared" si="321"/>
        <v>Tidak Terdaftar</v>
      </c>
      <c r="BN696" s="11"/>
      <c r="BO696" s="11"/>
      <c r="BP696" s="9">
        <f t="shared" si="313"/>
        <v>0</v>
      </c>
      <c r="BQ696" t="str">
        <f>_xlfn.XLOOKUP(X696,'[2]NON TETAP'!$H:$H,'[2]NON TETAP'!$I:$I)</f>
        <v>GRAMEDIA ASRI MEDIA</v>
      </c>
    </row>
    <row r="697" spans="1:69" s="30" customFormat="1" x14ac:dyDescent="0.3">
      <c r="A697" s="35"/>
      <c r="B697" s="32"/>
      <c r="P697" s="34"/>
      <c r="Q697" s="33"/>
      <c r="R697" s="33"/>
      <c r="S697" s="32"/>
      <c r="W697" s="32"/>
      <c r="X697" s="32"/>
      <c r="AB697" s="31">
        <f t="shared" ref="AB697:BQ697" si="322">SUM(AB2:AB696)</f>
        <v>3168492900</v>
      </c>
      <c r="AC697" s="31">
        <f t="shared" si="322"/>
        <v>3091803900</v>
      </c>
      <c r="AD697" s="31">
        <f t="shared" si="322"/>
        <v>2113655000</v>
      </c>
      <c r="AE697" s="31">
        <f t="shared" si="322"/>
        <v>124894000</v>
      </c>
      <c r="AF697" s="31">
        <f t="shared" si="322"/>
        <v>7239000</v>
      </c>
      <c r="AG697" s="31">
        <f t="shared" si="322"/>
        <v>18270950</v>
      </c>
      <c r="AH697" s="31">
        <f t="shared" si="322"/>
        <v>11640000</v>
      </c>
      <c r="AI697" s="31">
        <f t="shared" si="322"/>
        <v>64366890.173410393</v>
      </c>
      <c r="AJ697" s="31">
        <f t="shared" si="322"/>
        <v>20533720</v>
      </c>
      <c r="AK697" s="31">
        <f t="shared" si="322"/>
        <v>16887011.428571429</v>
      </c>
      <c r="AL697" s="31">
        <f t="shared" si="322"/>
        <v>3273656448.7448397</v>
      </c>
      <c r="AM697" s="31">
        <f t="shared" si="322"/>
        <v>304557612.15999955</v>
      </c>
      <c r="AN697" s="31">
        <f t="shared" si="322"/>
        <v>121944516</v>
      </c>
      <c r="AO697" s="31">
        <f t="shared" si="322"/>
        <v>182613096.15999976</v>
      </c>
      <c r="AP697" s="31" t="e">
        <f t="shared" si="322"/>
        <v>#VALUE!</v>
      </c>
      <c r="AQ697" s="31">
        <f t="shared" si="322"/>
        <v>3578214060.9048381</v>
      </c>
      <c r="AR697" s="31">
        <f t="shared" si="322"/>
        <v>213021411.36629131</v>
      </c>
      <c r="AS697" s="31">
        <f t="shared" si="322"/>
        <v>23432355.250291936</v>
      </c>
      <c r="AT697" s="31">
        <f t="shared" si="322"/>
        <v>-4260428.2273258101</v>
      </c>
      <c r="AU697" s="31">
        <f t="shared" si="322"/>
        <v>3786975044.0438104</v>
      </c>
      <c r="AV697" s="31">
        <f t="shared" si="322"/>
        <v>3791235472.2711291</v>
      </c>
      <c r="AW697" s="31">
        <f t="shared" si="322"/>
        <v>115336796</v>
      </c>
      <c r="AX697" s="31">
        <f t="shared" si="322"/>
        <v>0</v>
      </c>
      <c r="AY697" s="31">
        <f t="shared" si="322"/>
        <v>0</v>
      </c>
      <c r="AZ697" s="31">
        <f t="shared" si="322"/>
        <v>884500</v>
      </c>
      <c r="BA697" s="31">
        <f t="shared" si="322"/>
        <v>3158319652.7448397</v>
      </c>
      <c r="BB697" s="31">
        <f t="shared" si="322"/>
        <v>3157278092.7448397</v>
      </c>
      <c r="BC697" s="31">
        <f t="shared" si="322"/>
        <v>19.279999999999873</v>
      </c>
      <c r="BD697" s="31">
        <f t="shared" si="322"/>
        <v>6.6699999999999022</v>
      </c>
      <c r="BE697" s="31">
        <f t="shared" si="322"/>
        <v>238019156.75999963</v>
      </c>
      <c r="BF697" s="31">
        <f t="shared" si="322"/>
        <v>146829999.30000001</v>
      </c>
      <c r="BG697" s="31">
        <f t="shared" si="322"/>
        <v>144577500</v>
      </c>
      <c r="BH697" s="31">
        <f t="shared" si="322"/>
        <v>152430645</v>
      </c>
      <c r="BI697" s="31" t="e">
        <f t="shared" si="322"/>
        <v>#N/A</v>
      </c>
      <c r="BJ697" s="31">
        <f t="shared" si="322"/>
        <v>10318830</v>
      </c>
      <c r="BK697" s="31">
        <f t="shared" si="322"/>
        <v>1430208</v>
      </c>
      <c r="BL697" s="31">
        <f t="shared" si="322"/>
        <v>105163548.74483904</v>
      </c>
      <c r="BM697" s="31">
        <f t="shared" si="322"/>
        <v>0</v>
      </c>
      <c r="BN697" s="31">
        <f t="shared" si="322"/>
        <v>165660631.30000001</v>
      </c>
      <c r="BO697" s="31">
        <f t="shared" si="322"/>
        <v>138896980.85999992</v>
      </c>
      <c r="BP697" s="31">
        <f t="shared" si="322"/>
        <v>-1.5279510989785194E-10</v>
      </c>
      <c r="BQ697" s="31">
        <f t="shared" si="322"/>
        <v>0</v>
      </c>
    </row>
    <row r="698" spans="1:69" x14ac:dyDescent="0.3">
      <c r="B698" s="5"/>
      <c r="P698" s="18"/>
      <c r="W698" s="5"/>
      <c r="X698" s="5"/>
      <c r="AL698" s="11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Z698" s="17"/>
      <c r="BA698" s="16"/>
      <c r="BB698" s="16"/>
      <c r="BC698" s="15"/>
      <c r="BF698" s="14"/>
      <c r="BL698" s="8"/>
      <c r="BM698" s="7"/>
      <c r="BN698" s="11"/>
      <c r="BO698" s="11"/>
      <c r="BP698" s="9"/>
    </row>
  </sheetData>
  <autoFilter ref="A1:BQ697" xr:uid="{5DDBCF9C-127B-4940-9C64-95FE1DACB609}"/>
  <conditionalFormatting sqref="B1:B1048576">
    <cfRule type="duplicateValues" dxfId="1" priority="1"/>
  </conditionalFormatting>
  <pageMargins left="0.7" right="0.7" top="0.75" bottom="0.75" header="0.3" footer="0.3"/>
  <pageSetup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A166-1160-4002-9A2F-3FDCC2F96984}">
  <sheetPr>
    <pageSetUpPr fitToPage="1"/>
  </sheetPr>
  <dimension ref="A1:Y29"/>
  <sheetViews>
    <sheetView topLeftCell="G1" zoomScale="70" zoomScaleNormal="70" workbookViewId="0">
      <selection activeCell="M26" sqref="M26"/>
    </sheetView>
  </sheetViews>
  <sheetFormatPr defaultRowHeight="14.4" x14ac:dyDescent="0.3"/>
  <cols>
    <col min="1" max="1" width="6.6640625" bestFit="1" customWidth="1"/>
    <col min="2" max="2" width="17.44140625" style="4" bestFit="1" customWidth="1"/>
    <col min="3" max="3" width="25" bestFit="1" customWidth="1"/>
    <col min="4" max="4" width="25" customWidth="1"/>
    <col min="5" max="5" width="33.77734375" style="4" bestFit="1" customWidth="1"/>
    <col min="6" max="6" width="23.109375" style="4" customWidth="1"/>
    <col min="7" max="7" width="13.44140625" style="2" customWidth="1"/>
    <col min="8" max="8" width="10.77734375" style="4" customWidth="1"/>
    <col min="9" max="9" width="64.77734375" customWidth="1"/>
    <col min="10" max="10" width="11.21875" customWidth="1"/>
    <col min="11" max="11" width="13.77734375" customWidth="1"/>
    <col min="12" max="12" width="23.21875" customWidth="1"/>
    <col min="13" max="13" width="20" customWidth="1"/>
    <col min="14" max="15" width="14.5546875" customWidth="1"/>
    <col min="16" max="16" width="10.21875" customWidth="1"/>
    <col min="17" max="17" width="15.44140625" customWidth="1"/>
    <col min="18" max="18" width="12.6640625" customWidth="1"/>
    <col min="19" max="19" width="36.5546875" customWidth="1"/>
    <col min="20" max="20" width="15.77734375" customWidth="1"/>
    <col min="21" max="21" width="12.21875" customWidth="1"/>
    <col min="22" max="22" width="12.6640625" bestFit="1" customWidth="1"/>
    <col min="23" max="23" width="10.77734375" customWidth="1"/>
    <col min="24" max="24" width="17.109375" bestFit="1" customWidth="1"/>
    <col min="25" max="25" width="30.109375" bestFit="1" customWidth="1"/>
    <col min="26" max="26" width="23" bestFit="1" customWidth="1"/>
    <col min="27" max="27" width="25.77734375" bestFit="1" customWidth="1"/>
    <col min="28" max="28" width="17.21875" bestFit="1" customWidth="1"/>
    <col min="29" max="29" width="8.21875" bestFit="1" customWidth="1"/>
    <col min="30" max="30" width="5.88671875" bestFit="1" customWidth="1"/>
  </cols>
  <sheetData>
    <row r="1" spans="1:25" s="149" customFormat="1" ht="43.2" x14ac:dyDescent="0.3">
      <c r="A1" s="151" t="s">
        <v>4251</v>
      </c>
      <c r="B1" s="152" t="s">
        <v>4250</v>
      </c>
      <c r="C1" s="151" t="s">
        <v>4201</v>
      </c>
      <c r="D1" s="151" t="s">
        <v>4249</v>
      </c>
      <c r="E1" s="151" t="s">
        <v>4197</v>
      </c>
      <c r="F1" s="151" t="s">
        <v>4248</v>
      </c>
      <c r="G1" s="151" t="s">
        <v>4204</v>
      </c>
      <c r="H1" s="152" t="s">
        <v>4247</v>
      </c>
      <c r="I1" s="151" t="s">
        <v>4246</v>
      </c>
      <c r="J1" s="151" t="s">
        <v>4245</v>
      </c>
      <c r="K1" s="151" t="s">
        <v>4244</v>
      </c>
      <c r="L1" s="151" t="s">
        <v>4243</v>
      </c>
      <c r="M1" s="151" t="s">
        <v>4242</v>
      </c>
      <c r="N1" s="151" t="s">
        <v>4241</v>
      </c>
      <c r="O1" s="151" t="s">
        <v>4240</v>
      </c>
      <c r="P1" s="151" t="s">
        <v>4239</v>
      </c>
      <c r="Q1" s="151" t="s">
        <v>4238</v>
      </c>
      <c r="R1" s="151" t="s">
        <v>4237</v>
      </c>
      <c r="S1" s="151" t="s">
        <v>4236</v>
      </c>
      <c r="T1" s="151" t="s">
        <v>4235</v>
      </c>
      <c r="U1" s="151" t="s">
        <v>4234</v>
      </c>
      <c r="V1" s="151" t="s">
        <v>4233</v>
      </c>
      <c r="W1" s="151" t="s">
        <v>4232</v>
      </c>
      <c r="X1" s="151" t="s">
        <v>4173</v>
      </c>
      <c r="Y1" s="150"/>
    </row>
    <row r="2" spans="1:25" x14ac:dyDescent="0.3">
      <c r="A2" s="29">
        <v>1</v>
      </c>
      <c r="B2" s="138" t="s">
        <v>43</v>
      </c>
      <c r="C2" s="29" t="s">
        <v>42</v>
      </c>
      <c r="D2" s="29"/>
      <c r="E2" s="141" t="s">
        <v>41</v>
      </c>
      <c r="F2" s="145" t="s">
        <v>4225</v>
      </c>
      <c r="G2" s="142">
        <v>20090</v>
      </c>
      <c r="H2" s="141"/>
      <c r="I2" s="29" t="s">
        <v>4231</v>
      </c>
      <c r="J2" s="29">
        <v>100000</v>
      </c>
      <c r="K2" s="29"/>
      <c r="L2" s="139">
        <v>14</v>
      </c>
      <c r="M2" s="29"/>
      <c r="N2" s="29"/>
      <c r="O2" s="29"/>
      <c r="P2" s="29"/>
      <c r="Q2" s="144">
        <v>1400000</v>
      </c>
      <c r="R2" s="29"/>
      <c r="S2" s="29" t="s">
        <v>4230</v>
      </c>
      <c r="T2" s="135">
        <f>SUM(Q2)</f>
        <v>1400000</v>
      </c>
      <c r="U2" s="135">
        <f t="shared" ref="U2:U21" si="0">T2*6%</f>
        <v>84000</v>
      </c>
      <c r="V2" s="134">
        <f t="shared" ref="V2:V15" si="1">SUM(U2*0.11)</f>
        <v>9240</v>
      </c>
      <c r="W2" s="134">
        <f t="shared" ref="W2:W15" si="2">SUM(U2*-0.02)</f>
        <v>-1680</v>
      </c>
      <c r="X2" s="134">
        <f t="shared" ref="X2:X21" si="3">SUM(T2:U2)</f>
        <v>1484000</v>
      </c>
      <c r="Y2" s="29"/>
    </row>
    <row r="3" spans="1:25" x14ac:dyDescent="0.3">
      <c r="A3" s="29">
        <v>2</v>
      </c>
      <c r="B3" s="138" t="s">
        <v>40</v>
      </c>
      <c r="C3" s="29" t="s">
        <v>4229</v>
      </c>
      <c r="D3" s="29"/>
      <c r="E3" s="138" t="str">
        <f>VLOOKUP(B3,[10]Irreguler!$B$3:$E$9,3,)</f>
        <v>GLKU</v>
      </c>
      <c r="F3" s="145" t="s">
        <v>4225</v>
      </c>
      <c r="G3" s="139">
        <f>VLOOKUP(B3,[10]Irreguler!$B$3:$E$9,4,)</f>
        <v>99090</v>
      </c>
      <c r="H3" s="141" t="s">
        <v>52</v>
      </c>
      <c r="I3" s="142"/>
      <c r="J3" s="29"/>
      <c r="K3" s="139">
        <v>4336000</v>
      </c>
      <c r="L3" s="139">
        <v>25</v>
      </c>
      <c r="M3" s="29">
        <v>130080</v>
      </c>
      <c r="N3" s="29"/>
      <c r="O3" s="29">
        <v>43360</v>
      </c>
      <c r="P3" s="29"/>
      <c r="Q3" s="143">
        <v>2924460</v>
      </c>
      <c r="R3" s="29">
        <v>1368180</v>
      </c>
      <c r="S3" s="29"/>
      <c r="T3" s="135">
        <f>SUM(Q3+M3)</f>
        <v>3054540</v>
      </c>
      <c r="U3" s="135">
        <f t="shared" si="0"/>
        <v>183272.4</v>
      </c>
      <c r="V3" s="134">
        <f t="shared" si="1"/>
        <v>20159.964</v>
      </c>
      <c r="W3" s="134">
        <f t="shared" si="2"/>
        <v>-3665.4479999999999</v>
      </c>
      <c r="X3" s="134">
        <f t="shared" si="3"/>
        <v>3237812.4</v>
      </c>
      <c r="Y3" s="29"/>
    </row>
    <row r="4" spans="1:25" x14ac:dyDescent="0.3">
      <c r="A4" s="29">
        <v>3</v>
      </c>
      <c r="B4" s="138" t="s">
        <v>39</v>
      </c>
      <c r="C4" s="29" t="s">
        <v>4229</v>
      </c>
      <c r="D4" s="29"/>
      <c r="E4" s="138" t="str">
        <f>VLOOKUP(B4,[10]Irreguler!$B$3:$E$9,3,)</f>
        <v>GLKU</v>
      </c>
      <c r="F4" s="145" t="s">
        <v>4225</v>
      </c>
      <c r="G4" s="139">
        <f>VLOOKUP(B4,[10]Irreguler!$B$3:$E$9,4,)</f>
        <v>99090</v>
      </c>
      <c r="H4" s="141"/>
      <c r="I4" s="142"/>
      <c r="J4" s="29"/>
      <c r="K4" s="139">
        <v>3737000</v>
      </c>
      <c r="L4" s="139">
        <v>25</v>
      </c>
      <c r="M4" s="29">
        <v>112110</v>
      </c>
      <c r="N4" s="29"/>
      <c r="O4" s="29">
        <v>37370</v>
      </c>
      <c r="P4" s="29"/>
      <c r="Q4" s="143">
        <v>3699630</v>
      </c>
      <c r="R4" s="29" t="s">
        <v>2361</v>
      </c>
      <c r="S4" s="29"/>
      <c r="T4" s="135">
        <f>SUM(Q4+M4)</f>
        <v>3811740</v>
      </c>
      <c r="U4" s="135">
        <f t="shared" si="0"/>
        <v>228704.4</v>
      </c>
      <c r="V4" s="134">
        <f t="shared" si="1"/>
        <v>25157.484</v>
      </c>
      <c r="W4" s="134">
        <f t="shared" si="2"/>
        <v>-4574.0879999999997</v>
      </c>
      <c r="X4" s="134">
        <f t="shared" si="3"/>
        <v>4040444.4</v>
      </c>
      <c r="Y4" s="29"/>
    </row>
    <row r="5" spans="1:25" x14ac:dyDescent="0.3">
      <c r="A5" s="29">
        <v>4</v>
      </c>
      <c r="B5" s="138" t="s">
        <v>38</v>
      </c>
      <c r="C5" s="29" t="s">
        <v>37</v>
      </c>
      <c r="D5" s="29">
        <v>530215</v>
      </c>
      <c r="E5" s="138" t="str">
        <f>VLOOKUP(B5,[10]Irreguler!$B$3:$E$9,3,)</f>
        <v>Gramedia Jalma</v>
      </c>
      <c r="F5" s="145" t="s">
        <v>4225</v>
      </c>
      <c r="G5" s="139" t="str">
        <f>VLOOKUP(B5,[10]Irreguler!$B$3:$E$9,4,)</f>
        <v>10477</v>
      </c>
      <c r="H5" s="138" t="s">
        <v>52</v>
      </c>
      <c r="I5" s="142"/>
      <c r="J5" s="29"/>
      <c r="K5" s="139">
        <v>5730000</v>
      </c>
      <c r="L5" s="139"/>
      <c r="M5" s="29"/>
      <c r="N5" s="29"/>
      <c r="O5" s="29"/>
      <c r="P5" s="29"/>
      <c r="Q5" s="143">
        <v>5730000</v>
      </c>
      <c r="R5" s="29"/>
      <c r="S5" s="136" t="s">
        <v>4220</v>
      </c>
      <c r="T5" s="135">
        <f t="shared" ref="T5:T13" si="4">SUM(Q5)</f>
        <v>5730000</v>
      </c>
      <c r="U5" s="135">
        <f t="shared" si="0"/>
        <v>343800</v>
      </c>
      <c r="V5" s="148">
        <f t="shared" si="1"/>
        <v>37818</v>
      </c>
      <c r="W5" s="148">
        <f t="shared" si="2"/>
        <v>-6876</v>
      </c>
      <c r="X5" s="148">
        <f t="shared" si="3"/>
        <v>6073800</v>
      </c>
      <c r="Y5" s="29" t="str">
        <f>D5&amp;"-"&amp;"045"&amp;"-"&amp;G5&amp;S5</f>
        <v>530215-045-10477-000-000-000-00</v>
      </c>
    </row>
    <row r="6" spans="1:25" x14ac:dyDescent="0.3">
      <c r="A6" s="29">
        <v>5</v>
      </c>
      <c r="B6" s="138" t="s">
        <v>36</v>
      </c>
      <c r="C6" s="29" t="s">
        <v>35</v>
      </c>
      <c r="D6" s="29">
        <v>530240</v>
      </c>
      <c r="E6" s="138" t="str">
        <f>VLOOKUP(B6,[10]Irreguler!$B$3:$E$9,3,)</f>
        <v>National Sales &amp; Promotion</v>
      </c>
      <c r="F6" s="145" t="s">
        <v>4225</v>
      </c>
      <c r="G6" s="139" t="str">
        <f>VLOOKUP(B6,[10]Irreguler!$B$3:$E$9,4,)</f>
        <v>33086</v>
      </c>
      <c r="H6" s="141"/>
      <c r="I6" s="142"/>
      <c r="J6" s="29"/>
      <c r="K6" s="139">
        <v>5730000</v>
      </c>
      <c r="L6" s="139">
        <v>25</v>
      </c>
      <c r="M6" s="29"/>
      <c r="N6" s="29"/>
      <c r="O6" s="29"/>
      <c r="P6" s="29"/>
      <c r="Q6" s="143">
        <v>5730000</v>
      </c>
      <c r="R6" s="29"/>
      <c r="S6" s="136" t="s">
        <v>4220</v>
      </c>
      <c r="T6" s="135">
        <f t="shared" si="4"/>
        <v>5730000</v>
      </c>
      <c r="U6" s="143">
        <f t="shared" si="0"/>
        <v>343800</v>
      </c>
      <c r="V6" s="134">
        <f t="shared" si="1"/>
        <v>37818</v>
      </c>
      <c r="W6" s="134">
        <f t="shared" si="2"/>
        <v>-6876</v>
      </c>
      <c r="X6" s="134">
        <f t="shared" si="3"/>
        <v>6073800</v>
      </c>
      <c r="Y6" s="29" t="str">
        <f>D6&amp;"-"&amp;"045"&amp;"-"&amp;G6&amp;S6</f>
        <v>530240-045-33086-000-000-000-00</v>
      </c>
    </row>
    <row r="7" spans="1:25" x14ac:dyDescent="0.3">
      <c r="A7" s="29">
        <v>6</v>
      </c>
      <c r="B7" s="138" t="s">
        <v>34</v>
      </c>
      <c r="C7" s="29" t="s">
        <v>33</v>
      </c>
      <c r="D7" s="29">
        <v>530215</v>
      </c>
      <c r="E7" s="138" t="str">
        <f>VLOOKUP(B7,[10]Irreguler!$B$3:$E$9,3,)</f>
        <v>Padang</v>
      </c>
      <c r="F7" s="145" t="s">
        <v>4225</v>
      </c>
      <c r="G7" s="139">
        <v>10114</v>
      </c>
      <c r="H7" s="141"/>
      <c r="I7" s="142"/>
      <c r="J7" s="29"/>
      <c r="K7" s="139">
        <v>1000000</v>
      </c>
      <c r="L7" s="139"/>
      <c r="M7" s="29"/>
      <c r="N7" s="29"/>
      <c r="O7" s="29"/>
      <c r="P7" s="29"/>
      <c r="Q7" s="143">
        <v>1000000</v>
      </c>
      <c r="R7" s="29"/>
      <c r="S7" s="136" t="s">
        <v>4220</v>
      </c>
      <c r="T7" s="135">
        <f t="shared" si="4"/>
        <v>1000000</v>
      </c>
      <c r="U7" s="135">
        <f t="shared" si="0"/>
        <v>60000</v>
      </c>
      <c r="V7" s="134">
        <f t="shared" si="1"/>
        <v>6600</v>
      </c>
      <c r="W7" s="134">
        <f t="shared" si="2"/>
        <v>-1200</v>
      </c>
      <c r="X7" s="134">
        <f t="shared" si="3"/>
        <v>1060000</v>
      </c>
      <c r="Y7" s="29" t="str">
        <f>D7&amp;"-"&amp;"045"&amp;"-"&amp;G7&amp;S7</f>
        <v>530215-045-10114-000-000-000-00</v>
      </c>
    </row>
    <row r="8" spans="1:25" x14ac:dyDescent="0.3">
      <c r="A8" s="29">
        <v>7</v>
      </c>
      <c r="B8" s="138" t="s">
        <v>32</v>
      </c>
      <c r="C8" s="29" t="s">
        <v>31</v>
      </c>
      <c r="D8" s="29"/>
      <c r="E8" s="138" t="str">
        <f>VLOOKUP(B8,[10]Irreguler!$B$3:$E$9,3,)</f>
        <v>Operational</v>
      </c>
      <c r="F8" s="145" t="s">
        <v>4225</v>
      </c>
      <c r="G8" s="139" t="str">
        <f>VLOOKUP(B8,[10]Irreguler!$B$3:$E$9,4,)</f>
        <v>Operational</v>
      </c>
      <c r="H8" s="138" t="s">
        <v>473</v>
      </c>
      <c r="I8" s="142"/>
      <c r="J8" s="29"/>
      <c r="K8" s="139">
        <v>1785000</v>
      </c>
      <c r="L8" s="139"/>
      <c r="M8" s="29"/>
      <c r="N8" s="29"/>
      <c r="O8" s="29"/>
      <c r="P8" s="29"/>
      <c r="Q8" s="143">
        <v>1785000</v>
      </c>
      <c r="R8" s="29"/>
      <c r="S8" s="29"/>
      <c r="T8" s="135">
        <f t="shared" si="4"/>
        <v>1785000</v>
      </c>
      <c r="U8" s="135">
        <f t="shared" si="0"/>
        <v>107100</v>
      </c>
      <c r="V8" s="134">
        <f t="shared" si="1"/>
        <v>11781</v>
      </c>
      <c r="W8" s="134">
        <f t="shared" si="2"/>
        <v>-2142</v>
      </c>
      <c r="X8" s="134">
        <f t="shared" si="3"/>
        <v>1892100</v>
      </c>
      <c r="Y8" s="29"/>
    </row>
    <row r="9" spans="1:25" x14ac:dyDescent="0.3">
      <c r="A9" s="29">
        <v>8</v>
      </c>
      <c r="B9" s="138" t="s">
        <v>28</v>
      </c>
      <c r="C9" s="29" t="s">
        <v>26</v>
      </c>
      <c r="D9" s="29">
        <v>530235</v>
      </c>
      <c r="E9" s="138" t="s">
        <v>25</v>
      </c>
      <c r="F9" s="145" t="s">
        <v>4225</v>
      </c>
      <c r="G9" s="139" t="s">
        <v>27</v>
      </c>
      <c r="H9" s="141"/>
      <c r="I9" s="142"/>
      <c r="J9" s="29"/>
      <c r="K9" s="139">
        <v>4800000</v>
      </c>
      <c r="L9" s="139"/>
      <c r="M9" s="29"/>
      <c r="N9" s="29"/>
      <c r="O9" s="29"/>
      <c r="P9" s="29"/>
      <c r="Q9" s="143">
        <v>4800000</v>
      </c>
      <c r="R9" s="29"/>
      <c r="S9" s="136" t="s">
        <v>4220</v>
      </c>
      <c r="T9" s="135">
        <f t="shared" si="4"/>
        <v>4800000</v>
      </c>
      <c r="U9" s="143">
        <f t="shared" si="0"/>
        <v>288000</v>
      </c>
      <c r="V9" s="134">
        <f t="shared" si="1"/>
        <v>31680</v>
      </c>
      <c r="W9" s="134">
        <f t="shared" si="2"/>
        <v>-5760</v>
      </c>
      <c r="X9" s="134">
        <f t="shared" si="3"/>
        <v>5088000</v>
      </c>
      <c r="Y9" s="29" t="str">
        <f>D9&amp;"-"&amp;"045"&amp;"-"&amp;G9&amp;S9</f>
        <v>530235-045-33086-000-000-000-00</v>
      </c>
    </row>
    <row r="10" spans="1:25" x14ac:dyDescent="0.3">
      <c r="A10" s="29">
        <v>9</v>
      </c>
      <c r="B10" s="138" t="s">
        <v>24</v>
      </c>
      <c r="C10" s="29" t="s">
        <v>4229</v>
      </c>
      <c r="D10" s="29"/>
      <c r="E10" s="138" t="s">
        <v>23</v>
      </c>
      <c r="F10" s="145" t="s">
        <v>4225</v>
      </c>
      <c r="G10" s="139">
        <v>99090</v>
      </c>
      <c r="H10" s="141"/>
      <c r="I10" s="142"/>
      <c r="J10" s="29"/>
      <c r="K10" s="139" t="s">
        <v>3324</v>
      </c>
      <c r="L10" s="139">
        <v>27</v>
      </c>
      <c r="M10" s="29"/>
      <c r="N10" s="29"/>
      <c r="O10" s="29"/>
      <c r="P10" s="29"/>
      <c r="Q10" s="143">
        <v>4302720</v>
      </c>
      <c r="R10" s="29"/>
      <c r="S10" s="29"/>
      <c r="T10" s="135">
        <f t="shared" si="4"/>
        <v>4302720</v>
      </c>
      <c r="U10" s="135">
        <f t="shared" si="0"/>
        <v>258163.19999999998</v>
      </c>
      <c r="V10" s="134">
        <f t="shared" si="1"/>
        <v>28397.951999999997</v>
      </c>
      <c r="W10" s="134">
        <f t="shared" si="2"/>
        <v>-5163.2640000000001</v>
      </c>
      <c r="X10" s="134">
        <f t="shared" si="3"/>
        <v>4560883.2</v>
      </c>
      <c r="Y10" s="29"/>
    </row>
    <row r="11" spans="1:25" x14ac:dyDescent="0.3">
      <c r="A11" s="29">
        <v>10</v>
      </c>
      <c r="B11" s="138" t="s">
        <v>22</v>
      </c>
      <c r="C11" s="29" t="s">
        <v>4229</v>
      </c>
      <c r="D11" s="29"/>
      <c r="E11" s="138" t="s">
        <v>20</v>
      </c>
      <c r="F11" s="145" t="s">
        <v>4225</v>
      </c>
      <c r="G11" s="139">
        <v>99090</v>
      </c>
      <c r="H11" s="141" t="s">
        <v>52</v>
      </c>
      <c r="I11" s="142"/>
      <c r="J11" s="29"/>
      <c r="K11" s="139">
        <v>5730000</v>
      </c>
      <c r="L11" s="139" t="s">
        <v>4228</v>
      </c>
      <c r="M11" s="29"/>
      <c r="N11" s="29"/>
      <c r="O11" s="29"/>
      <c r="P11" s="29"/>
      <c r="Q11" s="143">
        <v>5730000</v>
      </c>
      <c r="R11" s="29"/>
      <c r="S11" s="29"/>
      <c r="T11" s="135">
        <f t="shared" si="4"/>
        <v>5730000</v>
      </c>
      <c r="U11" s="135">
        <f t="shared" si="0"/>
        <v>343800</v>
      </c>
      <c r="V11" s="134">
        <f t="shared" si="1"/>
        <v>37818</v>
      </c>
      <c r="W11" s="134">
        <f t="shared" si="2"/>
        <v>-6876</v>
      </c>
      <c r="X11" s="134">
        <f t="shared" si="3"/>
        <v>6073800</v>
      </c>
      <c r="Y11" s="29"/>
    </row>
    <row r="12" spans="1:25" x14ac:dyDescent="0.3">
      <c r="A12" s="29">
        <v>11</v>
      </c>
      <c r="B12" s="138" t="s">
        <v>19</v>
      </c>
      <c r="C12" s="29" t="s">
        <v>6</v>
      </c>
      <c r="D12" s="29">
        <v>530225</v>
      </c>
      <c r="E12" s="138" t="s">
        <v>17</v>
      </c>
      <c r="F12" s="145" t="s">
        <v>4225</v>
      </c>
      <c r="G12" s="142">
        <v>11197</v>
      </c>
      <c r="H12" s="138" t="s">
        <v>52</v>
      </c>
      <c r="I12" s="142"/>
      <c r="J12" s="29"/>
      <c r="K12" s="139">
        <v>2828000</v>
      </c>
      <c r="L12" s="139"/>
      <c r="M12" s="29"/>
      <c r="N12" s="29"/>
      <c r="O12" s="29"/>
      <c r="P12" s="29"/>
      <c r="Q12" s="143">
        <v>2828000</v>
      </c>
      <c r="R12" s="29"/>
      <c r="S12" s="136" t="s">
        <v>4220</v>
      </c>
      <c r="T12" s="135">
        <f t="shared" si="4"/>
        <v>2828000</v>
      </c>
      <c r="U12" s="143">
        <f t="shared" si="0"/>
        <v>169680</v>
      </c>
      <c r="V12" s="134">
        <f t="shared" si="1"/>
        <v>18664.8</v>
      </c>
      <c r="W12" s="134">
        <f t="shared" si="2"/>
        <v>-3393.6</v>
      </c>
      <c r="X12" s="134">
        <f t="shared" si="3"/>
        <v>2997680</v>
      </c>
      <c r="Y12" s="29" t="str">
        <f>D12&amp;"-"&amp;"045"&amp;"-"&amp;G12&amp;S12</f>
        <v>530225-045-11197-000-000-000-00</v>
      </c>
    </row>
    <row r="13" spans="1:25" x14ac:dyDescent="0.3">
      <c r="A13" s="29">
        <v>12</v>
      </c>
      <c r="B13" s="138" t="s">
        <v>18</v>
      </c>
      <c r="C13" s="29" t="s">
        <v>6</v>
      </c>
      <c r="D13" s="29">
        <v>530225</v>
      </c>
      <c r="E13" s="138" t="s">
        <v>17</v>
      </c>
      <c r="F13" s="145" t="s">
        <v>4225</v>
      </c>
      <c r="G13" s="142">
        <v>11197</v>
      </c>
      <c r="H13" s="141" t="s">
        <v>1294</v>
      </c>
      <c r="I13" s="142"/>
      <c r="J13" s="29"/>
      <c r="K13" s="139">
        <v>2828000</v>
      </c>
      <c r="L13" s="139"/>
      <c r="M13" s="29"/>
      <c r="N13" s="29"/>
      <c r="O13" s="29"/>
      <c r="P13" s="29">
        <v>2900</v>
      </c>
      <c r="Q13" s="143">
        <v>2825100</v>
      </c>
      <c r="R13" s="29"/>
      <c r="S13" s="136" t="s">
        <v>4220</v>
      </c>
      <c r="T13" s="135">
        <f t="shared" si="4"/>
        <v>2825100</v>
      </c>
      <c r="U13" s="143">
        <f t="shared" si="0"/>
        <v>169506</v>
      </c>
      <c r="V13" s="134">
        <f t="shared" si="1"/>
        <v>18645.66</v>
      </c>
      <c r="W13" s="134">
        <f t="shared" si="2"/>
        <v>-3390.12</v>
      </c>
      <c r="X13" s="134">
        <f t="shared" si="3"/>
        <v>2994606</v>
      </c>
      <c r="Y13" s="29" t="str">
        <f>D13&amp;"-"&amp;"045"&amp;"-"&amp;G13&amp;S13</f>
        <v>530225-045-11197-000-000-000-00</v>
      </c>
    </row>
    <row r="14" spans="1:25" ht="13.95" customHeight="1" x14ac:dyDescent="0.3">
      <c r="A14" s="29">
        <v>13</v>
      </c>
      <c r="B14" s="138" t="s">
        <v>16</v>
      </c>
      <c r="C14" s="29" t="s">
        <v>15</v>
      </c>
      <c r="D14" s="29">
        <v>530235</v>
      </c>
      <c r="E14" s="147" t="s">
        <v>14</v>
      </c>
      <c r="F14" s="145" t="s">
        <v>4225</v>
      </c>
      <c r="G14" s="142">
        <v>10104</v>
      </c>
      <c r="H14" s="141"/>
      <c r="I14" s="142"/>
      <c r="J14" s="29"/>
      <c r="K14" s="139">
        <v>4738000</v>
      </c>
      <c r="L14" s="139" t="s">
        <v>916</v>
      </c>
      <c r="M14" s="29">
        <v>295651.20000000001</v>
      </c>
      <c r="N14" s="29"/>
      <c r="O14" s="29">
        <v>189520</v>
      </c>
      <c r="P14" s="29"/>
      <c r="Q14" s="143">
        <v>4548480</v>
      </c>
      <c r="R14" s="29"/>
      <c r="S14" s="136" t="s">
        <v>4220</v>
      </c>
      <c r="T14" s="135">
        <f>SUM(Q14+M14)</f>
        <v>4844131.2</v>
      </c>
      <c r="U14" s="135">
        <f t="shared" si="0"/>
        <v>290647.87199999997</v>
      </c>
      <c r="V14" s="134">
        <f t="shared" si="1"/>
        <v>31971.265919999998</v>
      </c>
      <c r="W14" s="134">
        <f t="shared" si="2"/>
        <v>-5812.9574399999992</v>
      </c>
      <c r="X14" s="134">
        <f t="shared" si="3"/>
        <v>5134779.0720000006</v>
      </c>
      <c r="Y14" s="29" t="str">
        <f>D14&amp;"-"&amp;"045"&amp;"-"&amp;G14&amp;S14</f>
        <v>530235-045-10104-000-000-000-00</v>
      </c>
    </row>
    <row r="15" spans="1:25" x14ac:dyDescent="0.3">
      <c r="A15" s="29">
        <v>14</v>
      </c>
      <c r="B15" s="138" t="s">
        <v>13</v>
      </c>
      <c r="C15" s="29" t="s">
        <v>3</v>
      </c>
      <c r="D15" s="29"/>
      <c r="E15" s="138" t="s">
        <v>4227</v>
      </c>
      <c r="F15" s="145" t="s">
        <v>4225</v>
      </c>
      <c r="G15" s="139"/>
      <c r="H15" s="141"/>
      <c r="I15" s="142" t="s">
        <v>4226</v>
      </c>
      <c r="J15" s="29"/>
      <c r="K15" s="139"/>
      <c r="L15" s="139"/>
      <c r="M15" s="29"/>
      <c r="N15" s="29"/>
      <c r="O15" s="29"/>
      <c r="P15" s="29"/>
      <c r="Q15" s="144"/>
      <c r="R15" s="29"/>
      <c r="S15" s="29"/>
      <c r="T15" s="135">
        <f>SUM(Q15)</f>
        <v>0</v>
      </c>
      <c r="U15" s="135">
        <f t="shared" si="0"/>
        <v>0</v>
      </c>
      <c r="V15" s="134">
        <f t="shared" si="1"/>
        <v>0</v>
      </c>
      <c r="W15" s="134">
        <f t="shared" si="2"/>
        <v>0</v>
      </c>
      <c r="X15" s="134">
        <f t="shared" si="3"/>
        <v>0</v>
      </c>
      <c r="Y15" s="29"/>
    </row>
    <row r="16" spans="1:25" x14ac:dyDescent="0.3">
      <c r="A16" s="29">
        <v>15</v>
      </c>
      <c r="B16" s="138" t="s">
        <v>10</v>
      </c>
      <c r="C16" s="29" t="s">
        <v>3</v>
      </c>
      <c r="D16" s="29"/>
      <c r="E16" s="138" t="s">
        <v>9</v>
      </c>
      <c r="F16" s="145" t="s">
        <v>4225</v>
      </c>
      <c r="G16" s="139"/>
      <c r="H16" s="141"/>
      <c r="I16" s="142" t="s">
        <v>4226</v>
      </c>
      <c r="J16" s="29"/>
      <c r="K16" s="139"/>
      <c r="L16" s="142"/>
      <c r="M16" s="142"/>
      <c r="N16" s="142"/>
      <c r="O16" s="142"/>
      <c r="P16" s="142"/>
      <c r="Q16" s="146"/>
      <c r="R16" s="142"/>
      <c r="S16" s="142"/>
      <c r="T16" s="29">
        <f>SUM(Q16)</f>
        <v>0</v>
      </c>
      <c r="U16" s="135">
        <f t="shared" si="0"/>
        <v>0</v>
      </c>
      <c r="V16" s="29"/>
      <c r="W16" s="142"/>
      <c r="X16" s="134">
        <f t="shared" si="3"/>
        <v>0</v>
      </c>
      <c r="Y16" s="142"/>
    </row>
    <row r="17" spans="1:25" x14ac:dyDescent="0.3">
      <c r="A17" s="29">
        <v>16</v>
      </c>
      <c r="B17" s="138" t="s">
        <v>7</v>
      </c>
      <c r="C17" s="29" t="s">
        <v>6</v>
      </c>
      <c r="D17" s="29">
        <v>530225</v>
      </c>
      <c r="E17" s="138" t="s">
        <v>5</v>
      </c>
      <c r="F17" s="145" t="s">
        <v>4225</v>
      </c>
      <c r="G17" s="139">
        <v>11198</v>
      </c>
      <c r="H17" s="138"/>
      <c r="I17" s="29"/>
      <c r="J17" s="29"/>
      <c r="K17" s="29">
        <v>5289000</v>
      </c>
      <c r="L17" s="29"/>
      <c r="M17" s="29">
        <v>158670</v>
      </c>
      <c r="N17" s="29"/>
      <c r="O17" s="29">
        <v>52890</v>
      </c>
      <c r="P17" s="29"/>
      <c r="Q17" s="144">
        <v>3966750</v>
      </c>
      <c r="R17" s="29">
        <v>1269360</v>
      </c>
      <c r="S17" s="136" t="s">
        <v>4220</v>
      </c>
      <c r="T17" s="135">
        <f>SUM(Q17+M17)</f>
        <v>4125420</v>
      </c>
      <c r="U17" s="143">
        <f t="shared" si="0"/>
        <v>247525.19999999998</v>
      </c>
      <c r="V17" s="135">
        <f>U17*5%</f>
        <v>12376.26</v>
      </c>
      <c r="W17" s="135">
        <f>V17*5%</f>
        <v>618.8130000000001</v>
      </c>
      <c r="X17" s="134">
        <f t="shared" si="3"/>
        <v>4372945.2</v>
      </c>
      <c r="Y17" s="29" t="str">
        <f>D17&amp;"-"&amp;"045"&amp;"-"&amp;G17&amp;S17</f>
        <v>530225-045-11198-000-000-000-00</v>
      </c>
    </row>
    <row r="18" spans="1:25" x14ac:dyDescent="0.3">
      <c r="A18" s="29">
        <v>17</v>
      </c>
      <c r="B18" s="141" t="s">
        <v>40</v>
      </c>
      <c r="C18" s="29" t="s">
        <v>4224</v>
      </c>
      <c r="D18" s="29"/>
      <c r="E18" s="141" t="s">
        <v>23</v>
      </c>
      <c r="F18" s="140" t="s">
        <v>4221</v>
      </c>
      <c r="G18" s="142">
        <v>99090</v>
      </c>
      <c r="H18" s="138"/>
      <c r="I18" s="29"/>
      <c r="J18" s="29"/>
      <c r="K18" s="29"/>
      <c r="L18" s="29"/>
      <c r="M18" s="29"/>
      <c r="N18" s="29"/>
      <c r="O18" s="29"/>
      <c r="P18" s="29"/>
      <c r="Q18" s="137">
        <v>5343030</v>
      </c>
      <c r="R18" s="29"/>
      <c r="S18" s="29"/>
      <c r="T18" s="135">
        <f>SUM(Q18+M18)</f>
        <v>5343030</v>
      </c>
      <c r="U18" s="135">
        <f t="shared" si="0"/>
        <v>320581.8</v>
      </c>
      <c r="V18" s="134">
        <f>SUM(U18*0.11)</f>
        <v>35263.998</v>
      </c>
      <c r="W18" s="134">
        <f>SUM(U18*-0.02)</f>
        <v>-6411.6359999999995</v>
      </c>
      <c r="X18" s="134">
        <f t="shared" si="3"/>
        <v>5663611.7999999998</v>
      </c>
      <c r="Y18" s="29"/>
    </row>
    <row r="19" spans="1:25" x14ac:dyDescent="0.3">
      <c r="A19" s="29">
        <v>18</v>
      </c>
      <c r="B19" s="141" t="s">
        <v>39</v>
      </c>
      <c r="C19" s="29" t="s">
        <v>4224</v>
      </c>
      <c r="D19" s="29"/>
      <c r="E19" s="141" t="s">
        <v>23</v>
      </c>
      <c r="F19" s="140" t="s">
        <v>4221</v>
      </c>
      <c r="G19" s="142">
        <v>99090</v>
      </c>
      <c r="H19" s="138"/>
      <c r="I19" s="29"/>
      <c r="J19" s="29"/>
      <c r="K19" s="29"/>
      <c r="L19" s="29"/>
      <c r="M19" s="29"/>
      <c r="N19" s="29"/>
      <c r="O19" s="29"/>
      <c r="P19" s="29"/>
      <c r="Q19" s="137">
        <v>3472920</v>
      </c>
      <c r="R19" s="29"/>
      <c r="S19" s="29"/>
      <c r="T19" s="135">
        <f>SUM(Q19+M19)</f>
        <v>3472920</v>
      </c>
      <c r="U19" s="135">
        <f t="shared" si="0"/>
        <v>208375.19999999998</v>
      </c>
      <c r="V19" s="134">
        <f>SUM(U19*0.11)</f>
        <v>22921.271999999997</v>
      </c>
      <c r="W19" s="134">
        <f>SUM(U19*-0.02)</f>
        <v>-4167.5039999999999</v>
      </c>
      <c r="X19" s="134">
        <f t="shared" si="3"/>
        <v>3681295.2</v>
      </c>
      <c r="Y19" s="29"/>
    </row>
    <row r="20" spans="1:25" x14ac:dyDescent="0.3">
      <c r="A20" s="29">
        <v>19</v>
      </c>
      <c r="B20" s="141" t="s">
        <v>36</v>
      </c>
      <c r="C20" s="29" t="s">
        <v>35</v>
      </c>
      <c r="D20" s="29">
        <v>530240</v>
      </c>
      <c r="E20" s="141" t="s">
        <v>25</v>
      </c>
      <c r="F20" s="140" t="s">
        <v>4221</v>
      </c>
      <c r="G20" s="139" t="s">
        <v>27</v>
      </c>
      <c r="H20" s="138"/>
      <c r="I20" s="29"/>
      <c r="J20" s="29"/>
      <c r="K20" s="29"/>
      <c r="L20" s="29"/>
      <c r="M20" s="29"/>
      <c r="N20" s="29"/>
      <c r="O20" s="29"/>
      <c r="P20" s="29"/>
      <c r="Q20" s="137">
        <v>5397000</v>
      </c>
      <c r="R20" s="29"/>
      <c r="S20" s="136" t="s">
        <v>4220</v>
      </c>
      <c r="T20" s="135">
        <f>SUM(Q20+M20)</f>
        <v>5397000</v>
      </c>
      <c r="U20" s="135">
        <f t="shared" si="0"/>
        <v>323820</v>
      </c>
      <c r="V20" s="134">
        <f>SUM(U20*0.11)</f>
        <v>35620.199999999997</v>
      </c>
      <c r="W20" s="134">
        <f>SUM(U20*-0.02)</f>
        <v>-6476.4000000000005</v>
      </c>
      <c r="X20" s="134">
        <f t="shared" si="3"/>
        <v>5720820</v>
      </c>
      <c r="Y20" s="29" t="str">
        <f>D20&amp;"-"&amp;"045"&amp;"-"&amp;G20&amp;S20</f>
        <v>530240-045-33086-000-000-000-00</v>
      </c>
    </row>
    <row r="21" spans="1:25" x14ac:dyDescent="0.3">
      <c r="A21" s="29">
        <v>20</v>
      </c>
      <c r="B21" s="141" t="s">
        <v>4223</v>
      </c>
      <c r="C21" s="29" t="s">
        <v>26</v>
      </c>
      <c r="D21" s="29">
        <v>530235</v>
      </c>
      <c r="E21" s="141" t="s">
        <v>4222</v>
      </c>
      <c r="F21" s="140" t="s">
        <v>4221</v>
      </c>
      <c r="G21" s="139" t="s">
        <v>27</v>
      </c>
      <c r="H21" s="138"/>
      <c r="I21" s="29"/>
      <c r="J21" s="29"/>
      <c r="K21" s="29"/>
      <c r="L21" s="29"/>
      <c r="M21" s="29"/>
      <c r="N21" s="29"/>
      <c r="O21" s="29"/>
      <c r="P21" s="29"/>
      <c r="Q21" s="137">
        <v>4800000</v>
      </c>
      <c r="R21" s="29"/>
      <c r="S21" s="136" t="s">
        <v>4220</v>
      </c>
      <c r="T21" s="135">
        <f>SUM(Q21+M21)</f>
        <v>4800000</v>
      </c>
      <c r="U21" s="135">
        <f t="shared" si="0"/>
        <v>288000</v>
      </c>
      <c r="V21" s="134">
        <f>SUM(U21*0.11)</f>
        <v>31680</v>
      </c>
      <c r="W21" s="134">
        <f>SUM(U21*-0.02)</f>
        <v>-5760</v>
      </c>
      <c r="X21" s="134">
        <f t="shared" si="3"/>
        <v>5088000</v>
      </c>
      <c r="Y21" s="29" t="str">
        <f>D21&amp;"-"&amp;"045"&amp;"-"&amp;G21&amp;S21</f>
        <v>530235-045-33086-000-000-000-00</v>
      </c>
    </row>
    <row r="22" spans="1:25" x14ac:dyDescent="0.3">
      <c r="G22"/>
      <c r="L22" s="12">
        <f ca="1">SUM(L2:L22)</f>
        <v>0</v>
      </c>
      <c r="M22" s="12">
        <f t="shared" ref="M22:R22" si="5">SUM(M2:M21)</f>
        <v>696511.2</v>
      </c>
      <c r="N22" s="12">
        <f t="shared" si="5"/>
        <v>0</v>
      </c>
      <c r="O22" s="12">
        <f t="shared" si="5"/>
        <v>323140</v>
      </c>
      <c r="P22" s="12">
        <f t="shared" si="5"/>
        <v>2900</v>
      </c>
      <c r="Q22" s="12">
        <f t="shared" si="5"/>
        <v>70283090</v>
      </c>
      <c r="R22" s="12">
        <f t="shared" si="5"/>
        <v>2637540</v>
      </c>
      <c r="S22" s="12">
        <f ca="1">SUM(S2:S22)</f>
        <v>0</v>
      </c>
      <c r="T22" s="12">
        <f ca="1">SUM(T2:T22)</f>
        <v>70979601.200000003</v>
      </c>
      <c r="U22" s="12">
        <f>SUM(U2:U21)</f>
        <v>4258776.0720000006</v>
      </c>
      <c r="V22" s="16"/>
      <c r="W22" s="16"/>
      <c r="X22" s="16"/>
    </row>
    <row r="23" spans="1:25" x14ac:dyDescent="0.3">
      <c r="G23"/>
      <c r="X23" s="16"/>
    </row>
    <row r="24" spans="1:25" x14ac:dyDescent="0.3">
      <c r="G24"/>
      <c r="X24" s="16"/>
    </row>
    <row r="25" spans="1:25" x14ac:dyDescent="0.3">
      <c r="C25" s="133"/>
      <c r="D25" s="133"/>
      <c r="G25"/>
      <c r="T25" s="1"/>
      <c r="U25" s="1"/>
      <c r="V25" s="1"/>
      <c r="W25" s="1"/>
      <c r="X25" s="1"/>
    </row>
    <row r="26" spans="1:25" x14ac:dyDescent="0.3">
      <c r="G26"/>
    </row>
    <row r="27" spans="1:25" x14ac:dyDescent="0.3">
      <c r="G27"/>
    </row>
    <row r="28" spans="1:25" x14ac:dyDescent="0.3">
      <c r="G28"/>
    </row>
    <row r="29" spans="1:25" x14ac:dyDescent="0.3">
      <c r="G29"/>
    </row>
  </sheetData>
  <autoFilter ref="A1:Y22" xr:uid="{B4B92800-FB62-4134-8163-E2C6AD84FF83}"/>
  <conditionalFormatting sqref="B1:B1048576">
    <cfRule type="duplicateValues" dxfId="0" priority="1"/>
  </conditionalFormatting>
  <pageMargins left="0.7" right="0.7" top="0.75" bottom="0.75" header="0.3" footer="0.3"/>
  <pageSetup paperSize="9" scale="27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Gramedia Reguler</vt:lpstr>
      <vt:lpstr>GRAMEDI NON REGULER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 BENEDICTUS ARYA PRADIPTA</dc:creator>
  <cp:lastModifiedBy>2022 BENEDICTUS ARYA PRADIPTA</cp:lastModifiedBy>
  <dcterms:created xsi:type="dcterms:W3CDTF">2026-09-10T08:19:57Z</dcterms:created>
  <dcterms:modified xsi:type="dcterms:W3CDTF">2026-09-16T07:08:36Z</dcterms:modified>
</cp:coreProperties>
</file>